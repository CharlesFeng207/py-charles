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6" windowHeight="7536" tabRatio="735" activeTab="1"/>
  </bookViews>
  <sheets>
    <sheet name="Data Dic" sheetId="15" r:id="rId1"/>
    <sheet name="Tracking List" sheetId="1" r:id="rId2"/>
    <sheet name="PV Compelete delay" sheetId="30" r:id="rId3"/>
    <sheet name="Working" sheetId="12" r:id="rId4"/>
    <sheet name="Sheet4" sheetId="21" r:id="rId5"/>
    <sheet name="Sheet4 (2)" sheetId="29" r:id="rId6"/>
    <sheet name="PV Start Delay" sheetId="25" r:id="rId7"/>
    <sheet name="PV Start Delay by Commodity" sheetId="26" r:id="rId8"/>
    <sheet name="Change Log" sheetId="4" r:id="rId9"/>
    <sheet name="Glide Path of PV completion" sheetId="20" r:id="rId10"/>
    <sheet name="CD539MCA PV weekly follow up" sheetId="31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com1" localSheetId="9">#REF!</definedName>
    <definedName name="_com1" localSheetId="7">#REF!</definedName>
    <definedName name="_com1" localSheetId="5">#REF!</definedName>
    <definedName name="_com1">#REF!</definedName>
    <definedName name="_com10" localSheetId="9">#REF!</definedName>
    <definedName name="_com10" localSheetId="7">#REF!</definedName>
    <definedName name="_com10" localSheetId="5">#REF!</definedName>
    <definedName name="_com10">#REF!</definedName>
    <definedName name="_com12" localSheetId="9">#REF!</definedName>
    <definedName name="_com12" localSheetId="7">#REF!</definedName>
    <definedName name="_com12" localSheetId="5">#REF!</definedName>
    <definedName name="_com12">#REF!</definedName>
    <definedName name="_com13" localSheetId="9">#REF!</definedName>
    <definedName name="_com13" localSheetId="7">#REF!</definedName>
    <definedName name="_com13" localSheetId="5">#REF!</definedName>
    <definedName name="_com13">#REF!</definedName>
    <definedName name="_com14" localSheetId="9">#REF!</definedName>
    <definedName name="_com14" localSheetId="7">#REF!</definedName>
    <definedName name="_com14" localSheetId="5">#REF!</definedName>
    <definedName name="_com14">#REF!</definedName>
    <definedName name="_com15" localSheetId="9">#REF!</definedName>
    <definedName name="_com15" localSheetId="7">#REF!</definedName>
    <definedName name="_com15" localSheetId="5">#REF!</definedName>
    <definedName name="_com15">#REF!</definedName>
    <definedName name="_com16" localSheetId="9">#REF!</definedName>
    <definedName name="_com16" localSheetId="7">#REF!</definedName>
    <definedName name="_com16" localSheetId="5">#REF!</definedName>
    <definedName name="_com16">#REF!</definedName>
    <definedName name="_com18" localSheetId="9">#REF!</definedName>
    <definedName name="_com18" localSheetId="7">#REF!</definedName>
    <definedName name="_com18" localSheetId="5">#REF!</definedName>
    <definedName name="_com18">#REF!</definedName>
    <definedName name="_com19" localSheetId="9">#REF!</definedName>
    <definedName name="_com19" localSheetId="7">#REF!</definedName>
    <definedName name="_com19" localSheetId="5">#REF!</definedName>
    <definedName name="_com19">#REF!</definedName>
    <definedName name="_com2" localSheetId="9">#REF!</definedName>
    <definedName name="_com2" localSheetId="7">#REF!</definedName>
    <definedName name="_com2" localSheetId="5">#REF!</definedName>
    <definedName name="_com2">#REF!</definedName>
    <definedName name="_com20" localSheetId="9">#REF!</definedName>
    <definedName name="_com20" localSheetId="7">#REF!</definedName>
    <definedName name="_com20" localSheetId="5">#REF!</definedName>
    <definedName name="_com20">#REF!</definedName>
    <definedName name="_com21" localSheetId="9">#REF!</definedName>
    <definedName name="_com21" localSheetId="7">#REF!</definedName>
    <definedName name="_com21" localSheetId="5">#REF!</definedName>
    <definedName name="_com21">#REF!</definedName>
    <definedName name="_com22" localSheetId="9">#REF!</definedName>
    <definedName name="_com22" localSheetId="7">#REF!</definedName>
    <definedName name="_com22" localSheetId="5">#REF!</definedName>
    <definedName name="_com22">#REF!</definedName>
    <definedName name="_com23" localSheetId="9">#REF!</definedName>
    <definedName name="_com23" localSheetId="7">#REF!</definedName>
    <definedName name="_com23" localSheetId="5">#REF!</definedName>
    <definedName name="_com23">#REF!</definedName>
    <definedName name="_com24" localSheetId="9">#REF!</definedName>
    <definedName name="_com24" localSheetId="7">#REF!</definedName>
    <definedName name="_com24" localSheetId="5">#REF!</definedName>
    <definedName name="_com24">#REF!</definedName>
    <definedName name="_com25" localSheetId="9">#REF!</definedName>
    <definedName name="_com25" localSheetId="7">#REF!</definedName>
    <definedName name="_com25" localSheetId="5">#REF!</definedName>
    <definedName name="_com25">#REF!</definedName>
    <definedName name="_com26" localSheetId="9">#REF!</definedName>
    <definedName name="_com26" localSheetId="7">#REF!</definedName>
    <definedName name="_com26" localSheetId="5">#REF!</definedName>
    <definedName name="_com26">#REF!</definedName>
    <definedName name="_com27" localSheetId="9">#REF!</definedName>
    <definedName name="_com27" localSheetId="7">#REF!</definedName>
    <definedName name="_com27" localSheetId="5">#REF!</definedName>
    <definedName name="_com27">#REF!</definedName>
    <definedName name="_com29" localSheetId="9">#REF!</definedName>
    <definedName name="_com29" localSheetId="7">#REF!</definedName>
    <definedName name="_com29" localSheetId="5">#REF!</definedName>
    <definedName name="_com29">#REF!</definedName>
    <definedName name="_com3" localSheetId="9">#REF!</definedName>
    <definedName name="_com3" localSheetId="7">#REF!</definedName>
    <definedName name="_com3" localSheetId="5">#REF!</definedName>
    <definedName name="_com3">#REF!</definedName>
    <definedName name="_com30" localSheetId="9">#REF!</definedName>
    <definedName name="_com30" localSheetId="7">#REF!</definedName>
    <definedName name="_com30" localSheetId="5">#REF!</definedName>
    <definedName name="_com30">#REF!</definedName>
    <definedName name="_com31" localSheetId="9">#REF!</definedName>
    <definedName name="_com31" localSheetId="7">#REF!</definedName>
    <definedName name="_com31" localSheetId="5">#REF!</definedName>
    <definedName name="_com31">#REF!</definedName>
    <definedName name="_com32" localSheetId="9">#REF!</definedName>
    <definedName name="_com32" localSheetId="7">#REF!</definedName>
    <definedName name="_com32" localSheetId="5">#REF!</definedName>
    <definedName name="_com32">#REF!</definedName>
    <definedName name="_com34" localSheetId="9">#REF!</definedName>
    <definedName name="_com34" localSheetId="7">#REF!</definedName>
    <definedName name="_com34" localSheetId="5">#REF!</definedName>
    <definedName name="_com34">#REF!</definedName>
    <definedName name="_com4" localSheetId="9">#REF!</definedName>
    <definedName name="_com4" localSheetId="7">#REF!</definedName>
    <definedName name="_com4" localSheetId="5">#REF!</definedName>
    <definedName name="_com4">#REF!</definedName>
    <definedName name="_com5" localSheetId="9">#REF!</definedName>
    <definedName name="_com5" localSheetId="7">#REF!</definedName>
    <definedName name="_com5" localSheetId="5">#REF!</definedName>
    <definedName name="_com5">#REF!</definedName>
    <definedName name="_com6" localSheetId="9">#REF!</definedName>
    <definedName name="_com6" localSheetId="7">#REF!</definedName>
    <definedName name="_com6" localSheetId="5">#REF!</definedName>
    <definedName name="_com6">#REF!</definedName>
    <definedName name="_com7" localSheetId="9">#REF!</definedName>
    <definedName name="_com7" localSheetId="7">#REF!</definedName>
    <definedName name="_com7" localSheetId="5">#REF!</definedName>
    <definedName name="_com7">#REF!</definedName>
    <definedName name="_com8" localSheetId="9">#REF!</definedName>
    <definedName name="_com8" localSheetId="7">#REF!</definedName>
    <definedName name="_com8" localSheetId="5">#REF!</definedName>
    <definedName name="_com8">#REF!</definedName>
    <definedName name="_com9" localSheetId="9">#REF!</definedName>
    <definedName name="_com9" localSheetId="7">#REF!</definedName>
    <definedName name="_com9" localSheetId="5">#REF!</definedName>
    <definedName name="_com9">#REF!</definedName>
    <definedName name="_xlnm._FilterDatabase" localSheetId="8" hidden="1">'Change Log'!$A$1:$I$981</definedName>
    <definedName name="_xlnm._FilterDatabase" localSheetId="6" hidden="1">'PV Start Delay'!$A$4:$V$153</definedName>
    <definedName name="_xlnm._FilterDatabase" localSheetId="7" hidden="1">'PV Start Delay by Commodity'!$A$4:$V$15</definedName>
    <definedName name="_xlnm._FilterDatabase" localSheetId="1" hidden="1">'Tracking List'!$A$4:$CF$450</definedName>
    <definedName name="_xlnm._FilterDatabase" localSheetId="3" hidden="1">Working!$C$5:$R$500</definedName>
    <definedName name="_Order1" hidden="1">255</definedName>
    <definedName name="_Sort" localSheetId="9" hidden="1">[1]社外運転!#REF!</definedName>
    <definedName name="_Sort" localSheetId="7" hidden="1">[1]社外運転!#REF!</definedName>
    <definedName name="_Sort" localSheetId="5" hidden="1">[1]社外運転!#REF!</definedName>
    <definedName name="_Sort" hidden="1">[1]社外運転!#REF!</definedName>
    <definedName name="a">[2]Input!$G$1:$H$65536,[2]Input!$M$1:$N$65536,[2]Input!$S$1:$T$65536,[2]Input!$Y$1:$Z$65536,[2]Input!$AE$1:$AF$65536,[2]Input!$AK$1:$AL$65536,[2]Input!$AQ$1:$AR$65536,[2]Input!$AW$1:$AX$65536,[2]Input!$BC$1:$BD$65536,[2]Input!$BI$1:$BJ$65536,[2]Input!$BO$1:$BP$65536,[2]Input!$BU$1:$BV$65536,[2]Input!$CA$1:$CB$65536,[2]Input!$CG$1:$CH$65536,[2]Input!$CM$1:$CN$65536,[2]Input!$CS$1:$CT$65536</definedName>
    <definedName name="ABC" localSheetId="9">#REF!</definedName>
    <definedName name="ABC" localSheetId="7">#REF!</definedName>
    <definedName name="ABC" localSheetId="5">#REF!</definedName>
    <definedName name="ABC">#REF!</definedName>
    <definedName name="Addtolist" localSheetId="9">[3]!Addtolist</definedName>
    <definedName name="Addtolist" localSheetId="7">[3]!Addtolist</definedName>
    <definedName name="Addtolist" localSheetId="5">[3]!Addtolist</definedName>
    <definedName name="Addtolist">[3]!Addtolist</definedName>
    <definedName name="ALLPARTS" localSheetId="9">#REF!</definedName>
    <definedName name="ALLPARTS" localSheetId="7">#REF!</definedName>
    <definedName name="ALLPARTS" localSheetId="5">#REF!</definedName>
    <definedName name="ALLPARTS">#REF!</definedName>
    <definedName name="AU" localSheetId="9">#REF!</definedName>
    <definedName name="AU" localSheetId="7">#REF!</definedName>
    <definedName name="AU" localSheetId="5">#REF!</definedName>
    <definedName name="AU">#REF!</definedName>
    <definedName name="AUChunk" localSheetId="9">#REF!</definedName>
    <definedName name="AUChunk" localSheetId="7">#REF!</definedName>
    <definedName name="AUChunk" localSheetId="5">#REF!</definedName>
    <definedName name="AUChunk">#REF!</definedName>
    <definedName name="AUChunkLocal" localSheetId="9">#REF!</definedName>
    <definedName name="AUChunkLocal" localSheetId="7">#REF!</definedName>
    <definedName name="AUChunkLocal" localSheetId="5">#REF!</definedName>
    <definedName name="AUChunkLocal">#REF!</definedName>
    <definedName name="AUCostSumPX">'[4]3 CCM BoM'!$AP$1:$AP$65536</definedName>
    <definedName name="AULocal">'[4]3 CCM BoM'!$CB$1:$CB$65536</definedName>
    <definedName name="AURoadMap" localSheetId="9">#REF!</definedName>
    <definedName name="AURoadMap" localSheetId="7">#REF!</definedName>
    <definedName name="AURoadMap" localSheetId="5">#REF!</definedName>
    <definedName name="AURoadMap">#REF!</definedName>
    <definedName name="AuthStat" localSheetId="9">#REF!</definedName>
    <definedName name="AuthStat" localSheetId="7">#REF!</definedName>
    <definedName name="AuthStat" localSheetId="5">#REF!</definedName>
    <definedName name="AuthStat">#REF!</definedName>
    <definedName name="AUTotal04" localSheetId="9">#REF!</definedName>
    <definedName name="AUTotal04" localSheetId="7">#REF!</definedName>
    <definedName name="AUTotal04" localSheetId="5">#REF!</definedName>
    <definedName name="AUTotal04">#REF!</definedName>
    <definedName name="AUTotal05" localSheetId="9">#REF!</definedName>
    <definedName name="AUTotal05" localSheetId="7">#REF!</definedName>
    <definedName name="AUTotal05" localSheetId="5">#REF!</definedName>
    <definedName name="AUTotal05">#REF!</definedName>
    <definedName name="AUTotal06" localSheetId="9">#REF!</definedName>
    <definedName name="AUTotal06" localSheetId="7">#REF!</definedName>
    <definedName name="AUTotal06" localSheetId="5">#REF!</definedName>
    <definedName name="AUTotal06">#REF!</definedName>
    <definedName name="AUTotal07" localSheetId="9">#REF!</definedName>
    <definedName name="AUTotal07" localSheetId="7">#REF!</definedName>
    <definedName name="AUTotal07" localSheetId="5">#REF!</definedName>
    <definedName name="AUTotal07">#REF!</definedName>
    <definedName name="AUTotal08" localSheetId="9">#REF!</definedName>
    <definedName name="AUTotal08" localSheetId="7">#REF!</definedName>
    <definedName name="AUTotal08" localSheetId="5">#REF!</definedName>
    <definedName name="AUTotal08">#REF!</definedName>
    <definedName name="AUTotal09" localSheetId="9">#REF!</definedName>
    <definedName name="AUTotal09" localSheetId="7">#REF!</definedName>
    <definedName name="AUTotal09" localSheetId="5">#REF!</definedName>
    <definedName name="AUTotal09">#REF!</definedName>
    <definedName name="AUTotal10" localSheetId="9">#REF!</definedName>
    <definedName name="AUTotal10" localSheetId="7">#REF!</definedName>
    <definedName name="AUTotal10" localSheetId="5">#REF!</definedName>
    <definedName name="AUTotal10">#REF!</definedName>
    <definedName name="AUTotal13" localSheetId="9">#REF!</definedName>
    <definedName name="AUTotal13" localSheetId="7">#REF!</definedName>
    <definedName name="AUTotal13" localSheetId="5">#REF!</definedName>
    <definedName name="AUTotal13">#REF!</definedName>
    <definedName name="AUTotal15" localSheetId="9">#REF!</definedName>
    <definedName name="AUTotal15" localSheetId="7">#REF!</definedName>
    <definedName name="AUTotal15" localSheetId="5">#REF!</definedName>
    <definedName name="AUTotal15">#REF!</definedName>
    <definedName name="AUTotal1617" localSheetId="9">#REF!</definedName>
    <definedName name="AUTotal1617" localSheetId="7">#REF!</definedName>
    <definedName name="AUTotal1617" localSheetId="5">#REF!</definedName>
    <definedName name="AUTotal1617">#REF!</definedName>
    <definedName name="AUTotal18" localSheetId="9">#REF!</definedName>
    <definedName name="AUTotal18" localSheetId="7">#REF!</definedName>
    <definedName name="AUTotal18" localSheetId="5">#REF!</definedName>
    <definedName name="AUTotal18">#REF!</definedName>
    <definedName name="AUTotal19" localSheetId="9">#REF!</definedName>
    <definedName name="AUTotal19" localSheetId="7">#REF!</definedName>
    <definedName name="AUTotal19" localSheetId="5">#REF!</definedName>
    <definedName name="AUTotal19">#REF!</definedName>
    <definedName name="AUTotal20" localSheetId="9">#REF!</definedName>
    <definedName name="AUTotal20" localSheetId="7">#REF!</definedName>
    <definedName name="AUTotal20" localSheetId="5">#REF!</definedName>
    <definedName name="AUTotal20">#REF!</definedName>
    <definedName name="AUTotal21" localSheetId="9">#REF!</definedName>
    <definedName name="AUTotal21" localSheetId="7">#REF!</definedName>
    <definedName name="AUTotal21" localSheetId="5">#REF!</definedName>
    <definedName name="AUTotal21">#REF!</definedName>
    <definedName name="AUTotal22" localSheetId="9">#REF!</definedName>
    <definedName name="AUTotal22" localSheetId="7">#REF!</definedName>
    <definedName name="AUTotal22" localSheetId="5">#REF!</definedName>
    <definedName name="AUTotal22">#REF!</definedName>
    <definedName name="AUTotal23" localSheetId="9">#REF!</definedName>
    <definedName name="AUTotal23" localSheetId="7">#REF!</definedName>
    <definedName name="AUTotal23" localSheetId="5">#REF!</definedName>
    <definedName name="AUTotal23">#REF!</definedName>
    <definedName name="AUTotal24" localSheetId="9">#REF!</definedName>
    <definedName name="AUTotal24" localSheetId="7">#REF!</definedName>
    <definedName name="AUTotal24" localSheetId="5">#REF!</definedName>
    <definedName name="AUTotal24">#REF!</definedName>
    <definedName name="AUTotal25" localSheetId="9">#REF!</definedName>
    <definedName name="AUTotal25" localSheetId="7">#REF!</definedName>
    <definedName name="AUTotal25" localSheetId="5">#REF!</definedName>
    <definedName name="AUTotal25">#REF!</definedName>
    <definedName name="AUTotal26" localSheetId="9">#REF!</definedName>
    <definedName name="AUTotal26" localSheetId="7">#REF!</definedName>
    <definedName name="AUTotal26" localSheetId="5">#REF!</definedName>
    <definedName name="AUTotal26">#REF!</definedName>
    <definedName name="AUTotal27" localSheetId="9">#REF!</definedName>
    <definedName name="AUTotal27" localSheetId="7">#REF!</definedName>
    <definedName name="AUTotal27" localSheetId="5">#REF!</definedName>
    <definedName name="AUTotal27">#REF!</definedName>
    <definedName name="AUTotal28" localSheetId="9">#REF!</definedName>
    <definedName name="AUTotal28" localSheetId="7">#REF!</definedName>
    <definedName name="AUTotal28" localSheetId="5">#REF!</definedName>
    <definedName name="AUTotal28">#REF!</definedName>
    <definedName name="AUTotal29" localSheetId="9">#REF!</definedName>
    <definedName name="AUTotal29" localSheetId="7">#REF!</definedName>
    <definedName name="AUTotal29" localSheetId="5">#REF!</definedName>
    <definedName name="AUTotal29">#REF!</definedName>
    <definedName name="AUTotal30" localSheetId="9">#REF!</definedName>
    <definedName name="AUTotal30" localSheetId="7">#REF!</definedName>
    <definedName name="AUTotal30" localSheetId="5">#REF!</definedName>
    <definedName name="AUTotal30">#REF!</definedName>
    <definedName name="AUTotal31" localSheetId="9">#REF!</definedName>
    <definedName name="AUTotal31" localSheetId="7">#REF!</definedName>
    <definedName name="AUTotal31" localSheetId="5">#REF!</definedName>
    <definedName name="AUTotal31">#REF!</definedName>
    <definedName name="AUTotal32" localSheetId="9">#REF!</definedName>
    <definedName name="AUTotal32" localSheetId="7">#REF!</definedName>
    <definedName name="AUTotal32" localSheetId="5">#REF!</definedName>
    <definedName name="AUTotal32">#REF!</definedName>
    <definedName name="AUTotal34" localSheetId="9">'[5]34'!#REF!</definedName>
    <definedName name="AUTotal34" localSheetId="7">'[5]34'!#REF!</definedName>
    <definedName name="AUTotal34" localSheetId="5">'[5]34'!#REF!</definedName>
    <definedName name="AUTotal34">'[5]34'!#REF!</definedName>
    <definedName name="AUTotal5" localSheetId="9">#REF!</definedName>
    <definedName name="AUTotal5" localSheetId="7">#REF!</definedName>
    <definedName name="AUTotal5" localSheetId="5">#REF!</definedName>
    <definedName name="AUTotal5">#REF!</definedName>
    <definedName name="AveCycle">'[6]Vols&amp;Fixed Costs'!$G$5</definedName>
    <definedName name="BaseSuffix" localSheetId="9">#REF!</definedName>
    <definedName name="BaseSuffix" localSheetId="7">#REF!</definedName>
    <definedName name="BaseSuffix" localSheetId="5">#REF!</definedName>
    <definedName name="BaseSuffix">#REF!</definedName>
    <definedName name="BOM_Data" localSheetId="9">#REF!</definedName>
    <definedName name="BOM_Data" localSheetId="7">#REF!</definedName>
    <definedName name="BOM_Data" localSheetId="5">#REF!</definedName>
    <definedName name="BOM_Data">#REF!</definedName>
    <definedName name="BOM_Details" localSheetId="9">#REF!</definedName>
    <definedName name="BOM_Details" localSheetId="7">#REF!</definedName>
    <definedName name="BOM_Details" localSheetId="5">#REF!</definedName>
    <definedName name="BOM_Details">#REF!</definedName>
    <definedName name="BoMBaseSuffix" localSheetId="9">#REF!</definedName>
    <definedName name="BoMBaseSuffix" localSheetId="7">#REF!</definedName>
    <definedName name="BoMBaseSuffix" localSheetId="5">#REF!</definedName>
    <definedName name="BoMBaseSuffix">#REF!</definedName>
    <definedName name="BoMTotalPart" localSheetId="9">#REF!</definedName>
    <definedName name="BoMTotalPart" localSheetId="7">#REF!</definedName>
    <definedName name="BoMTotalPart" localSheetId="5">#REF!</definedName>
    <definedName name="BoMTotalPart">#REF!</definedName>
    <definedName name="CADAct" localSheetId="9">#REF!</definedName>
    <definedName name="CADAct" localSheetId="7">#REF!</definedName>
    <definedName name="CADAct" localSheetId="5">#REF!</definedName>
    <definedName name="CADAct">#REF!</definedName>
    <definedName name="CADAv" localSheetId="9">#REF!</definedName>
    <definedName name="CADAv" localSheetId="7">#REF!</definedName>
    <definedName name="CADAv" localSheetId="5">#REF!</definedName>
    <definedName name="CADAv">#REF!</definedName>
    <definedName name="CancelDialog1" localSheetId="9">[3]!CancelDialog1</definedName>
    <definedName name="CancelDialog1" localSheetId="7">[3]!CancelDialog1</definedName>
    <definedName name="CancelDialog1" localSheetId="5">[3]!CancelDialog1</definedName>
    <definedName name="CancelDialog1">[3]!CancelDialog1</definedName>
    <definedName name="cashflow" localSheetId="9">#REF!</definedName>
    <definedName name="cashflow" localSheetId="7">#REF!</definedName>
    <definedName name="cashflow" localSheetId="5">#REF!</definedName>
    <definedName name="cashflow">#REF!</definedName>
    <definedName name="CD391N_2013MY_Compl" localSheetId="9">#REF!</definedName>
    <definedName name="CD391N_2013MY_Compl" localSheetId="7">#REF!</definedName>
    <definedName name="CD391N_2013MY_Compl" localSheetId="5">#REF!</definedName>
    <definedName name="CD391N_2013MY_Compl">#REF!</definedName>
    <definedName name="CHF_Factor" localSheetId="9">#REF!</definedName>
    <definedName name="CHF_Factor" localSheetId="7">#REF!</definedName>
    <definedName name="CHF_Factor" localSheetId="5">#REF!</definedName>
    <definedName name="CHF_Factor">#REF!</definedName>
    <definedName name="Chunk">'[4]3 CCM BoM'!$O$1:$O$65536</definedName>
    <definedName name="Chunk1">[7]Chunk1!$P$5:$U$184</definedName>
    <definedName name="Chunk12">'[8]FAP Manual BoM'!$O$11:$U$400</definedName>
    <definedName name="Chunk2">[7]Chunk2!$O$4:$T$64</definedName>
    <definedName name="Chunk3">[7]Chunk3!$O$4:$T$109</definedName>
    <definedName name="ChunkLocalAU">'[4]3 CCM BoM'!$CG$1:$CG$65536</definedName>
    <definedName name="ChunkLocalTH">'[4]3 CCM BoM'!$CF$1:$CF$65536</definedName>
    <definedName name="ChunkLocalTW">'[4]3 CCM BoM'!$CE$1:$CE$65536</definedName>
    <definedName name="Chunks" localSheetId="9">#REF!</definedName>
    <definedName name="Chunks" localSheetId="7">#REF!</definedName>
    <definedName name="Chunks" localSheetId="5">#REF!</definedName>
    <definedName name="Chunks">#REF!</definedName>
    <definedName name="com13t" localSheetId="9">#REF!</definedName>
    <definedName name="com13t" localSheetId="7">#REF!</definedName>
    <definedName name="com13t" localSheetId="5">#REF!</definedName>
    <definedName name="com13t">#REF!</definedName>
    <definedName name="com23a" localSheetId="9">#REF!</definedName>
    <definedName name="com23a" localSheetId="7">#REF!</definedName>
    <definedName name="com23a" localSheetId="5">#REF!</definedName>
    <definedName name="com23a">#REF!</definedName>
    <definedName name="com23t" localSheetId="9">#REF!</definedName>
    <definedName name="com23t" localSheetId="7">#REF!</definedName>
    <definedName name="com23t" localSheetId="5">#REF!</definedName>
    <definedName name="com23t">#REF!</definedName>
    <definedName name="com28a" localSheetId="9">#REF!</definedName>
    <definedName name="com28a" localSheetId="7">#REF!</definedName>
    <definedName name="com28a" localSheetId="5">#REF!</definedName>
    <definedName name="com28a">#REF!</definedName>
    <definedName name="com28b" localSheetId="9">#REF!</definedName>
    <definedName name="com28b" localSheetId="7">#REF!</definedName>
    <definedName name="com28b" localSheetId="5">#REF!</definedName>
    <definedName name="com28b">#REF!</definedName>
    <definedName name="comttotal" localSheetId="9">#REF!</definedName>
    <definedName name="comttotal" localSheetId="7">#REF!</definedName>
    <definedName name="comttotal" localSheetId="5">#REF!</definedName>
    <definedName name="comttotal">#REF!</definedName>
    <definedName name="Conv645to670" localSheetId="9">#REF!</definedName>
    <definedName name="Conv645to670" localSheetId="7">#REF!</definedName>
    <definedName name="Conv645to670" localSheetId="5">#REF!</definedName>
    <definedName name="Conv645to670">#REF!</definedName>
    <definedName name="Conv645to674" localSheetId="9">#REF!</definedName>
    <definedName name="Conv645to674" localSheetId="7">#REF!</definedName>
    <definedName name="Conv645to674" localSheetId="5">#REF!</definedName>
    <definedName name="Conv645to674">#REF!</definedName>
    <definedName name="Conv645to676" localSheetId="9">#REF!</definedName>
    <definedName name="Conv645to676" localSheetId="7">#REF!</definedName>
    <definedName name="Conv645to676" localSheetId="5">#REF!</definedName>
    <definedName name="Conv645to676">#REF!</definedName>
    <definedName name="CR" localSheetId="9">[9]Summary!#REF!</definedName>
    <definedName name="CR" localSheetId="7">[9]Summary!#REF!</definedName>
    <definedName name="CR" localSheetId="5">[9]Summary!#REF!</definedName>
    <definedName name="CR">[9]Summary!#REF!</definedName>
    <definedName name="Deletefromlist" localSheetId="9">[3]!Deletefromlist</definedName>
    <definedName name="Deletefromlist" localSheetId="7">[3]!Deletefromlist</definedName>
    <definedName name="Deletefromlist" localSheetId="5">[3]!Deletefromlist</definedName>
    <definedName name="Deletefromlist">[3]!Deletefromlist</definedName>
    <definedName name="DeleteLater2" localSheetId="9">#REF!</definedName>
    <definedName name="DeleteLater2" localSheetId="7">#REF!</definedName>
    <definedName name="DeleteLater2" localSheetId="5">#REF!</definedName>
    <definedName name="DeleteLater2">#REF!</definedName>
    <definedName name="DEM_Factor" localSheetId="9">#REF!</definedName>
    <definedName name="DEM_Factor" localSheetId="7">#REF!</definedName>
    <definedName name="DEM_Factor" localSheetId="5">#REF!</definedName>
    <definedName name="DEM_Factor">#REF!</definedName>
    <definedName name="design1" localSheetId="9">#REF!</definedName>
    <definedName name="design1" localSheetId="7">#REF!</definedName>
    <definedName name="design1" localSheetId="5">#REF!</definedName>
    <definedName name="design1">#REF!</definedName>
    <definedName name="design10" localSheetId="9">#REF!</definedName>
    <definedName name="design10" localSheetId="7">#REF!</definedName>
    <definedName name="design10" localSheetId="5">#REF!</definedName>
    <definedName name="design10">#REF!</definedName>
    <definedName name="design11" localSheetId="9">#REF!</definedName>
    <definedName name="design11" localSheetId="7">#REF!</definedName>
    <definedName name="design11" localSheetId="5">#REF!</definedName>
    <definedName name="design11">#REF!</definedName>
    <definedName name="design12" localSheetId="9">#REF!</definedName>
    <definedName name="design12" localSheetId="7">#REF!</definedName>
    <definedName name="design12" localSheetId="5">#REF!</definedName>
    <definedName name="design12">#REF!</definedName>
    <definedName name="design13" localSheetId="9">#REF!</definedName>
    <definedName name="design13" localSheetId="7">#REF!</definedName>
    <definedName name="design13" localSheetId="5">#REF!</definedName>
    <definedName name="design13">#REF!</definedName>
    <definedName name="design13t" localSheetId="9">#REF!</definedName>
    <definedName name="design13t" localSheetId="7">#REF!</definedName>
    <definedName name="design13t" localSheetId="5">#REF!</definedName>
    <definedName name="design13t">#REF!</definedName>
    <definedName name="design14" localSheetId="9">#REF!</definedName>
    <definedName name="design14" localSheetId="7">#REF!</definedName>
    <definedName name="design14" localSheetId="5">#REF!</definedName>
    <definedName name="design14">#REF!</definedName>
    <definedName name="design15" localSheetId="9">#REF!</definedName>
    <definedName name="design15" localSheetId="7">#REF!</definedName>
    <definedName name="design15" localSheetId="5">#REF!</definedName>
    <definedName name="design15">#REF!</definedName>
    <definedName name="design16" localSheetId="9">#REF!</definedName>
    <definedName name="design16" localSheetId="7">#REF!</definedName>
    <definedName name="design16" localSheetId="5">#REF!</definedName>
    <definedName name="design16">#REF!</definedName>
    <definedName name="design18" localSheetId="9">#REF!</definedName>
    <definedName name="design18" localSheetId="7">#REF!</definedName>
    <definedName name="design18" localSheetId="5">#REF!</definedName>
    <definedName name="design18">#REF!</definedName>
    <definedName name="design19" localSheetId="9">#REF!</definedName>
    <definedName name="design19" localSheetId="7">#REF!</definedName>
    <definedName name="design19" localSheetId="5">#REF!</definedName>
    <definedName name="design19">#REF!</definedName>
    <definedName name="design2" localSheetId="9">#REF!</definedName>
    <definedName name="design2" localSheetId="7">#REF!</definedName>
    <definedName name="design2" localSheetId="5">#REF!</definedName>
    <definedName name="design2">#REF!</definedName>
    <definedName name="design20" localSheetId="9">#REF!</definedName>
    <definedName name="design20" localSheetId="7">#REF!</definedName>
    <definedName name="design20" localSheetId="5">#REF!</definedName>
    <definedName name="design20">#REF!</definedName>
    <definedName name="design21" localSheetId="9">#REF!</definedName>
    <definedName name="design21" localSheetId="7">#REF!</definedName>
    <definedName name="design21" localSheetId="5">#REF!</definedName>
    <definedName name="design21">#REF!</definedName>
    <definedName name="design22" localSheetId="9">#REF!</definedName>
    <definedName name="design22" localSheetId="7">#REF!</definedName>
    <definedName name="design22" localSheetId="5">#REF!</definedName>
    <definedName name="design22">#REF!</definedName>
    <definedName name="design23" localSheetId="9">#REF!</definedName>
    <definedName name="design23" localSheetId="7">#REF!</definedName>
    <definedName name="design23" localSheetId="5">#REF!</definedName>
    <definedName name="design23">#REF!</definedName>
    <definedName name="design23a" localSheetId="9">#REF!</definedName>
    <definedName name="design23a" localSheetId="7">#REF!</definedName>
    <definedName name="design23a" localSheetId="5">#REF!</definedName>
    <definedName name="design23a">#REF!</definedName>
    <definedName name="design23t" localSheetId="9">#REF!</definedName>
    <definedName name="design23t" localSheetId="7">#REF!</definedName>
    <definedName name="design23t" localSheetId="5">#REF!</definedName>
    <definedName name="design23t">#REF!</definedName>
    <definedName name="design24" localSheetId="9">#REF!</definedName>
    <definedName name="design24" localSheetId="7">#REF!</definedName>
    <definedName name="design24" localSheetId="5">#REF!</definedName>
    <definedName name="design24">#REF!</definedName>
    <definedName name="design25" localSheetId="9">#REF!</definedName>
    <definedName name="design25" localSheetId="7">#REF!</definedName>
    <definedName name="design25" localSheetId="5">#REF!</definedName>
    <definedName name="design25">#REF!</definedName>
    <definedName name="design26" localSheetId="9">#REF!</definedName>
    <definedName name="design26" localSheetId="7">#REF!</definedName>
    <definedName name="design26" localSheetId="5">#REF!</definedName>
    <definedName name="design26">#REF!</definedName>
    <definedName name="design27" localSheetId="9">#REF!</definedName>
    <definedName name="design27" localSheetId="7">#REF!</definedName>
    <definedName name="design27" localSheetId="5">#REF!</definedName>
    <definedName name="design27">#REF!</definedName>
    <definedName name="design28a" localSheetId="9">#REF!</definedName>
    <definedName name="design28a" localSheetId="7">#REF!</definedName>
    <definedName name="design28a" localSheetId="5">#REF!</definedName>
    <definedName name="design28a">#REF!</definedName>
    <definedName name="design28b" localSheetId="9">#REF!</definedName>
    <definedName name="design28b" localSheetId="7">#REF!</definedName>
    <definedName name="design28b" localSheetId="5">#REF!</definedName>
    <definedName name="design28b">#REF!</definedName>
    <definedName name="design29" localSheetId="9">#REF!</definedName>
    <definedName name="design29" localSheetId="7">#REF!</definedName>
    <definedName name="design29" localSheetId="5">#REF!</definedName>
    <definedName name="design29">#REF!</definedName>
    <definedName name="design3" localSheetId="9">#REF!</definedName>
    <definedName name="design3" localSheetId="7">#REF!</definedName>
    <definedName name="design3" localSheetId="5">#REF!</definedName>
    <definedName name="design3">#REF!</definedName>
    <definedName name="design30" localSheetId="9">#REF!</definedName>
    <definedName name="design30" localSheetId="7">#REF!</definedName>
    <definedName name="design30" localSheetId="5">#REF!</definedName>
    <definedName name="design30">#REF!</definedName>
    <definedName name="design31" localSheetId="9">#REF!</definedName>
    <definedName name="design31" localSheetId="7">#REF!</definedName>
    <definedName name="design31" localSheetId="5">#REF!</definedName>
    <definedName name="design31">#REF!</definedName>
    <definedName name="design32" localSheetId="9">#REF!</definedName>
    <definedName name="design32" localSheetId="7">#REF!</definedName>
    <definedName name="design32" localSheetId="5">#REF!</definedName>
    <definedName name="design32">#REF!</definedName>
    <definedName name="design34" localSheetId="9">#REF!</definedName>
    <definedName name="design34" localSheetId="7">#REF!</definedName>
    <definedName name="design34" localSheetId="5">#REF!</definedName>
    <definedName name="design34">#REF!</definedName>
    <definedName name="design4" localSheetId="9">#REF!</definedName>
    <definedName name="design4" localSheetId="7">#REF!</definedName>
    <definedName name="design4" localSheetId="5">#REF!</definedName>
    <definedName name="design4">#REF!</definedName>
    <definedName name="design5" localSheetId="9">#REF!</definedName>
    <definedName name="design5" localSheetId="7">#REF!</definedName>
    <definedName name="design5" localSheetId="5">#REF!</definedName>
    <definedName name="design5">#REF!</definedName>
    <definedName name="design6" localSheetId="9">#REF!</definedName>
    <definedName name="design6" localSheetId="7">#REF!</definedName>
    <definedName name="design6" localSheetId="5">#REF!</definedName>
    <definedName name="design6">#REF!</definedName>
    <definedName name="design7" localSheetId="9">#REF!</definedName>
    <definedName name="design7" localSheetId="7">#REF!</definedName>
    <definedName name="design7" localSheetId="5">#REF!</definedName>
    <definedName name="design7">#REF!</definedName>
    <definedName name="design8" localSheetId="9">#REF!</definedName>
    <definedName name="design8" localSheetId="7">#REF!</definedName>
    <definedName name="design8" localSheetId="5">#REF!</definedName>
    <definedName name="design8">#REF!</definedName>
    <definedName name="design9" localSheetId="9">#REF!</definedName>
    <definedName name="design9" localSheetId="7">#REF!</definedName>
    <definedName name="design9" localSheetId="5">#REF!</definedName>
    <definedName name="design9">#REF!</definedName>
    <definedName name="ECADAct" localSheetId="9">#REF!</definedName>
    <definedName name="ECADAct" localSheetId="7">#REF!</definedName>
    <definedName name="ECADAct" localSheetId="5">#REF!</definedName>
    <definedName name="ECADAct">#REF!</definedName>
    <definedName name="ECADAv" localSheetId="9">#REF!</definedName>
    <definedName name="ECADAv" localSheetId="7">#REF!</definedName>
    <definedName name="ECADAv" localSheetId="5">#REF!</definedName>
    <definedName name="ECADAv">#REF!</definedName>
    <definedName name="EPAAct" localSheetId="9">#REF!</definedName>
    <definedName name="EPAAct" localSheetId="7">#REF!</definedName>
    <definedName name="EPAAct" localSheetId="5">#REF!</definedName>
    <definedName name="EPAAct">#REF!</definedName>
    <definedName name="EPAFore" localSheetId="9">#REF!</definedName>
    <definedName name="EPAFore" localSheetId="7">#REF!</definedName>
    <definedName name="EPAFore" localSheetId="5">#REF!</definedName>
    <definedName name="EPAFore">#REF!</definedName>
    <definedName name="ESP_Factor" localSheetId="9">'[10]02 Frt Floor'!#REF!</definedName>
    <definedName name="ESP_Factor" localSheetId="7">'[10]02 Frt Floor'!#REF!</definedName>
    <definedName name="ESP_Factor" localSheetId="5">'[10]02 Frt Floor'!#REF!</definedName>
    <definedName name="ESP_Factor">'[10]02 Frt Floor'!#REF!</definedName>
    <definedName name="ESWP_Info" localSheetId="9">#REF!</definedName>
    <definedName name="ESWP_Info" localSheetId="7">#REF!</definedName>
    <definedName name="ESWP_Info" localSheetId="5">#REF!</definedName>
    <definedName name="ESWP_Info">#REF!</definedName>
    <definedName name="EUBoM" localSheetId="9">#REF!</definedName>
    <definedName name="EUBoM" localSheetId="7">#REF!</definedName>
    <definedName name="EUBoM" localSheetId="5">#REF!</definedName>
    <definedName name="EUBoM">#REF!</definedName>
    <definedName name="EURO_Factor" localSheetId="9">#REF!</definedName>
    <definedName name="EURO_Factor" localSheetId="7">#REF!</definedName>
    <definedName name="EURO_Factor" localSheetId="5">#REF!</definedName>
    <definedName name="EURO_Factor">#REF!</definedName>
    <definedName name="Exchange_Rates" localSheetId="9">#REF!</definedName>
    <definedName name="Exchange_Rates" localSheetId="7">#REF!</definedName>
    <definedName name="Exchange_Rates" localSheetId="5">#REF!</definedName>
    <definedName name="Exchange_Rates">#REF!</definedName>
    <definedName name="Family1" localSheetId="9">#REF!</definedName>
    <definedName name="Family1" localSheetId="7">#REF!</definedName>
    <definedName name="Family1" localSheetId="5">#REF!</definedName>
    <definedName name="Family1">#REF!</definedName>
    <definedName name="Family2" localSheetId="9">#REF!</definedName>
    <definedName name="Family2" localSheetId="7">#REF!</definedName>
    <definedName name="Family2" localSheetId="5">#REF!</definedName>
    <definedName name="Family2">#REF!</definedName>
    <definedName name="Family3" localSheetId="9">#REF!</definedName>
    <definedName name="Family3" localSheetId="7">#REF!</definedName>
    <definedName name="Family3" localSheetId="5">#REF!</definedName>
    <definedName name="Family3">#REF!</definedName>
    <definedName name="Family4" localSheetId="9">#REF!</definedName>
    <definedName name="Family4" localSheetId="7">#REF!</definedName>
    <definedName name="Family4" localSheetId="5">#REF!</definedName>
    <definedName name="Family4">#REF!</definedName>
    <definedName name="Family5" localSheetId="9">#REF!</definedName>
    <definedName name="Family5" localSheetId="7">#REF!</definedName>
    <definedName name="Family5" localSheetId="5">#REF!</definedName>
    <definedName name="Family5">#REF!</definedName>
    <definedName name="Family6" localSheetId="9">#REF!</definedName>
    <definedName name="Family6" localSheetId="7">#REF!</definedName>
    <definedName name="Family6" localSheetId="5">#REF!</definedName>
    <definedName name="Family6">#REF!</definedName>
    <definedName name="FAPXRates" localSheetId="9">#REF!</definedName>
    <definedName name="FAPXRates" localSheetId="7">#REF!</definedName>
    <definedName name="FAPXRates" localSheetId="5">#REF!</definedName>
    <definedName name="FAPXRates">#REF!</definedName>
    <definedName name="fcsttotal" localSheetId="9">#REF!</definedName>
    <definedName name="fcsttotal" localSheetId="7">#REF!</definedName>
    <definedName name="fcsttotal" localSheetId="5">#REF!</definedName>
    <definedName name="fcsttotal">#REF!</definedName>
    <definedName name="Filter_details" localSheetId="9">#REF!</definedName>
    <definedName name="Filter_details" localSheetId="7">#REF!</definedName>
    <definedName name="Filter_details" localSheetId="5">#REF!</definedName>
    <definedName name="Filter_details">#REF!</definedName>
    <definedName name="First" localSheetId="9">[11]Rules!#REF!</definedName>
    <definedName name="First" localSheetId="7">[11]Rules!#REF!</definedName>
    <definedName name="First" localSheetId="5">[11]Rules!#REF!</definedName>
    <definedName name="First">[11]Rules!#REF!</definedName>
    <definedName name="First_Lower" localSheetId="9">'[12]Parts Requiring Orders'!#REF!</definedName>
    <definedName name="First_Lower" localSheetId="7">'[12]Parts Requiring Orders'!#REF!</definedName>
    <definedName name="First_Lower" localSheetId="5">'[12]Parts Requiring Orders'!#REF!</definedName>
    <definedName name="First_Lower">'[12]Parts Requiring Orders'!#REF!</definedName>
    <definedName name="FRF_FACTOR" localSheetId="9">#REF!</definedName>
    <definedName name="FRF_FACTOR" localSheetId="7">#REF!</definedName>
    <definedName name="FRF_FACTOR" localSheetId="5">#REF!</definedName>
    <definedName name="FRF_FACTOR">#REF!</definedName>
    <definedName name="ftdata" localSheetId="9">#REF!</definedName>
    <definedName name="ftdata" localSheetId="7">#REF!</definedName>
    <definedName name="ftdata" localSheetId="5">#REF!</definedName>
    <definedName name="ftdata">#REF!</definedName>
    <definedName name="GBP_Factor" localSheetId="9">#REF!</definedName>
    <definedName name="GBP_Factor" localSheetId="7">#REF!</definedName>
    <definedName name="GBP_Factor" localSheetId="5">#REF!</definedName>
    <definedName name="GBP_Factor">#REF!</definedName>
    <definedName name="GrandTotals" localSheetId="9">#REF!</definedName>
    <definedName name="GrandTotals" localSheetId="7">#REF!</definedName>
    <definedName name="GrandTotals" localSheetId="5">#REF!</definedName>
    <definedName name="GrandTotals">#REF!</definedName>
    <definedName name="Header1" localSheetId="9">#REF!</definedName>
    <definedName name="Header1" localSheetId="7">#REF!</definedName>
    <definedName name="Header1" localSheetId="5">#REF!</definedName>
    <definedName name="Header1">#REF!</definedName>
    <definedName name="Last" localSheetId="9">[11]Rules!#REF!</definedName>
    <definedName name="Last" localSheetId="7">[11]Rules!#REF!</definedName>
    <definedName name="Last" localSheetId="5">[11]Rules!#REF!</definedName>
    <definedName name="Last">[11]Rules!#REF!</definedName>
    <definedName name="Last_Lower" localSheetId="9">'[12]Parts Requiring Orders'!#REF!</definedName>
    <definedName name="Last_Lower" localSheetId="7">'[12]Parts Requiring Orders'!#REF!</definedName>
    <definedName name="Last_Lower" localSheetId="5">'[12]Parts Requiring Orders'!#REF!</definedName>
    <definedName name="Last_Lower">'[12]Parts Requiring Orders'!#REF!</definedName>
    <definedName name="lastCell" localSheetId="9">#REF!</definedName>
    <definedName name="lastCell" localSheetId="7">#REF!</definedName>
    <definedName name="lastCell" localSheetId="5">#REF!</definedName>
    <definedName name="lastCell">#REF!</definedName>
    <definedName name="LastColumn" localSheetId="9">#REF!</definedName>
    <definedName name="LastColumn" localSheetId="7">#REF!</definedName>
    <definedName name="LastColumn" localSheetId="5">#REF!</definedName>
    <definedName name="LastColumn">#REF!</definedName>
    <definedName name="List" localSheetId="9">#REF!</definedName>
    <definedName name="List" localSheetId="7">#REF!</definedName>
    <definedName name="List" localSheetId="5">#REF!</definedName>
    <definedName name="List">#REF!</definedName>
    <definedName name="list1">[13]Milestones!$A$1:'[13]Milestones'!$A$4:$IV$4</definedName>
    <definedName name="list2">[13]Milestones!$A$1:'[13]Milestones'!$A$4:$IV$4</definedName>
    <definedName name="ListColor" localSheetId="9">#REF!</definedName>
    <definedName name="ListColor" localSheetId="7">#REF!</definedName>
    <definedName name="ListColor" localSheetId="5">#REF!</definedName>
    <definedName name="ListColor">#REF!</definedName>
    <definedName name="ListPercent" localSheetId="9">#REF!</definedName>
    <definedName name="ListPercent" localSheetId="7">#REF!</definedName>
    <definedName name="ListPercent" localSheetId="5">#REF!</definedName>
    <definedName name="ListPercent">#REF!</definedName>
    <definedName name="ListResponsibility" localSheetId="9">#REF!</definedName>
    <definedName name="ListResponsibility" localSheetId="7">#REF!</definedName>
    <definedName name="ListResponsibility" localSheetId="5">#REF!</definedName>
    <definedName name="ListResponsibility">#REF!</definedName>
    <definedName name="ListRYG" localSheetId="9">#REF!</definedName>
    <definedName name="ListRYG" localSheetId="7">#REF!</definedName>
    <definedName name="ListRYG" localSheetId="5">#REF!</definedName>
    <definedName name="ListRYG">#REF!</definedName>
    <definedName name="ListStatus" localSheetId="9">#REF!</definedName>
    <definedName name="ListStatus" localSheetId="7">#REF!</definedName>
    <definedName name="ListStatus" localSheetId="5">#REF!</definedName>
    <definedName name="ListStatus">#REF!</definedName>
    <definedName name="ListSymbolType" localSheetId="9">#REF!</definedName>
    <definedName name="ListSymbolType" localSheetId="7">#REF!</definedName>
    <definedName name="ListSymbolType" localSheetId="5">#REF!</definedName>
    <definedName name="ListSymbolType">#REF!</definedName>
    <definedName name="ListTrueFalse" localSheetId="9">#REF!</definedName>
    <definedName name="ListTrueFalse" localSheetId="7">#REF!</definedName>
    <definedName name="ListTrueFalse" localSheetId="5">#REF!</definedName>
    <definedName name="ListTrueFalse">#REF!</definedName>
    <definedName name="LocalCosts" localSheetId="9">#REF!</definedName>
    <definedName name="LocalCosts" localSheetId="7">#REF!</definedName>
    <definedName name="LocalCosts" localSheetId="5">#REF!</definedName>
    <definedName name="LocalCosts">#REF!</definedName>
    <definedName name="LVCell" localSheetId="9">#REF!</definedName>
    <definedName name="LVCell" localSheetId="7">#REF!</definedName>
    <definedName name="LVCell" localSheetId="5">#REF!</definedName>
    <definedName name="LVCell">#REF!</definedName>
    <definedName name="m">OFFSET([14]Config!$B$28,0,0,COUNTA([14]Config!$B$28:$B$42),1)</definedName>
    <definedName name="M48L" localSheetId="9">#REF!</definedName>
    <definedName name="M48L" localSheetId="7">#REF!</definedName>
    <definedName name="M48L" localSheetId="5">#REF!</definedName>
    <definedName name="M48L">#REF!</definedName>
    <definedName name="Manager" localSheetId="9">#REF!</definedName>
    <definedName name="Manager" localSheetId="7">#REF!</definedName>
    <definedName name="Manager" localSheetId="5">#REF!</definedName>
    <definedName name="Manager">#REF!</definedName>
    <definedName name="Milestones">OFFSET([15]Config!$B$28,0,0,COUNTA([15]Config!$B$28:$B$42),1)</definedName>
    <definedName name="next1" localSheetId="9">#REF!</definedName>
    <definedName name="next1" localSheetId="7">#REF!</definedName>
    <definedName name="next1" localSheetId="5">#REF!</definedName>
    <definedName name="next1">#REF!</definedName>
    <definedName name="NextKey1" localSheetId="9">[3]!NextKey1</definedName>
    <definedName name="NextKey1" localSheetId="7">[3]!NextKey1</definedName>
    <definedName name="NextKey1" localSheetId="5">[3]!NextKey1</definedName>
    <definedName name="NextKey1">[3]!NextKey1</definedName>
    <definedName name="Owner">OFFSET([15]Config!$D$28,0,0,COUNTA([15]Config!$D$28:$D$42),1)</definedName>
    <definedName name="PAAct" localSheetId="9">#REF!</definedName>
    <definedName name="PAAct" localSheetId="7">#REF!</definedName>
    <definedName name="PAAct" localSheetId="5">#REF!</definedName>
    <definedName name="PAAct">#REF!</definedName>
    <definedName name="PAFore" localSheetId="9">#REF!</definedName>
    <definedName name="PAFore" localSheetId="7">#REF!</definedName>
    <definedName name="PAFore" localSheetId="5">#REF!</definedName>
    <definedName name="PAFore">#REF!</definedName>
    <definedName name="PartBase">'[16]Prices C214_C307'!$B$13:$M$162</definedName>
    <definedName name="PartSelect" localSheetId="9">#REF!</definedName>
    <definedName name="PartSelect" localSheetId="7">#REF!</definedName>
    <definedName name="PartSelect" localSheetId="5">#REF!</definedName>
    <definedName name="PartSelect">#REF!</definedName>
    <definedName name="PartStuff" localSheetId="9">#REF!</definedName>
    <definedName name="PartStuff" localSheetId="7">#REF!</definedName>
    <definedName name="PartStuff" localSheetId="5">#REF!</definedName>
    <definedName name="PartStuff">#REF!</definedName>
    <definedName name="PASummary" localSheetId="9">#REF!</definedName>
    <definedName name="PASummary" localSheetId="7">#REF!</definedName>
    <definedName name="PASummary" localSheetId="5">#REF!</definedName>
    <definedName name="PASummary">#REF!</definedName>
    <definedName name="patotal" localSheetId="9">#REF!</definedName>
    <definedName name="patotal" localSheetId="7">#REF!</definedName>
    <definedName name="patotal" localSheetId="5">#REF!</definedName>
    <definedName name="patotal">#REF!</definedName>
    <definedName name="PAuthNo" localSheetId="9">#REF!</definedName>
    <definedName name="PAuthNo" localSheetId="7">#REF!</definedName>
    <definedName name="PAuthNo" localSheetId="5">#REF!</definedName>
    <definedName name="PAuthNo">#REF!</definedName>
    <definedName name="Pelzer" localSheetId="9">#REF!</definedName>
    <definedName name="Pelzer" localSheetId="7">#REF!</definedName>
    <definedName name="Pelzer" localSheetId="5">#REF!</definedName>
    <definedName name="Pelzer">#REF!</definedName>
    <definedName name="Picked_Feats" localSheetId="9">#REF!</definedName>
    <definedName name="Picked_Feats" localSheetId="7">#REF!</definedName>
    <definedName name="Picked_Feats" localSheetId="5">#REF!</definedName>
    <definedName name="Picked_Feats">#REF!</definedName>
    <definedName name="PLT_Exchange">[17]Exchange!$B$12:$D$20</definedName>
    <definedName name="PrefixBase" localSheetId="9">#REF!</definedName>
    <definedName name="PrefixBase" localSheetId="7">#REF!</definedName>
    <definedName name="PrefixBase" localSheetId="5">#REF!</definedName>
    <definedName name="PrefixBase">#REF!</definedName>
    <definedName name="_xlnm.Print_Area" localSheetId="10">'CD539MCA PV weekly follow up'!$C$1:$Q$41</definedName>
    <definedName name="_xlnm.Print_Area" localSheetId="1">'Tracking List'!$A$1:$AL$659</definedName>
    <definedName name="_xlnm.Print_Area" localSheetId="3">Working!$A$1:$Q$500</definedName>
    <definedName name="_xlnm.Print_Titles" localSheetId="9">#REF!</definedName>
    <definedName name="_xlnm.Print_Titles" localSheetId="7">#REF!</definedName>
    <definedName name="_xlnm.Print_Titles" localSheetId="5">#REF!</definedName>
    <definedName name="_xlnm.Print_Titles">#REF!</definedName>
    <definedName name="print7">#N/A</definedName>
    <definedName name="PTE_Factor" localSheetId="9">#REF!</definedName>
    <definedName name="PTE_Factor" localSheetId="7">#REF!</definedName>
    <definedName name="PTE_Factor" localSheetId="5">#REF!</definedName>
    <definedName name="PTE_Factor">#REF!</definedName>
    <definedName name="ptype" localSheetId="9">#REF!</definedName>
    <definedName name="ptype" localSheetId="7">#REF!</definedName>
    <definedName name="ptype" localSheetId="5">#REF!</definedName>
    <definedName name="ptype">#REF!</definedName>
    <definedName name="q">[2]Input!$H$1:$I$65536,[2]Input!$O$1:$P$65536,[2]Input!$V$1:$W$65536,[2]Input!$AC$1:$AD$65536,[2]Input!$AJ$1:$AK$65536,[2]Input!$AQ$1:$AR$65536,[2]Input!$AX$1:$AY$65536,[2]Input!$BE$1:$BF$65536,[2]Input!$BL$1:$BM$65536,[2]Input!$BS$1:$BT$65536,[2]Input!$BZ$1:$CA$65536,[2]Input!$CG$1:$CH$65536,[2]Input!$CN$1:$CO$65536,[2]Input!$CU$1:$CV$65536,[2]Input!$DB$1:$DC$65536,[2]Input!$DI$1:$DJ$65536,[2]Input!$DP$1:$DQ$65536,[2]Input!$DW$1:$DX$65536,[2]Input!$ED$1:$EE$65536,[2]Input!$EK$1:$EL$65536,[2]Input!$ER$1:$ES$65536,[2]Input!$EY$1:$EZ$65536,[2]Input!$FF$1:$FG$65536,[2]Input!$FM$1:$FN$65536,[2]Input!$FT$1:$FU$65536</definedName>
    <definedName name="qq">[2]Input!$G$1:$H$65536,[2]Input!$M$1:$N$65536,[2]Input!$S$1:$T$65536,[2]Input!$Y$1:$Z$65536,[2]Input!$AE$1:$AF$65536,[2]Input!$AK$1:$AL$65536,[2]Input!$AQ$1:$AR$65536,[2]Input!$AW$1:$AX$65536,[2]Input!$BC$1:$BD$65536,[2]Input!$BI$1:$BJ$65536,[2]Input!$BO$1:$BP$65536,[2]Input!$BU$1:$BV$65536,[2]Input!$CA$1:$CB$65536,[2]Input!$CG$1:$CH$65536,[2]Input!$CM$1:$CN$65536,[2]Input!$CS$1:$CT$65536,[2]Input!$CY$1:$CZ$65536,[2]Input!$DE$1:$DF$65536,[2]Input!$DK$1:$DL$65536,[2]Input!$DQ$1:$DR$65536</definedName>
    <definedName name="Responsibility" localSheetId="9">#REF!</definedName>
    <definedName name="Responsibility" localSheetId="7">#REF!</definedName>
    <definedName name="Responsibility" localSheetId="5">#REF!</definedName>
    <definedName name="Responsibility">#REF!</definedName>
    <definedName name="risk1" localSheetId="9">#REF!</definedName>
    <definedName name="risk1" localSheetId="7">#REF!</definedName>
    <definedName name="risk1" localSheetId="5">#REF!</definedName>
    <definedName name="risk1">#REF!</definedName>
    <definedName name="risk10" localSheetId="9">#REF!</definedName>
    <definedName name="risk10" localSheetId="7">#REF!</definedName>
    <definedName name="risk10" localSheetId="5">#REF!</definedName>
    <definedName name="risk10">#REF!</definedName>
    <definedName name="risk11" localSheetId="9">#REF!</definedName>
    <definedName name="risk11" localSheetId="7">#REF!</definedName>
    <definedName name="risk11" localSheetId="5">#REF!</definedName>
    <definedName name="risk11">#REF!</definedName>
    <definedName name="risk12" localSheetId="9">#REF!</definedName>
    <definedName name="risk12" localSheetId="7">#REF!</definedName>
    <definedName name="risk12" localSheetId="5">#REF!</definedName>
    <definedName name="risk12">#REF!</definedName>
    <definedName name="risk13" localSheetId="9">#REF!</definedName>
    <definedName name="risk13" localSheetId="7">#REF!</definedName>
    <definedName name="risk13" localSheetId="5">#REF!</definedName>
    <definedName name="risk13">#REF!</definedName>
    <definedName name="risk13t" localSheetId="9">#REF!</definedName>
    <definedName name="risk13t" localSheetId="7">#REF!</definedName>
    <definedName name="risk13t" localSheetId="5">#REF!</definedName>
    <definedName name="risk13t">#REF!</definedName>
    <definedName name="risk14" localSheetId="9">#REF!</definedName>
    <definedName name="risk14" localSheetId="7">#REF!</definedName>
    <definedName name="risk14" localSheetId="5">#REF!</definedName>
    <definedName name="risk14">#REF!</definedName>
    <definedName name="risk15" localSheetId="9">#REF!</definedName>
    <definedName name="risk15" localSheetId="7">#REF!</definedName>
    <definedName name="risk15" localSheetId="5">#REF!</definedName>
    <definedName name="risk15">#REF!</definedName>
    <definedName name="risk16" localSheetId="9">#REF!</definedName>
    <definedName name="risk16" localSheetId="7">#REF!</definedName>
    <definedName name="risk16" localSheetId="5">#REF!</definedName>
    <definedName name="risk16">#REF!</definedName>
    <definedName name="risk18" localSheetId="9">#REF!</definedName>
    <definedName name="risk18" localSheetId="7">#REF!</definedName>
    <definedName name="risk18" localSheetId="5">#REF!</definedName>
    <definedName name="risk18">#REF!</definedName>
    <definedName name="risk19" localSheetId="9">#REF!</definedName>
    <definedName name="risk19" localSheetId="7">#REF!</definedName>
    <definedName name="risk19" localSheetId="5">#REF!</definedName>
    <definedName name="risk19">#REF!</definedName>
    <definedName name="risk2" localSheetId="9">#REF!</definedName>
    <definedName name="risk2" localSheetId="7">#REF!</definedName>
    <definedName name="risk2" localSheetId="5">#REF!</definedName>
    <definedName name="risk2">#REF!</definedName>
    <definedName name="risk20" localSheetId="9">#REF!</definedName>
    <definedName name="risk20" localSheetId="7">#REF!</definedName>
    <definedName name="risk20" localSheetId="5">#REF!</definedName>
    <definedName name="risk20">#REF!</definedName>
    <definedName name="risk21" localSheetId="9">#REF!</definedName>
    <definedName name="risk21" localSheetId="7">#REF!</definedName>
    <definedName name="risk21" localSheetId="5">#REF!</definedName>
    <definedName name="risk21">#REF!</definedName>
    <definedName name="risk22" localSheetId="9">#REF!</definedName>
    <definedName name="risk22" localSheetId="7">#REF!</definedName>
    <definedName name="risk22" localSheetId="5">#REF!</definedName>
    <definedName name="risk22">#REF!</definedName>
    <definedName name="risk23" localSheetId="9">#REF!</definedName>
    <definedName name="risk23" localSheetId="7">#REF!</definedName>
    <definedName name="risk23" localSheetId="5">#REF!</definedName>
    <definedName name="risk23">#REF!</definedName>
    <definedName name="risk23a" localSheetId="9">#REF!</definedName>
    <definedName name="risk23a" localSheetId="7">#REF!</definedName>
    <definedName name="risk23a" localSheetId="5">#REF!</definedName>
    <definedName name="risk23a">#REF!</definedName>
    <definedName name="risk23t" localSheetId="9">#REF!</definedName>
    <definedName name="risk23t" localSheetId="7">#REF!</definedName>
    <definedName name="risk23t" localSheetId="5">#REF!</definedName>
    <definedName name="risk23t">#REF!</definedName>
    <definedName name="risk24" localSheetId="9">#REF!</definedName>
    <definedName name="risk24" localSheetId="7">#REF!</definedName>
    <definedName name="risk24" localSheetId="5">#REF!</definedName>
    <definedName name="risk24">#REF!</definedName>
    <definedName name="risk25" localSheetId="9">#REF!</definedName>
    <definedName name="risk25" localSheetId="7">#REF!</definedName>
    <definedName name="risk25" localSheetId="5">#REF!</definedName>
    <definedName name="risk25">#REF!</definedName>
    <definedName name="risk26" localSheetId="9">#REF!</definedName>
    <definedName name="risk26" localSheetId="7">#REF!</definedName>
    <definedName name="risk26" localSheetId="5">#REF!</definedName>
    <definedName name="risk26">#REF!</definedName>
    <definedName name="risk27" localSheetId="9">#REF!</definedName>
    <definedName name="risk27" localSheetId="7">#REF!</definedName>
    <definedName name="risk27" localSheetId="5">#REF!</definedName>
    <definedName name="risk27">#REF!</definedName>
    <definedName name="risk28a" localSheetId="9">#REF!</definedName>
    <definedName name="risk28a" localSheetId="7">#REF!</definedName>
    <definedName name="risk28a" localSheetId="5">#REF!</definedName>
    <definedName name="risk28a">#REF!</definedName>
    <definedName name="risk28b" localSheetId="9">#REF!</definedName>
    <definedName name="risk28b" localSheetId="7">#REF!</definedName>
    <definedName name="risk28b" localSheetId="5">#REF!</definedName>
    <definedName name="risk28b">#REF!</definedName>
    <definedName name="risk29" localSheetId="9">#REF!</definedName>
    <definedName name="risk29" localSheetId="7">#REF!</definedName>
    <definedName name="risk29" localSheetId="5">#REF!</definedName>
    <definedName name="risk29">#REF!</definedName>
    <definedName name="risk3" localSheetId="9">#REF!</definedName>
    <definedName name="risk3" localSheetId="7">#REF!</definedName>
    <definedName name="risk3" localSheetId="5">#REF!</definedName>
    <definedName name="risk3">#REF!</definedName>
    <definedName name="risk30" localSheetId="9">#REF!</definedName>
    <definedName name="risk30" localSheetId="7">#REF!</definedName>
    <definedName name="risk30" localSheetId="5">#REF!</definedName>
    <definedName name="risk30">#REF!</definedName>
    <definedName name="risk31" localSheetId="9">#REF!</definedName>
    <definedName name="risk31" localSheetId="7">#REF!</definedName>
    <definedName name="risk31" localSheetId="5">#REF!</definedName>
    <definedName name="risk31">#REF!</definedName>
    <definedName name="risk32" localSheetId="9">#REF!</definedName>
    <definedName name="risk32" localSheetId="7">#REF!</definedName>
    <definedName name="risk32" localSheetId="5">#REF!</definedName>
    <definedName name="risk32">#REF!</definedName>
    <definedName name="risk34" localSheetId="9">#REF!</definedName>
    <definedName name="risk34" localSheetId="7">#REF!</definedName>
    <definedName name="risk34" localSheetId="5">#REF!</definedName>
    <definedName name="risk34">#REF!</definedName>
    <definedName name="risk4" localSheetId="9">#REF!</definedName>
    <definedName name="risk4" localSheetId="7">#REF!</definedName>
    <definedName name="risk4" localSheetId="5">#REF!</definedName>
    <definedName name="risk4">#REF!</definedName>
    <definedName name="risk5" localSheetId="9">#REF!</definedName>
    <definedName name="risk5" localSheetId="7">#REF!</definedName>
    <definedName name="risk5" localSheetId="5">#REF!</definedName>
    <definedName name="risk5">#REF!</definedName>
    <definedName name="risk6" localSheetId="9">#REF!</definedName>
    <definedName name="risk6" localSheetId="7">#REF!</definedName>
    <definedName name="risk6" localSheetId="5">#REF!</definedName>
    <definedName name="risk6">#REF!</definedName>
    <definedName name="risk7" localSheetId="9">#REF!</definedName>
    <definedName name="risk7" localSheetId="7">#REF!</definedName>
    <definedName name="risk7" localSheetId="5">#REF!</definedName>
    <definedName name="risk7">#REF!</definedName>
    <definedName name="risk8" localSheetId="9">#REF!</definedName>
    <definedName name="risk8" localSheetId="7">#REF!</definedName>
    <definedName name="risk8" localSheetId="5">#REF!</definedName>
    <definedName name="risk8">#REF!</definedName>
    <definedName name="risk9" localSheetId="9">#REF!</definedName>
    <definedName name="risk9" localSheetId="7">#REF!</definedName>
    <definedName name="risk9" localSheetId="5">#REF!</definedName>
    <definedName name="risk9">#REF!</definedName>
    <definedName name="RoadMap" localSheetId="9">#REF!</definedName>
    <definedName name="RoadMap" localSheetId="7">#REF!</definedName>
    <definedName name="RoadMap" localSheetId="5">#REF!</definedName>
    <definedName name="RoadMap">#REF!</definedName>
    <definedName name="S1JJ22" localSheetId="9">#REF!</definedName>
    <definedName name="S1JJ22" localSheetId="7">#REF!</definedName>
    <definedName name="S1JJ22" localSheetId="5">#REF!</definedName>
    <definedName name="S1JJ22">#REF!</definedName>
    <definedName name="S1JJ23" localSheetId="9">#REF!</definedName>
    <definedName name="S1JJ23" localSheetId="7">#REF!</definedName>
    <definedName name="S1JJ23" localSheetId="5">#REF!</definedName>
    <definedName name="S1JJ23">#REF!</definedName>
    <definedName name="S1JJ24" localSheetId="9">#REF!</definedName>
    <definedName name="S1JJ24" localSheetId="7">#REF!</definedName>
    <definedName name="S1JJ24" localSheetId="5">#REF!</definedName>
    <definedName name="S1JJ24">#REF!</definedName>
    <definedName name="S1JJ25" localSheetId="9">#REF!</definedName>
    <definedName name="S1JJ25" localSheetId="7">#REF!</definedName>
    <definedName name="S1JJ25" localSheetId="5">#REF!</definedName>
    <definedName name="S1JJ25">#REF!</definedName>
    <definedName name="S1JJ28" localSheetId="9">#REF!</definedName>
    <definedName name="S1JJ28" localSheetId="7">#REF!</definedName>
    <definedName name="S1JJ28" localSheetId="5">#REF!</definedName>
    <definedName name="S1JJ28">#REF!</definedName>
    <definedName name="S2JJ1" localSheetId="9">#REF!</definedName>
    <definedName name="S2JJ1" localSheetId="7">#REF!</definedName>
    <definedName name="S2JJ1" localSheetId="5">#REF!</definedName>
    <definedName name="S2JJ1">#REF!</definedName>
    <definedName name="S2JJ10" localSheetId="9">#REF!</definedName>
    <definedName name="S2JJ10" localSheetId="7">#REF!</definedName>
    <definedName name="S2JJ10" localSheetId="5">#REF!</definedName>
    <definedName name="S2JJ10">#REF!</definedName>
    <definedName name="S2JJ11" localSheetId="9">#REF!</definedName>
    <definedName name="S2JJ11" localSheetId="7">#REF!</definedName>
    <definedName name="S2JJ11" localSheetId="5">#REF!</definedName>
    <definedName name="S2JJ11">#REF!</definedName>
    <definedName name="S2JJ12" localSheetId="9">#REF!</definedName>
    <definedName name="S2JJ12" localSheetId="7">#REF!</definedName>
    <definedName name="S2JJ12" localSheetId="5">#REF!</definedName>
    <definedName name="S2JJ12">#REF!</definedName>
    <definedName name="S2JJ13" localSheetId="9">#REF!</definedName>
    <definedName name="S2JJ13" localSheetId="7">#REF!</definedName>
    <definedName name="S2JJ13" localSheetId="5">#REF!</definedName>
    <definedName name="S2JJ13">#REF!</definedName>
    <definedName name="S2JJ14" localSheetId="9">#REF!</definedName>
    <definedName name="S2JJ14" localSheetId="7">#REF!</definedName>
    <definedName name="S2JJ14" localSheetId="5">#REF!</definedName>
    <definedName name="S2JJ14">#REF!</definedName>
    <definedName name="S2JJ15" localSheetId="9">#REF!</definedName>
    <definedName name="S2JJ15" localSheetId="7">#REF!</definedName>
    <definedName name="S2JJ15" localSheetId="5">#REF!</definedName>
    <definedName name="S2JJ15">#REF!</definedName>
    <definedName name="S2JJ16" localSheetId="9">#REF!</definedName>
    <definedName name="S2JJ16" localSheetId="7">#REF!</definedName>
    <definedName name="S2JJ16" localSheetId="5">#REF!</definedName>
    <definedName name="S2JJ16">#REF!</definedName>
    <definedName name="S2JJ17" localSheetId="9">#REF!</definedName>
    <definedName name="S2JJ17" localSheetId="7">#REF!</definedName>
    <definedName name="S2JJ17" localSheetId="5">#REF!</definedName>
    <definedName name="S2JJ17">#REF!</definedName>
    <definedName name="S2JJ18" localSheetId="9">#REF!</definedName>
    <definedName name="S2JJ18" localSheetId="7">#REF!</definedName>
    <definedName name="S2JJ18" localSheetId="5">#REF!</definedName>
    <definedName name="S2JJ18">#REF!</definedName>
    <definedName name="S2JJ19" localSheetId="9">#REF!</definedName>
    <definedName name="S2JJ19" localSheetId="7">#REF!</definedName>
    <definedName name="S2JJ19" localSheetId="5">#REF!</definedName>
    <definedName name="S2JJ19">#REF!</definedName>
    <definedName name="S2JJ2" localSheetId="9">#REF!</definedName>
    <definedName name="S2JJ2" localSheetId="7">#REF!</definedName>
    <definedName name="S2JJ2" localSheetId="5">#REF!</definedName>
    <definedName name="S2JJ2">#REF!</definedName>
    <definedName name="S2JJ20" localSheetId="9">#REF!</definedName>
    <definedName name="S2JJ20" localSheetId="7">#REF!</definedName>
    <definedName name="S2JJ20" localSheetId="5">#REF!</definedName>
    <definedName name="S2JJ20">#REF!</definedName>
    <definedName name="S2JJ21" localSheetId="9">#REF!</definedName>
    <definedName name="S2JJ21" localSheetId="7">#REF!</definedName>
    <definedName name="S2JJ21" localSheetId="5">#REF!</definedName>
    <definedName name="S2JJ21">#REF!</definedName>
    <definedName name="S2JJ22" localSheetId="9">#REF!</definedName>
    <definedName name="S2JJ22" localSheetId="7">#REF!</definedName>
    <definedName name="S2JJ22" localSheetId="5">#REF!</definedName>
    <definedName name="S2JJ22">#REF!</definedName>
    <definedName name="S2JJ23" localSheetId="9">#REF!</definedName>
    <definedName name="S2JJ23" localSheetId="7">#REF!</definedName>
    <definedName name="S2JJ23" localSheetId="5">#REF!</definedName>
    <definedName name="S2JJ23">#REF!</definedName>
    <definedName name="S2JJ24" localSheetId="9">#REF!</definedName>
    <definedName name="S2JJ24" localSheetId="7">#REF!</definedName>
    <definedName name="S2JJ24" localSheetId="5">#REF!</definedName>
    <definedName name="S2JJ24">#REF!</definedName>
    <definedName name="S2JJ25" localSheetId="9">#REF!</definedName>
    <definedName name="S2JJ25" localSheetId="7">#REF!</definedName>
    <definedName name="S2JJ25" localSheetId="5">#REF!</definedName>
    <definedName name="S2JJ25">#REF!</definedName>
    <definedName name="S2JJ26" localSheetId="9">#REF!</definedName>
    <definedName name="S2JJ26" localSheetId="7">#REF!</definedName>
    <definedName name="S2JJ26" localSheetId="5">#REF!</definedName>
    <definedName name="S2JJ26">#REF!</definedName>
    <definedName name="S2JJ27" localSheetId="9">#REF!</definedName>
    <definedName name="S2JJ27" localSheetId="7">#REF!</definedName>
    <definedName name="S2JJ27" localSheetId="5">#REF!</definedName>
    <definedName name="S2JJ27">#REF!</definedName>
    <definedName name="S2JJ28" localSheetId="9">#REF!</definedName>
    <definedName name="S2JJ28" localSheetId="7">#REF!</definedName>
    <definedName name="S2JJ28" localSheetId="5">#REF!</definedName>
    <definedName name="S2JJ28">#REF!</definedName>
    <definedName name="S2JJ29" localSheetId="9">#REF!</definedName>
    <definedName name="S2JJ29" localSheetId="7">#REF!</definedName>
    <definedName name="S2JJ29" localSheetId="5">#REF!</definedName>
    <definedName name="S2JJ29">#REF!</definedName>
    <definedName name="S2JJ3" localSheetId="9">#REF!</definedName>
    <definedName name="S2JJ3" localSheetId="7">#REF!</definedName>
    <definedName name="S2JJ3" localSheetId="5">#REF!</definedName>
    <definedName name="S2JJ3">#REF!</definedName>
    <definedName name="S2JJ30" localSheetId="9">#REF!</definedName>
    <definedName name="S2JJ30" localSheetId="7">#REF!</definedName>
    <definedName name="S2JJ30" localSheetId="5">#REF!</definedName>
    <definedName name="S2JJ30">#REF!</definedName>
    <definedName name="S2JJ4" localSheetId="9">#REF!</definedName>
    <definedName name="S2JJ4" localSheetId="7">#REF!</definedName>
    <definedName name="S2JJ4" localSheetId="5">#REF!</definedName>
    <definedName name="S2JJ4">#REF!</definedName>
    <definedName name="S2JJ5" localSheetId="9">#REF!</definedName>
    <definedName name="S2JJ5" localSheetId="7">#REF!</definedName>
    <definedName name="S2JJ5" localSheetId="5">#REF!</definedName>
    <definedName name="S2JJ5">#REF!</definedName>
    <definedName name="S2JJ6" localSheetId="9">#REF!</definedName>
    <definedName name="S2JJ6" localSheetId="7">#REF!</definedName>
    <definedName name="S2JJ6" localSheetId="5">#REF!</definedName>
    <definedName name="S2JJ6">#REF!</definedName>
    <definedName name="S2JJ7" localSheetId="9">#REF!</definedName>
    <definedName name="S2JJ7" localSheetId="7">#REF!</definedName>
    <definedName name="S2JJ7" localSheetId="5">#REF!</definedName>
    <definedName name="S2JJ7">#REF!</definedName>
    <definedName name="S2JJ8" localSheetId="9">#REF!</definedName>
    <definedName name="S2JJ8" localSheetId="7">#REF!</definedName>
    <definedName name="S2JJ8" localSheetId="5">#REF!</definedName>
    <definedName name="S2JJ8">#REF!</definedName>
    <definedName name="S2JJ9" localSheetId="9">#REF!</definedName>
    <definedName name="S2JJ9" localSheetId="7">#REF!</definedName>
    <definedName name="S2JJ9" localSheetId="5">#REF!</definedName>
    <definedName name="S2JJ9">#REF!</definedName>
    <definedName name="S30JJ21" localSheetId="9">#REF!</definedName>
    <definedName name="S30JJ21" localSheetId="7">#REF!</definedName>
    <definedName name="S30JJ21" localSheetId="5">#REF!</definedName>
    <definedName name="S30JJ21">#REF!</definedName>
    <definedName name="S30JJ22" localSheetId="9">#REF!</definedName>
    <definedName name="S30JJ22" localSheetId="7">#REF!</definedName>
    <definedName name="S30JJ22" localSheetId="5">#REF!</definedName>
    <definedName name="S30JJ22">#REF!</definedName>
    <definedName name="S30JJ23" localSheetId="9">#REF!</definedName>
    <definedName name="S30JJ23" localSheetId="7">#REF!</definedName>
    <definedName name="S30JJ23" localSheetId="5">#REF!</definedName>
    <definedName name="S30JJ23">#REF!</definedName>
    <definedName name="S30JJ24" localSheetId="9">#REF!</definedName>
    <definedName name="S30JJ24" localSheetId="7">#REF!</definedName>
    <definedName name="S30JJ24" localSheetId="5">#REF!</definedName>
    <definedName name="S30JJ24">#REF!</definedName>
    <definedName name="S30JJ25" localSheetId="9">#REF!</definedName>
    <definedName name="S30JJ25" localSheetId="7">#REF!</definedName>
    <definedName name="S30JJ25" localSheetId="5">#REF!</definedName>
    <definedName name="S30JJ25">#REF!</definedName>
    <definedName name="S3JJ10" localSheetId="9">#REF!</definedName>
    <definedName name="S3JJ10" localSheetId="7">#REF!</definedName>
    <definedName name="S3JJ10" localSheetId="5">#REF!</definedName>
    <definedName name="S3JJ10">#REF!</definedName>
    <definedName name="S3JJ11" localSheetId="9">#REF!</definedName>
    <definedName name="S3JJ11" localSheetId="7">#REF!</definedName>
    <definedName name="S3JJ11" localSheetId="5">#REF!</definedName>
    <definedName name="S3JJ11">#REF!</definedName>
    <definedName name="S3JJ12" localSheetId="9">#REF!</definedName>
    <definedName name="S3JJ12" localSheetId="7">#REF!</definedName>
    <definedName name="S3JJ12" localSheetId="5">#REF!</definedName>
    <definedName name="S3JJ12">#REF!</definedName>
    <definedName name="S3JJ13" localSheetId="9">#REF!</definedName>
    <definedName name="S3JJ13" localSheetId="7">#REF!</definedName>
    <definedName name="S3JJ13" localSheetId="5">#REF!</definedName>
    <definedName name="S3JJ13">#REF!</definedName>
    <definedName name="S3JJ14" localSheetId="9">#REF!</definedName>
    <definedName name="S3JJ14" localSheetId="7">#REF!</definedName>
    <definedName name="S3JJ14" localSheetId="5">#REF!</definedName>
    <definedName name="S3JJ14">#REF!</definedName>
    <definedName name="S3JJ15" localSheetId="9">#REF!</definedName>
    <definedName name="S3JJ15" localSheetId="7">#REF!</definedName>
    <definedName name="S3JJ15" localSheetId="5">#REF!</definedName>
    <definedName name="S3JJ15">#REF!</definedName>
    <definedName name="S3JJ16" localSheetId="9">#REF!</definedName>
    <definedName name="S3JJ16" localSheetId="7">#REF!</definedName>
    <definedName name="S3JJ16" localSheetId="5">#REF!</definedName>
    <definedName name="S3JJ16">#REF!</definedName>
    <definedName name="S3JJ17" localSheetId="9">#REF!</definedName>
    <definedName name="S3JJ17" localSheetId="7">#REF!</definedName>
    <definedName name="S3JJ17" localSheetId="5">#REF!</definedName>
    <definedName name="S3JJ17">#REF!</definedName>
    <definedName name="S3JJ18" localSheetId="9">#REF!</definedName>
    <definedName name="S3JJ18" localSheetId="7">#REF!</definedName>
    <definedName name="S3JJ18" localSheetId="5">#REF!</definedName>
    <definedName name="S3JJ18">#REF!</definedName>
    <definedName name="S3JJ19" localSheetId="9">#REF!</definedName>
    <definedName name="S3JJ19" localSheetId="7">#REF!</definedName>
    <definedName name="S3JJ19" localSheetId="5">#REF!</definedName>
    <definedName name="S3JJ19">#REF!</definedName>
    <definedName name="S3JJ20" localSheetId="9">#REF!</definedName>
    <definedName name="S3JJ20" localSheetId="7">#REF!</definedName>
    <definedName name="S3JJ20" localSheetId="5">#REF!</definedName>
    <definedName name="S3JJ20">#REF!</definedName>
    <definedName name="S3JJ21" localSheetId="9">#REF!</definedName>
    <definedName name="S3JJ21" localSheetId="7">#REF!</definedName>
    <definedName name="S3JJ21" localSheetId="5">#REF!</definedName>
    <definedName name="S3JJ21">#REF!</definedName>
    <definedName name="S3JJ22" localSheetId="9">#REF!</definedName>
    <definedName name="S3JJ22" localSheetId="7">#REF!</definedName>
    <definedName name="S3JJ22" localSheetId="5">#REF!</definedName>
    <definedName name="S3JJ22">#REF!</definedName>
    <definedName name="S3JJ23" localSheetId="9">#REF!</definedName>
    <definedName name="S3JJ23" localSheetId="7">#REF!</definedName>
    <definedName name="S3JJ23" localSheetId="5">#REF!</definedName>
    <definedName name="S3JJ23">#REF!</definedName>
    <definedName name="S3JJ24" localSheetId="9">#REF!</definedName>
    <definedName name="S3JJ24" localSheetId="7">#REF!</definedName>
    <definedName name="S3JJ24" localSheetId="5">#REF!</definedName>
    <definedName name="S3JJ24">#REF!</definedName>
    <definedName name="S3JJ25" localSheetId="9">#REF!</definedName>
    <definedName name="S3JJ25" localSheetId="7">#REF!</definedName>
    <definedName name="S3JJ25" localSheetId="5">#REF!</definedName>
    <definedName name="S3JJ25">#REF!</definedName>
    <definedName name="S3JJ26" localSheetId="9">#REF!</definedName>
    <definedName name="S3JJ26" localSheetId="7">#REF!</definedName>
    <definedName name="S3JJ26" localSheetId="5">#REF!</definedName>
    <definedName name="S3JJ26">#REF!</definedName>
    <definedName name="S3JJ27" localSheetId="9">#REF!</definedName>
    <definedName name="S3JJ27" localSheetId="7">#REF!</definedName>
    <definedName name="S3JJ27" localSheetId="5">#REF!</definedName>
    <definedName name="S3JJ27">#REF!</definedName>
    <definedName name="S3JJ28" localSheetId="9">#REF!</definedName>
    <definedName name="S3JJ28" localSheetId="7">#REF!</definedName>
    <definedName name="S3JJ28" localSheetId="5">#REF!</definedName>
    <definedName name="S3JJ28">#REF!</definedName>
    <definedName name="S3JJ29" localSheetId="9">#REF!</definedName>
    <definedName name="S3JJ29" localSheetId="7">#REF!</definedName>
    <definedName name="S3JJ29" localSheetId="5">#REF!</definedName>
    <definedName name="S3JJ29">#REF!</definedName>
    <definedName name="S3JJ30" localSheetId="9">#REF!</definedName>
    <definedName name="S3JJ30" localSheetId="7">#REF!</definedName>
    <definedName name="S3JJ30" localSheetId="5">#REF!</definedName>
    <definedName name="S3JJ30">#REF!</definedName>
    <definedName name="S3JJ5" localSheetId="9">#REF!</definedName>
    <definedName name="S3JJ5" localSheetId="7">#REF!</definedName>
    <definedName name="S3JJ5" localSheetId="5">#REF!</definedName>
    <definedName name="S3JJ5">#REF!</definedName>
    <definedName name="S3JJ6" localSheetId="9">#REF!</definedName>
    <definedName name="S3JJ6" localSheetId="7">#REF!</definedName>
    <definedName name="S3JJ6" localSheetId="5">#REF!</definedName>
    <definedName name="S3JJ6">#REF!</definedName>
    <definedName name="S3JJ7" localSheetId="9">#REF!</definedName>
    <definedName name="S3JJ7" localSheetId="7">#REF!</definedName>
    <definedName name="S3JJ7" localSheetId="5">#REF!</definedName>
    <definedName name="S3JJ7">#REF!</definedName>
    <definedName name="S3JJ8" localSheetId="9">#REF!</definedName>
    <definedName name="S3JJ8" localSheetId="7">#REF!</definedName>
    <definedName name="S3JJ8" localSheetId="5">#REF!</definedName>
    <definedName name="S3JJ8">#REF!</definedName>
    <definedName name="S3JJ9" localSheetId="9">#REF!</definedName>
    <definedName name="S3JJ9" localSheetId="7">#REF!</definedName>
    <definedName name="S3JJ9" localSheetId="5">#REF!</definedName>
    <definedName name="S3JJ9">#REF!</definedName>
    <definedName name="S4JJ14" localSheetId="9">#REF!</definedName>
    <definedName name="S4JJ14" localSheetId="7">#REF!</definedName>
    <definedName name="S4JJ14" localSheetId="5">#REF!</definedName>
    <definedName name="S4JJ14">#REF!</definedName>
    <definedName name="S4JJ15" localSheetId="9">#REF!</definedName>
    <definedName name="S4JJ15" localSheetId="7">#REF!</definedName>
    <definedName name="S4JJ15" localSheetId="5">#REF!</definedName>
    <definedName name="S4JJ15">#REF!</definedName>
    <definedName name="S4JJ16" localSheetId="9">#REF!</definedName>
    <definedName name="S4JJ16" localSheetId="7">#REF!</definedName>
    <definedName name="S4JJ16" localSheetId="5">#REF!</definedName>
    <definedName name="S4JJ16">#REF!</definedName>
    <definedName name="S4JJ17" localSheetId="9">#REF!</definedName>
    <definedName name="S4JJ17" localSheetId="7">#REF!</definedName>
    <definedName name="S4JJ17" localSheetId="5">#REF!</definedName>
    <definedName name="S4JJ17">#REF!</definedName>
    <definedName name="S4JJ18" localSheetId="9">#REF!</definedName>
    <definedName name="S4JJ18" localSheetId="7">#REF!</definedName>
    <definedName name="S4JJ18" localSheetId="5">#REF!</definedName>
    <definedName name="S4JJ18">#REF!</definedName>
    <definedName name="S4JJ19" localSheetId="9">#REF!</definedName>
    <definedName name="S4JJ19" localSheetId="7">#REF!</definedName>
    <definedName name="S4JJ19" localSheetId="5">#REF!</definedName>
    <definedName name="S4JJ19">#REF!</definedName>
    <definedName name="S4JJ20" localSheetId="9">#REF!</definedName>
    <definedName name="S4JJ20" localSheetId="7">#REF!</definedName>
    <definedName name="S4JJ20" localSheetId="5">#REF!</definedName>
    <definedName name="S4JJ20">#REF!</definedName>
    <definedName name="S4JJ21" localSheetId="9">#REF!</definedName>
    <definedName name="S4JJ21" localSheetId="7">#REF!</definedName>
    <definedName name="S4JJ21" localSheetId="5">#REF!</definedName>
    <definedName name="S4JJ21">#REF!</definedName>
    <definedName name="S4JJ22" localSheetId="9">#REF!</definedName>
    <definedName name="S4JJ22" localSheetId="7">#REF!</definedName>
    <definedName name="S4JJ22" localSheetId="5">#REF!</definedName>
    <definedName name="S4JJ22">#REF!</definedName>
    <definedName name="S4JJ23" localSheetId="9">#REF!</definedName>
    <definedName name="S4JJ23" localSheetId="7">#REF!</definedName>
    <definedName name="S4JJ23" localSheetId="5">#REF!</definedName>
    <definedName name="S4JJ23">#REF!</definedName>
    <definedName name="S4JJ24" localSheetId="9">#REF!</definedName>
    <definedName name="S4JJ24" localSheetId="7">#REF!</definedName>
    <definedName name="S4JJ24" localSheetId="5">#REF!</definedName>
    <definedName name="S4JJ24">#REF!</definedName>
    <definedName name="S4JJ25" localSheetId="9">#REF!</definedName>
    <definedName name="S4JJ25" localSheetId="7">#REF!</definedName>
    <definedName name="S4JJ25" localSheetId="5">#REF!</definedName>
    <definedName name="S4JJ25">#REF!</definedName>
    <definedName name="S4JJ26" localSheetId="9">#REF!</definedName>
    <definedName name="S4JJ26" localSheetId="7">#REF!</definedName>
    <definedName name="S4JJ26" localSheetId="5">#REF!</definedName>
    <definedName name="S4JJ26">#REF!</definedName>
    <definedName name="S4JJ27" localSheetId="9">#REF!</definedName>
    <definedName name="S4JJ27" localSheetId="7">#REF!</definedName>
    <definedName name="S4JJ27" localSheetId="5">#REF!</definedName>
    <definedName name="S4JJ27">#REF!</definedName>
    <definedName name="S4JJ28" localSheetId="9">#REF!</definedName>
    <definedName name="S4JJ28" localSheetId="7">#REF!</definedName>
    <definedName name="S4JJ28" localSheetId="5">#REF!</definedName>
    <definedName name="S4JJ28">#REF!</definedName>
    <definedName name="S4JJ29" localSheetId="9">#REF!</definedName>
    <definedName name="S4JJ29" localSheetId="7">#REF!</definedName>
    <definedName name="S4JJ29" localSheetId="5">#REF!</definedName>
    <definedName name="S4JJ29">#REF!</definedName>
    <definedName name="S4JJ30" localSheetId="9">#REF!</definedName>
    <definedName name="S4JJ30" localSheetId="7">#REF!</definedName>
    <definedName name="S4JJ30" localSheetId="5">#REF!</definedName>
    <definedName name="S4JJ30">#REF!</definedName>
    <definedName name="S5JJ20" localSheetId="9">#REF!</definedName>
    <definedName name="S5JJ20" localSheetId="7">#REF!</definedName>
    <definedName name="S5JJ20" localSheetId="5">#REF!</definedName>
    <definedName name="S5JJ20">#REF!</definedName>
    <definedName name="S5JJ21" localSheetId="9">#REF!</definedName>
    <definedName name="S5JJ21" localSheetId="7">#REF!</definedName>
    <definedName name="S5JJ21" localSheetId="5">#REF!</definedName>
    <definedName name="S5JJ21">#REF!</definedName>
    <definedName name="S5JJ22" localSheetId="9">#REF!</definedName>
    <definedName name="S5JJ22" localSheetId="7">#REF!</definedName>
    <definedName name="S5JJ22" localSheetId="5">#REF!</definedName>
    <definedName name="S5JJ22">#REF!</definedName>
    <definedName name="S5JJ23" localSheetId="9">#REF!</definedName>
    <definedName name="S5JJ23" localSheetId="7">#REF!</definedName>
    <definedName name="S5JJ23" localSheetId="5">#REF!</definedName>
    <definedName name="S5JJ23">#REF!</definedName>
    <definedName name="S5JJ24" localSheetId="9">#REF!</definedName>
    <definedName name="S5JJ24" localSheetId="7">#REF!</definedName>
    <definedName name="S5JJ24" localSheetId="5">#REF!</definedName>
    <definedName name="S5JJ24">#REF!</definedName>
    <definedName name="S5JJ25" localSheetId="9">#REF!</definedName>
    <definedName name="S5JJ25" localSheetId="7">#REF!</definedName>
    <definedName name="S5JJ25" localSheetId="5">#REF!</definedName>
    <definedName name="S5JJ25">#REF!</definedName>
    <definedName name="S5JJ26" localSheetId="9">#REF!</definedName>
    <definedName name="S5JJ26" localSheetId="7">#REF!</definedName>
    <definedName name="S5JJ26" localSheetId="5">#REF!</definedName>
    <definedName name="S5JJ26">#REF!</definedName>
    <definedName name="S5JJ27" localSheetId="9">#REF!</definedName>
    <definedName name="S5JJ27" localSheetId="7">#REF!</definedName>
    <definedName name="S5JJ27" localSheetId="5">#REF!</definedName>
    <definedName name="S5JJ27">#REF!</definedName>
    <definedName name="S5JJ28" localSheetId="9">#REF!</definedName>
    <definedName name="S5JJ28" localSheetId="7">#REF!</definedName>
    <definedName name="S5JJ28" localSheetId="5">#REF!</definedName>
    <definedName name="S5JJ28">#REF!</definedName>
    <definedName name="S5JJ29" localSheetId="9">#REF!</definedName>
    <definedName name="S5JJ29" localSheetId="7">#REF!</definedName>
    <definedName name="S5JJ29" localSheetId="5">#REF!</definedName>
    <definedName name="S5JJ29">#REF!</definedName>
    <definedName name="S5JJ30" localSheetId="9">#REF!</definedName>
    <definedName name="S5JJ30" localSheetId="7">#REF!</definedName>
    <definedName name="S5JJ30" localSheetId="5">#REF!</definedName>
    <definedName name="S5JJ30">#REF!</definedName>
    <definedName name="SAT" localSheetId="9">#REF!</definedName>
    <definedName name="SAT" localSheetId="7">#REF!</definedName>
    <definedName name="SAT" localSheetId="5">#REF!</definedName>
    <definedName name="SAT">#REF!</definedName>
    <definedName name="Secondary_Subtotals" localSheetId="9">#REF!</definedName>
    <definedName name="Secondary_Subtotals" localSheetId="7">#REF!</definedName>
    <definedName name="Secondary_Subtotals" localSheetId="5">#REF!</definedName>
    <definedName name="Secondary_Subtotals">#REF!</definedName>
    <definedName name="SEK_Factor" localSheetId="9">#REF!</definedName>
    <definedName name="SEK_Factor" localSheetId="7">#REF!</definedName>
    <definedName name="SEK_Factor" localSheetId="5">#REF!</definedName>
    <definedName name="SEK_Factor">#REF!</definedName>
    <definedName name="SelRange" localSheetId="9">#REF!</definedName>
    <definedName name="SelRange" localSheetId="7">#REF!</definedName>
    <definedName name="SelRange" localSheetId="5">#REF!</definedName>
    <definedName name="SelRange">#REF!</definedName>
    <definedName name="Sheet1" localSheetId="9">#REF!</definedName>
    <definedName name="Sheet1" localSheetId="7">#REF!</definedName>
    <definedName name="Sheet1" localSheetId="5">#REF!</definedName>
    <definedName name="Sheet1">#REF!</definedName>
    <definedName name="Spec_details" localSheetId="9">#REF!</definedName>
    <definedName name="Spec_details" localSheetId="7">#REF!</definedName>
    <definedName name="Spec_details" localSheetId="5">#REF!</definedName>
    <definedName name="Spec_details">#REF!</definedName>
    <definedName name="styaus" localSheetId="9">#REF!</definedName>
    <definedName name="styaus" localSheetId="7">#REF!</definedName>
    <definedName name="styaus" localSheetId="5">#REF!</definedName>
    <definedName name="styaus">#REF!</definedName>
    <definedName name="styjap" localSheetId="9">#REF!</definedName>
    <definedName name="styjap" localSheetId="7">#REF!</definedName>
    <definedName name="styjap" localSheetId="5">#REF!</definedName>
    <definedName name="styjap">#REF!</definedName>
    <definedName name="stymal" localSheetId="9">#REF!</definedName>
    <definedName name="stymal" localSheetId="7">#REF!</definedName>
    <definedName name="stymal" localSheetId="5">#REF!</definedName>
    <definedName name="stymal">#REF!</definedName>
    <definedName name="stynze" localSheetId="9">#REF!</definedName>
    <definedName name="stynze" localSheetId="7">#REF!</definedName>
    <definedName name="stynze" localSheetId="5">#REF!</definedName>
    <definedName name="stynze">#REF!</definedName>
    <definedName name="styphi" localSheetId="9">#REF!</definedName>
    <definedName name="styphi" localSheetId="7">#REF!</definedName>
    <definedName name="styphi" localSheetId="5">#REF!</definedName>
    <definedName name="styphi">#REF!</definedName>
    <definedName name="stysaf" localSheetId="9">#REF!</definedName>
    <definedName name="stysaf" localSheetId="7">#REF!</definedName>
    <definedName name="stysaf" localSheetId="5">#REF!</definedName>
    <definedName name="stysaf">#REF!</definedName>
    <definedName name="stytai" localSheetId="9">#REF!</definedName>
    <definedName name="stytai" localSheetId="7">#REF!</definedName>
    <definedName name="stytai" localSheetId="5">#REF!</definedName>
    <definedName name="stytai">#REF!</definedName>
    <definedName name="stytha" localSheetId="9">#REF!</definedName>
    <definedName name="stytha" localSheetId="7">#REF!</definedName>
    <definedName name="stytha" localSheetId="5">#REF!</definedName>
    <definedName name="stytha">#REF!</definedName>
    <definedName name="styvie" localSheetId="9">#REF!</definedName>
    <definedName name="styvie" localSheetId="7">#REF!</definedName>
    <definedName name="styvie" localSheetId="5">#REF!</definedName>
    <definedName name="styvie">#REF!</definedName>
    <definedName name="Subtotals" localSheetId="9">#REF!</definedName>
    <definedName name="Subtotals" localSheetId="7">#REF!</definedName>
    <definedName name="Subtotals" localSheetId="5">#REF!</definedName>
    <definedName name="Subtotals">#REF!</definedName>
    <definedName name="SymbolType" localSheetId="9">#REF!</definedName>
    <definedName name="SymbolType" localSheetId="7">#REF!</definedName>
    <definedName name="SymbolType" localSheetId="5">#REF!</definedName>
    <definedName name="SymbolType">#REF!</definedName>
    <definedName name="TH" localSheetId="9">#REF!</definedName>
    <definedName name="TH" localSheetId="7">#REF!</definedName>
    <definedName name="TH" localSheetId="5">#REF!</definedName>
    <definedName name="TH">#REF!</definedName>
    <definedName name="THChunk" localSheetId="9">#REF!</definedName>
    <definedName name="THChunk" localSheetId="7">#REF!</definedName>
    <definedName name="THChunk" localSheetId="5">#REF!</definedName>
    <definedName name="THChunk">#REF!</definedName>
    <definedName name="THChunkLocal" localSheetId="9">#REF!</definedName>
    <definedName name="THChunkLocal" localSheetId="7">#REF!</definedName>
    <definedName name="THChunkLocal" localSheetId="5">#REF!</definedName>
    <definedName name="THChunkLocal">#REF!</definedName>
    <definedName name="THCostSumPX">'[4]3 CCM BoM'!$AO$1:$AO$65536</definedName>
    <definedName name="THLocal">'[4]3 CCM BoM'!$BX$1:$BX$65536</definedName>
    <definedName name="THRoadMap" localSheetId="9">#REF!</definedName>
    <definedName name="THRoadMap" localSheetId="7">#REF!</definedName>
    <definedName name="THRoadMap" localSheetId="5">#REF!</definedName>
    <definedName name="THRoadMap">#REF!</definedName>
    <definedName name="THTotal04" localSheetId="9">#REF!</definedName>
    <definedName name="THTotal04" localSheetId="7">#REF!</definedName>
    <definedName name="THTotal04" localSheetId="5">#REF!</definedName>
    <definedName name="THTotal04">#REF!</definedName>
    <definedName name="THTotal05" localSheetId="9">#REF!</definedName>
    <definedName name="THTotal05" localSheetId="7">#REF!</definedName>
    <definedName name="THTotal05" localSheetId="5">#REF!</definedName>
    <definedName name="THTotal05">#REF!</definedName>
    <definedName name="THTotal06" localSheetId="9">#REF!</definedName>
    <definedName name="THTotal06" localSheetId="7">#REF!</definedName>
    <definedName name="THTotal06" localSheetId="5">#REF!</definedName>
    <definedName name="THTotal06">#REF!</definedName>
    <definedName name="THTotal07" localSheetId="9">#REF!</definedName>
    <definedName name="THTotal07" localSheetId="7">#REF!</definedName>
    <definedName name="THTotal07" localSheetId="5">#REF!</definedName>
    <definedName name="THTotal07">#REF!</definedName>
    <definedName name="THTotal08" localSheetId="9">#REF!</definedName>
    <definedName name="THTotal08" localSheetId="7">#REF!</definedName>
    <definedName name="THTotal08" localSheetId="5">#REF!</definedName>
    <definedName name="THTotal08">#REF!</definedName>
    <definedName name="THTotal09" localSheetId="9">#REF!</definedName>
    <definedName name="THTotal09" localSheetId="7">#REF!</definedName>
    <definedName name="THTotal09" localSheetId="5">#REF!</definedName>
    <definedName name="THTotal09">#REF!</definedName>
    <definedName name="THTotal10" localSheetId="9">#REF!</definedName>
    <definedName name="THTotal10" localSheetId="7">#REF!</definedName>
    <definedName name="THTotal10" localSheetId="5">#REF!</definedName>
    <definedName name="THTotal10">#REF!</definedName>
    <definedName name="THTotal13" localSheetId="9">#REF!</definedName>
    <definedName name="THTotal13" localSheetId="7">#REF!</definedName>
    <definedName name="THTotal13" localSheetId="5">#REF!</definedName>
    <definedName name="THTotal13">#REF!</definedName>
    <definedName name="THTotal15" localSheetId="9">#REF!</definedName>
    <definedName name="THTotal15" localSheetId="7">#REF!</definedName>
    <definedName name="THTotal15" localSheetId="5">#REF!</definedName>
    <definedName name="THTotal15">#REF!</definedName>
    <definedName name="THTotal1617" localSheetId="9">#REF!</definedName>
    <definedName name="THTotal1617" localSheetId="7">#REF!</definedName>
    <definedName name="THTotal1617" localSheetId="5">#REF!</definedName>
    <definedName name="THTotal1617">#REF!</definedName>
    <definedName name="THTotal18" localSheetId="9">#REF!</definedName>
    <definedName name="THTotal18" localSheetId="7">#REF!</definedName>
    <definedName name="THTotal18" localSheetId="5">#REF!</definedName>
    <definedName name="THTotal18">#REF!</definedName>
    <definedName name="THTotal19" localSheetId="9">#REF!</definedName>
    <definedName name="THTotal19" localSheetId="7">#REF!</definedName>
    <definedName name="THTotal19" localSheetId="5">#REF!</definedName>
    <definedName name="THTotal19">#REF!</definedName>
    <definedName name="THTotal20" localSheetId="9">#REF!</definedName>
    <definedName name="THTotal20" localSheetId="7">#REF!</definedName>
    <definedName name="THTotal20" localSheetId="5">#REF!</definedName>
    <definedName name="THTotal20">#REF!</definedName>
    <definedName name="THTotal21" localSheetId="9">#REF!</definedName>
    <definedName name="THTotal21" localSheetId="7">#REF!</definedName>
    <definedName name="THTotal21" localSheetId="5">#REF!</definedName>
    <definedName name="THTotal21">#REF!</definedName>
    <definedName name="THTotal22" localSheetId="9">#REF!</definedName>
    <definedName name="THTotal22" localSheetId="7">#REF!</definedName>
    <definedName name="THTotal22" localSheetId="5">#REF!</definedName>
    <definedName name="THTotal22">#REF!</definedName>
    <definedName name="THTotal23" localSheetId="9">#REF!</definedName>
    <definedName name="THTotal23" localSheetId="7">#REF!</definedName>
    <definedName name="THTotal23" localSheetId="5">#REF!</definedName>
    <definedName name="THTotal23">#REF!</definedName>
    <definedName name="THTotal24" localSheetId="9">#REF!</definedName>
    <definedName name="THTotal24" localSheetId="7">#REF!</definedName>
    <definedName name="THTotal24" localSheetId="5">#REF!</definedName>
    <definedName name="THTotal24">#REF!</definedName>
    <definedName name="THTotal25" localSheetId="9">#REF!</definedName>
    <definedName name="THTotal25" localSheetId="7">#REF!</definedName>
    <definedName name="THTotal25" localSheetId="5">#REF!</definedName>
    <definedName name="THTotal25">#REF!</definedName>
    <definedName name="THTotal26" localSheetId="9">#REF!</definedName>
    <definedName name="THTotal26" localSheetId="7">#REF!</definedName>
    <definedName name="THTotal26" localSheetId="5">#REF!</definedName>
    <definedName name="THTotal26">#REF!</definedName>
    <definedName name="THTotal27" localSheetId="9">#REF!</definedName>
    <definedName name="THTotal27" localSheetId="7">#REF!</definedName>
    <definedName name="THTotal27" localSheetId="5">#REF!</definedName>
    <definedName name="THTotal27">#REF!</definedName>
    <definedName name="THTotal28" localSheetId="9">#REF!</definedName>
    <definedName name="THTotal28" localSheetId="7">#REF!</definedName>
    <definedName name="THTotal28" localSheetId="5">#REF!</definedName>
    <definedName name="THTotal28">#REF!</definedName>
    <definedName name="THTotal29" localSheetId="9">#REF!</definedName>
    <definedName name="THTotal29" localSheetId="7">#REF!</definedName>
    <definedName name="THTotal29" localSheetId="5">#REF!</definedName>
    <definedName name="THTotal29">#REF!</definedName>
    <definedName name="THTotal30" localSheetId="9">#REF!</definedName>
    <definedName name="THTotal30" localSheetId="7">#REF!</definedName>
    <definedName name="THTotal30" localSheetId="5">#REF!</definedName>
    <definedName name="THTotal30">#REF!</definedName>
    <definedName name="THTotal31" localSheetId="9">#REF!</definedName>
    <definedName name="THTotal31" localSheetId="7">#REF!</definedName>
    <definedName name="THTotal31" localSheetId="5">#REF!</definedName>
    <definedName name="THTotal31">#REF!</definedName>
    <definedName name="THTotal32" localSheetId="9">#REF!</definedName>
    <definedName name="THTotal32" localSheetId="7">#REF!</definedName>
    <definedName name="THTotal32" localSheetId="5">#REF!</definedName>
    <definedName name="THTotal32">#REF!</definedName>
    <definedName name="THTotal34" localSheetId="9">'[5]34'!#REF!</definedName>
    <definedName name="THTotal34" localSheetId="7">'[5]34'!#REF!</definedName>
    <definedName name="THTotal34" localSheetId="5">'[5]34'!#REF!</definedName>
    <definedName name="THTotal34">'[5]34'!#REF!</definedName>
    <definedName name="THTotal5" localSheetId="9">#REF!</definedName>
    <definedName name="THTotal5" localSheetId="7">#REF!</definedName>
    <definedName name="THTotal5" localSheetId="5">#REF!</definedName>
    <definedName name="THTotal5">#REF!</definedName>
    <definedName name="THTransferNoProfit" localSheetId="9">#REF!,'[4]3 CCM BoM'!$AZ$1:$AZ$65536</definedName>
    <definedName name="THTransferNoProfit" localSheetId="7">#REF!,'[4]3 CCM BoM'!$AZ$1:$AZ$65536</definedName>
    <definedName name="THTransferNoProfit" localSheetId="5">#REF!,'[4]3 CCM BoM'!$AZ$1:$AZ$65536</definedName>
    <definedName name="THTransferNoProfit">#REF!,'[4]3 CCM BoM'!$AZ$1:$AZ$65536</definedName>
    <definedName name="TotalPart" localSheetId="9">#REF!</definedName>
    <definedName name="TotalPart" localSheetId="7">#REF!</definedName>
    <definedName name="TotalPart" localSheetId="5">#REF!</definedName>
    <definedName name="TotalPart">#REF!</definedName>
    <definedName name="triaus" localSheetId="9">#REF!</definedName>
    <definedName name="triaus" localSheetId="7">#REF!</definedName>
    <definedName name="triaus" localSheetId="5">#REF!</definedName>
    <definedName name="triaus">#REF!</definedName>
    <definedName name="trijap" localSheetId="9">#REF!</definedName>
    <definedName name="trijap" localSheetId="7">#REF!</definedName>
    <definedName name="trijap" localSheetId="5">#REF!</definedName>
    <definedName name="trijap">#REF!</definedName>
    <definedName name="trimal" localSheetId="9">#REF!</definedName>
    <definedName name="trimal" localSheetId="7">#REF!</definedName>
    <definedName name="trimal" localSheetId="5">#REF!</definedName>
    <definedName name="trimal">#REF!</definedName>
    <definedName name="trinze" localSheetId="9">#REF!</definedName>
    <definedName name="trinze" localSheetId="7">#REF!</definedName>
    <definedName name="trinze" localSheetId="5">#REF!</definedName>
    <definedName name="trinze">#REF!</definedName>
    <definedName name="triphi" localSheetId="9">#REF!</definedName>
    <definedName name="triphi" localSheetId="7">#REF!</definedName>
    <definedName name="triphi" localSheetId="5">#REF!</definedName>
    <definedName name="triphi">#REF!</definedName>
    <definedName name="trisaf" localSheetId="9">#REF!</definedName>
    <definedName name="trisaf" localSheetId="7">#REF!</definedName>
    <definedName name="trisaf" localSheetId="5">#REF!</definedName>
    <definedName name="trisaf">#REF!</definedName>
    <definedName name="tritai" localSheetId="9">#REF!</definedName>
    <definedName name="tritai" localSheetId="7">#REF!</definedName>
    <definedName name="tritai" localSheetId="5">#REF!</definedName>
    <definedName name="tritai">#REF!</definedName>
    <definedName name="tritha" localSheetId="9">#REF!</definedName>
    <definedName name="tritha" localSheetId="7">#REF!</definedName>
    <definedName name="tritha" localSheetId="5">#REF!</definedName>
    <definedName name="tritha">#REF!</definedName>
    <definedName name="trivie" localSheetId="9">#REF!</definedName>
    <definedName name="trivie" localSheetId="7">#REF!</definedName>
    <definedName name="trivie" localSheetId="5">#REF!</definedName>
    <definedName name="trivie">#REF!</definedName>
    <definedName name="TWChunkLocal" localSheetId="9">'[4]3 CCM BoM'!#REF!</definedName>
    <definedName name="TWChunkLocal" localSheetId="7">'[4]3 CCM BoM'!#REF!</definedName>
    <definedName name="TWChunkLocal" localSheetId="5">'[4]3 CCM BoM'!#REF!</definedName>
    <definedName name="TWChunkLocal">'[4]3 CCM BoM'!#REF!</definedName>
    <definedName name="TWCostSumPX">'[4]3 CCM BoM'!$AN$1:$AN$65536</definedName>
    <definedName name="TWLocalCostSum">'[4]3 CCM BoM'!$BT$1:$BT$65536</definedName>
    <definedName name="TWRoadMap" localSheetId="9">#REF!</definedName>
    <definedName name="TWRoadMap" localSheetId="7">#REF!</definedName>
    <definedName name="TWRoadMap" localSheetId="5">#REF!</definedName>
    <definedName name="TWRoadMap">#REF!</definedName>
    <definedName name="TWTotal04" localSheetId="9">#REF!</definedName>
    <definedName name="TWTotal04" localSheetId="7">#REF!</definedName>
    <definedName name="TWTotal04" localSheetId="5">#REF!</definedName>
    <definedName name="TWTotal04">#REF!</definedName>
    <definedName name="TWTotal05" localSheetId="9">#REF!</definedName>
    <definedName name="TWTotal05" localSheetId="7">#REF!</definedName>
    <definedName name="TWTotal05" localSheetId="5">#REF!</definedName>
    <definedName name="TWTotal05">#REF!</definedName>
    <definedName name="TWTotal06" localSheetId="9">#REF!</definedName>
    <definedName name="TWTotal06" localSheetId="7">#REF!</definedName>
    <definedName name="TWTotal06" localSheetId="5">#REF!</definedName>
    <definedName name="TWTotal06">#REF!</definedName>
    <definedName name="TWTotal07" localSheetId="9">#REF!</definedName>
    <definedName name="TWTotal07" localSheetId="7">#REF!</definedName>
    <definedName name="TWTotal07" localSheetId="5">#REF!</definedName>
    <definedName name="TWTotal07">#REF!</definedName>
    <definedName name="TWTotal08" localSheetId="9">#REF!</definedName>
    <definedName name="TWTotal08" localSheetId="7">#REF!</definedName>
    <definedName name="TWTotal08" localSheetId="5">#REF!</definedName>
    <definedName name="TWTotal08">#REF!</definedName>
    <definedName name="TWTotal09" localSheetId="9">#REF!</definedName>
    <definedName name="TWTotal09" localSheetId="7">#REF!</definedName>
    <definedName name="TWTotal09" localSheetId="5">#REF!</definedName>
    <definedName name="TWTotal09">#REF!</definedName>
    <definedName name="TWTotal10" localSheetId="9">#REF!</definedName>
    <definedName name="TWTotal10" localSheetId="7">#REF!</definedName>
    <definedName name="TWTotal10" localSheetId="5">#REF!</definedName>
    <definedName name="TWTotal10">#REF!</definedName>
    <definedName name="TWTotal13" localSheetId="9">#REF!</definedName>
    <definedName name="TWTotal13" localSheetId="7">#REF!</definedName>
    <definedName name="TWTotal13" localSheetId="5">#REF!</definedName>
    <definedName name="TWTotal13">#REF!</definedName>
    <definedName name="TWTotal15" localSheetId="9">#REF!</definedName>
    <definedName name="TWTotal15" localSheetId="7">#REF!</definedName>
    <definedName name="TWTotal15" localSheetId="5">#REF!</definedName>
    <definedName name="TWTotal15">#REF!</definedName>
    <definedName name="TWTotal1617" localSheetId="9">#REF!</definedName>
    <definedName name="TWTotal1617" localSheetId="7">#REF!</definedName>
    <definedName name="TWTotal1617" localSheetId="5">#REF!</definedName>
    <definedName name="TWTotal1617">#REF!</definedName>
    <definedName name="TWTotal18" localSheetId="9">#REF!</definedName>
    <definedName name="TWTotal18" localSheetId="7">#REF!</definedName>
    <definedName name="TWTotal18" localSheetId="5">#REF!</definedName>
    <definedName name="TWTotal18">#REF!</definedName>
    <definedName name="TWTotal19" localSheetId="9">#REF!</definedName>
    <definedName name="TWTotal19" localSheetId="7">#REF!</definedName>
    <definedName name="TWTotal19" localSheetId="5">#REF!</definedName>
    <definedName name="TWTotal19">#REF!</definedName>
    <definedName name="TWTotal20" localSheetId="9">#REF!</definedName>
    <definedName name="TWTotal20" localSheetId="7">#REF!</definedName>
    <definedName name="TWTotal20" localSheetId="5">#REF!</definedName>
    <definedName name="TWTotal20">#REF!</definedName>
    <definedName name="TWTotal21" localSheetId="9">#REF!</definedName>
    <definedName name="TWTotal21" localSheetId="7">#REF!</definedName>
    <definedName name="TWTotal21" localSheetId="5">#REF!</definedName>
    <definedName name="TWTotal21">#REF!</definedName>
    <definedName name="TWTotal22" localSheetId="9">#REF!</definedName>
    <definedName name="TWTotal22" localSheetId="7">#REF!</definedName>
    <definedName name="TWTotal22" localSheetId="5">#REF!</definedName>
    <definedName name="TWTotal22">#REF!</definedName>
    <definedName name="TWTotal23" localSheetId="9">#REF!</definedName>
    <definedName name="TWTotal23" localSheetId="7">#REF!</definedName>
    <definedName name="TWTotal23" localSheetId="5">#REF!</definedName>
    <definedName name="TWTotal23">#REF!</definedName>
    <definedName name="TWTotal24" localSheetId="9">#REF!</definedName>
    <definedName name="TWTotal24" localSheetId="7">#REF!</definedName>
    <definedName name="TWTotal24" localSheetId="5">#REF!</definedName>
    <definedName name="TWTotal24">#REF!</definedName>
    <definedName name="TWTotal25" localSheetId="9">#REF!</definedName>
    <definedName name="TWTotal25" localSheetId="7">#REF!</definedName>
    <definedName name="TWTotal25" localSheetId="5">#REF!</definedName>
    <definedName name="TWTotal25">#REF!</definedName>
    <definedName name="TWTotal26" localSheetId="9">#REF!</definedName>
    <definedName name="TWTotal26" localSheetId="7">#REF!</definedName>
    <definedName name="TWTotal26" localSheetId="5">#REF!</definedName>
    <definedName name="TWTotal26">#REF!</definedName>
    <definedName name="TWTotal27" localSheetId="9">#REF!</definedName>
    <definedName name="TWTotal27" localSheetId="7">#REF!</definedName>
    <definedName name="TWTotal27" localSheetId="5">#REF!</definedName>
    <definedName name="TWTotal27">#REF!</definedName>
    <definedName name="TWTotal28" localSheetId="9">#REF!</definedName>
    <definedName name="TWTotal28" localSheetId="7">#REF!</definedName>
    <definedName name="TWTotal28" localSheetId="5">#REF!</definedName>
    <definedName name="TWTotal28">#REF!</definedName>
    <definedName name="TWTotal29" localSheetId="9">#REF!</definedName>
    <definedName name="TWTotal29" localSheetId="7">#REF!</definedName>
    <definedName name="TWTotal29" localSheetId="5">#REF!</definedName>
    <definedName name="TWTotal29">#REF!</definedName>
    <definedName name="TWTotal30" localSheetId="9">#REF!</definedName>
    <definedName name="TWTotal30" localSheetId="7">#REF!</definedName>
    <definedName name="TWTotal30" localSheetId="5">#REF!</definedName>
    <definedName name="TWTotal30">#REF!</definedName>
    <definedName name="TWTotal31" localSheetId="9">#REF!</definedName>
    <definedName name="TWTotal31" localSheetId="7">#REF!</definedName>
    <definedName name="TWTotal31" localSheetId="5">#REF!</definedName>
    <definedName name="TWTotal31">#REF!</definedName>
    <definedName name="TWTotal32" localSheetId="9">#REF!</definedName>
    <definedName name="TWTotal32" localSheetId="7">#REF!</definedName>
    <definedName name="TWTotal32" localSheetId="5">#REF!</definedName>
    <definedName name="TWTotal32">#REF!</definedName>
    <definedName name="TWTotal34" localSheetId="9">'[5]34'!#REF!</definedName>
    <definedName name="TWTotal34" localSheetId="7">'[5]34'!#REF!</definedName>
    <definedName name="TWTotal34" localSheetId="5">'[5]34'!#REF!</definedName>
    <definedName name="TWTotal34">'[5]34'!#REF!</definedName>
    <definedName name="TWTotal5" localSheetId="9">#REF!</definedName>
    <definedName name="TWTotal5" localSheetId="7">#REF!</definedName>
    <definedName name="TWTotal5" localSheetId="5">#REF!</definedName>
    <definedName name="TWTotal5">#REF!</definedName>
    <definedName name="UVRan1" localSheetId="9">#REF!</definedName>
    <definedName name="UVRan1" localSheetId="7">#REF!</definedName>
    <definedName name="UVRan1" localSheetId="5">#REF!</definedName>
    <definedName name="UVRan1">#REF!</definedName>
    <definedName name="volaus" localSheetId="9">#REF!</definedName>
    <definedName name="volaus" localSheetId="7">#REF!</definedName>
    <definedName name="volaus" localSheetId="5">#REF!</definedName>
    <definedName name="volaus">#REF!</definedName>
    <definedName name="voljap" localSheetId="9">#REF!</definedName>
    <definedName name="voljap" localSheetId="7">#REF!</definedName>
    <definedName name="voljap" localSheetId="5">#REF!</definedName>
    <definedName name="voljap">#REF!</definedName>
    <definedName name="volmal" localSheetId="9">#REF!</definedName>
    <definedName name="volmal" localSheetId="7">#REF!</definedName>
    <definedName name="volmal" localSheetId="5">#REF!</definedName>
    <definedName name="volmal">#REF!</definedName>
    <definedName name="volnze" localSheetId="9">#REF!</definedName>
    <definedName name="volnze" localSheetId="7">#REF!</definedName>
    <definedName name="volnze" localSheetId="5">#REF!</definedName>
    <definedName name="volnze">#REF!</definedName>
    <definedName name="volphi" localSheetId="9">#REF!</definedName>
    <definedName name="volphi" localSheetId="7">#REF!</definedName>
    <definedName name="volphi" localSheetId="5">#REF!</definedName>
    <definedName name="volphi">#REF!</definedName>
    <definedName name="volsaf" localSheetId="9">#REF!</definedName>
    <definedName name="volsaf" localSheetId="7">#REF!</definedName>
    <definedName name="volsaf" localSheetId="5">#REF!</definedName>
    <definedName name="volsaf">#REF!</definedName>
    <definedName name="voltai" localSheetId="9">#REF!</definedName>
    <definedName name="voltai" localSheetId="7">#REF!</definedName>
    <definedName name="voltai" localSheetId="5">#REF!</definedName>
    <definedName name="voltai">#REF!</definedName>
    <definedName name="voltha" localSheetId="9">#REF!</definedName>
    <definedName name="voltha" localSheetId="7">#REF!</definedName>
    <definedName name="voltha" localSheetId="5">#REF!</definedName>
    <definedName name="voltha">#REF!</definedName>
    <definedName name="voltot" localSheetId="9">#REF!</definedName>
    <definedName name="voltot" localSheetId="7">#REF!</definedName>
    <definedName name="voltot" localSheetId="5">#REF!</definedName>
    <definedName name="voltot">#REF!</definedName>
    <definedName name="volvie" localSheetId="9">#REF!</definedName>
    <definedName name="volvie" localSheetId="7">#REF!</definedName>
    <definedName name="volvie" localSheetId="5">#REF!</definedName>
    <definedName name="volvie">#REF!</definedName>
    <definedName name="xmas" localSheetId="9">#REF!</definedName>
    <definedName name="xmas" localSheetId="7">#REF!</definedName>
    <definedName name="xmas" localSheetId="5">#REF!</definedName>
    <definedName name="xmas">#REF!</definedName>
    <definedName name="XRates645" localSheetId="9">#REF!</definedName>
    <definedName name="XRates645" localSheetId="7">#REF!</definedName>
    <definedName name="XRates645" localSheetId="5">#REF!</definedName>
    <definedName name="XRates645">#REF!</definedName>
    <definedName name="XRates657" localSheetId="9">#REF!</definedName>
    <definedName name="XRates657" localSheetId="7">#REF!</definedName>
    <definedName name="XRates657" localSheetId="5">#REF!</definedName>
    <definedName name="XRates657">#REF!</definedName>
    <definedName name="XRates667" localSheetId="9">#REF!</definedName>
    <definedName name="XRates667" localSheetId="7">#REF!</definedName>
    <definedName name="XRates667" localSheetId="5">#REF!</definedName>
    <definedName name="XRates667">#REF!</definedName>
    <definedName name="XRates669" localSheetId="9">#REF!</definedName>
    <definedName name="XRates669" localSheetId="7">#REF!</definedName>
    <definedName name="XRates669" localSheetId="5">#REF!</definedName>
    <definedName name="XRates669">#REF!</definedName>
    <definedName name="XRates674" localSheetId="9">#REF!</definedName>
    <definedName name="XRates674" localSheetId="7">#REF!</definedName>
    <definedName name="XRates674" localSheetId="5">#REF!</definedName>
    <definedName name="XRates674">#REF!</definedName>
    <definedName name="XRates676" localSheetId="9">#REF!</definedName>
    <definedName name="XRates676" localSheetId="7">#REF!</definedName>
    <definedName name="XRates676" localSheetId="5">#REF!</definedName>
    <definedName name="XRates676">#REF!</definedName>
    <definedName name="XRatesC170" localSheetId="9">#REF!</definedName>
    <definedName name="XRatesC170" localSheetId="7">#REF!</definedName>
    <definedName name="XRatesC170" localSheetId="5">#REF!</definedName>
    <definedName name="XRatesC170">#REF!</definedName>
    <definedName name="Z_020456A2_62A8_4F50_A99F_2F78CFCC9DFD_.wvu.FilterData" localSheetId="1" hidden="1">'Tracking List'!$A$3:$AB$3</definedName>
    <definedName name="Z_02F3F4DF_0E40_4E3B_B4E3_65B62AD3C412_.wvu.FilterData" localSheetId="1" hidden="1">'Tracking List'!$B$3:$Y$3</definedName>
    <definedName name="Z_060B739A_FB86_45B3_A253_E0C83B785FDF_.wvu.FilterData" localSheetId="1" hidden="1">'Tracking List'!$B$3:$Y$3</definedName>
    <definedName name="Z_0659ED4E_064F_4B4E_9F47_F845D4931DF4_.wvu.FilterData" localSheetId="1" hidden="1">'Tracking List'!$A$3:$AB$3</definedName>
    <definedName name="Z_0679D203_EE06_43E2_8DD7_A16607152C2D_.wvu.FilterData" localSheetId="1" hidden="1">'Tracking List'!$A$5:$AD$324</definedName>
    <definedName name="Z_0691E43B_28FA_429F_94F7_A547188CC960_.wvu.FilterData" localSheetId="1" hidden="1">'Tracking List'!$A$5:$AD$322</definedName>
    <definedName name="Z_070D0D86_4F17_418E_B94A_A19DCF68E096_.wvu.Cols" localSheetId="1" hidden="1">'Tracking List'!$I:$AD</definedName>
    <definedName name="Z_070D0D86_4F17_418E_B94A_A19DCF68E096_.wvu.FilterData" localSheetId="1" hidden="1">'Tracking List'!$A$3:$AB$322</definedName>
    <definedName name="Z_0716F27F_0094_4635_8D94_F36E4B3D44EE_.wvu.Cols" localSheetId="1" hidden="1">'Tracking List'!$I:$AD</definedName>
    <definedName name="Z_0716F27F_0094_4635_8D94_F36E4B3D44EE_.wvu.FilterData" localSheetId="1" hidden="1">'Tracking List'!$A$3:$AB$322</definedName>
    <definedName name="Z_073D82AE_1D47_4078_A2EE_A8C316E31187_.wvu.FilterData" localSheetId="1" hidden="1">'Tracking List'!$B$3:$Y$3</definedName>
    <definedName name="Z_07774F75_9381_4403_A786_E4AB72E4EE7C_.wvu.FilterData" localSheetId="1" hidden="1">'Tracking List'!$A$3:$AB$3</definedName>
    <definedName name="Z_07F0D0EE_642E_4108_89DA_B011BD6AE04B_.wvu.FilterData" localSheetId="1" hidden="1">'Tracking List'!$A$5:$AD$322</definedName>
    <definedName name="Z_08FF19F0_728B_45AB_8CE3_C1536BE0BBFF_.wvu.FilterData" localSheetId="1" hidden="1">'Tracking List'!$A$5:$AD$322</definedName>
    <definedName name="Z_09952A4F_D1E9_42FE_A0E4_A68DD62E53DF_.wvu.FilterData" localSheetId="1" hidden="1">'Tracking List'!$A$5:$AD$324</definedName>
    <definedName name="Z_09F09A1B_3F3D_401D_8E91_A3BFBAD0BC06_.wvu.FilterData" localSheetId="1" hidden="1">'Tracking List'!$A$3:$AB$323</definedName>
    <definedName name="Z_0A857A50_96B7_4A7D_A98D_85AC55EFDB06_.wvu.FilterData" localSheetId="1" hidden="1">'Tracking List'!$A$3:$AB$3</definedName>
    <definedName name="Z_0C0CAEC6_053D_4EC6_82C8_35757789EF2B_.wvu.FilterData" localSheetId="1" hidden="1">'Tracking List'!$A$3:$AB$324</definedName>
    <definedName name="Z_0CC4E065_C935_4E21_A283_3E58198A2F1D_.wvu.FilterData" localSheetId="1" hidden="1">'Tracking List'!$A$3:$AB$3</definedName>
    <definedName name="Z_0CD503F1_E4A2_470C_9FC9_4DA51AA22F33_.wvu.FilterData" localSheetId="1" hidden="1">'Tracking List'!$A$3:$AB$3</definedName>
    <definedName name="Z_0DCF3D8F_6964_4C9A_9B5B_3DF817F85DEA_.wvu.FilterData" localSheetId="1" hidden="1">'Tracking List'!$A$3:$AB$324</definedName>
    <definedName name="Z_0E6F590B_51E4_4CD0_9055_E03675AA73E6_.wvu.FilterData" localSheetId="1" hidden="1">'Tracking List'!$A$5:$AB$335</definedName>
    <definedName name="Z_0EA15789_6A6E_49BF_81DB_3BBDE1C1C59A_.wvu.FilterData" localSheetId="1" hidden="1">'Tracking List'!$A$5:$AB$335</definedName>
    <definedName name="Z_0F021B7E_DF93_44C3_B13E_E09C0025A483_.wvu.FilterData" localSheetId="1" hidden="1">'Tracking List'!$A$3:$AB$3</definedName>
    <definedName name="Z_0F67A1CC_4144_432F_AA84_858A7BF5A283_.wvu.Cols" localSheetId="1" hidden="1">'Tracking List'!$I:$AD</definedName>
    <definedName name="Z_0F67A1CC_4144_432F_AA84_858A7BF5A283_.wvu.FilterData" localSheetId="1" hidden="1">'Tracking List'!$A$3:$AB$324</definedName>
    <definedName name="Z_102436C8_D3C2_4F54_9518_0C44D0C94827_.wvu.Cols" localSheetId="1" hidden="1">'Tracking List'!$I:$AB</definedName>
    <definedName name="Z_102436C8_D3C2_4F54_9518_0C44D0C94827_.wvu.FilterData" localSheetId="1" hidden="1">'Tracking List'!$A$5:$AB$324</definedName>
    <definedName name="Z_1067C193_6653_42E3_ACAD_55E20EFFB396_.wvu.FilterData" localSheetId="1" hidden="1">'Tracking List'!$B$3:$Y$3</definedName>
    <definedName name="Z_1080F554_2C41_4325_BAB9_482A4EAE03D5_.wvu.Cols" localSheetId="1" hidden="1">'Tracking List'!$I:$AD</definedName>
    <definedName name="Z_1080F554_2C41_4325_BAB9_482A4EAE03D5_.wvu.FilterData" localSheetId="1" hidden="1">'Tracking List'!$A$3:$AB$323</definedName>
    <definedName name="Z_1593D3FE_DA79_4A7D_A59C_C084E60B0FEE_.wvu.FilterData" localSheetId="1" hidden="1">'Tracking List'!$A$5:$AD$324</definedName>
    <definedName name="Z_1883AE81_2E62_4212_B4BC_F15A75884638_.wvu.FilterData" localSheetId="1" hidden="1">'Tracking List'!$A$5:$AD$324</definedName>
    <definedName name="Z_194E5CCC_E217_4AE6_BB7E_601825ADBCFC_.wvu.FilterData" localSheetId="1" hidden="1">'Tracking List'!$A$3:$AB$3</definedName>
    <definedName name="Z_199B6A7F_5B93_449B_A4BE_0EF14B6BA7B0_.wvu.FilterData" localSheetId="1" hidden="1">'Tracking List'!$B$3:$Y$3</definedName>
    <definedName name="Z_1B7680C9_33DE_4554_AD22_645D9D206BE5_.wvu.Cols" localSheetId="1" hidden="1">'Tracking List'!#REF!,'Tracking List'!#REF!</definedName>
    <definedName name="Z_1B7680C9_33DE_4554_AD22_645D9D206BE5_.wvu.FilterData" localSheetId="1" hidden="1">'Tracking List'!$A$3:$AB$3</definedName>
    <definedName name="Z_1BA5DB53_4AFD_4553_AC6A_56D9DC698121_.wvu.FilterData" localSheetId="1" hidden="1">'Tracking List'!$A$3:$AB$3</definedName>
    <definedName name="Z_1D0409A5_4950_4DB3_BECA_CFCBF2863D4B_.wvu.Cols" localSheetId="1" hidden="1">'Tracking List'!#REF!,'Tracking List'!$I:$I,'Tracking List'!#REF!</definedName>
    <definedName name="Z_1D0409A5_4950_4DB3_BECA_CFCBF2863D4B_.wvu.FilterData" localSheetId="1" hidden="1">'Tracking List'!$A$3:$AB$3</definedName>
    <definedName name="Z_1DFA1D22_2C94_4C2D_BDD0_0D1DCF36E741_.wvu.FilterData" localSheetId="1" hidden="1">'Tracking List'!$A$3:$AB$3</definedName>
    <definedName name="Z_212D3223_1888_4681_9D0F_F8DCDB0099DA_.wvu.FilterData" localSheetId="1" hidden="1">'Tracking List'!$B$3:$Y$3</definedName>
    <definedName name="Z_216D3B79_AE73_41C2_A40F_AB23B58AD808_.wvu.FilterData" localSheetId="1" hidden="1">'Tracking List'!$A$3:$AB$322</definedName>
    <definedName name="Z_2199D57D_3E9B_43CD_86E5_9FF82E322A28_.wvu.FilterData" localSheetId="1" hidden="1">'Tracking List'!$A$3:$AB$3</definedName>
    <definedName name="Z_220B59EB_1A57_4A5B_A6AD_57925F117131_.wvu.FilterData" localSheetId="1" hidden="1">'Tracking List'!$B$3:$Y$3</definedName>
    <definedName name="Z_22258B9F_21ED_42F0_AFDF_D52D4D345E05_.wvu.FilterData" localSheetId="1" hidden="1">'Tracking List'!$A$3:$AB$3</definedName>
    <definedName name="Z_2242218A_BFE6_43FF_9437_DF3C31B54E49_.wvu.FilterData" localSheetId="1" hidden="1">'Tracking List'!$A$3:$AB$3</definedName>
    <definedName name="Z_2278D2F3_F412_4F1E_BA38_D74881952D2B_.wvu.Cols" localSheetId="1" hidden="1">'Tracking List'!$I:$AD</definedName>
    <definedName name="Z_2278D2F3_F412_4F1E_BA38_D74881952D2B_.wvu.FilterData" localSheetId="1" hidden="1">'Tracking List'!$A$5:$AD$322</definedName>
    <definedName name="Z_2287AF31_C48B_4513_8BBD_0C7D7AC1C716_.wvu.FilterData" localSheetId="1" hidden="1">'Tracking List'!$A$3:$AB$3</definedName>
    <definedName name="Z_23CA9840_DE9B_4F9B_8980_8E312667AB26_.wvu.Cols" localSheetId="1" hidden="1">'Tracking List'!#REF!,'Tracking List'!#REF!</definedName>
    <definedName name="Z_23CA9840_DE9B_4F9B_8980_8E312667AB26_.wvu.FilterData" localSheetId="1" hidden="1">'Tracking List'!$B$3:$Y$3</definedName>
    <definedName name="Z_24E7ED2D_C4B7_4A1E_B083_0BD3F8E9FF96_.wvu.FilterData" localSheetId="1" hidden="1">'Tracking List'!$A$3:$AB$3</definedName>
    <definedName name="Z_26EC437E_1B09_468B_8C6A_A5B23D86C26B_.wvu.FilterData" localSheetId="1" hidden="1">'Tracking List'!$A$3:$AB$3</definedName>
    <definedName name="Z_27544378_831A_4886_9942_A4C2951A7A6D_.wvu.FilterData" localSheetId="1" hidden="1">'Tracking List'!$A$3:$AB$324</definedName>
    <definedName name="Z_2BBCC236_F43A_4255_B16C_31FBB069B80B_.wvu.FilterData" localSheetId="1" hidden="1">'Tracking List'!$A$3:$AB$3</definedName>
    <definedName name="Z_2C869841_1871_4ECB_AC99_A278C1018400_.wvu.FilterData" localSheetId="1" hidden="1">'Tracking List'!$A$3:$AB$3</definedName>
    <definedName name="Z_2CC8D63C_B749_4079_9551_D05682C44B7D_.wvu.FilterData" localSheetId="1" hidden="1">'Tracking List'!$A$5:$AB$335</definedName>
    <definedName name="Z_301B0317_C617_4A16_8E7D_905C121D6D98_.wvu.FilterData" localSheetId="1" hidden="1">'Tracking List'!$A$5:$AD$324</definedName>
    <definedName name="Z_31B2E575_80DE_4165_B859_1807892046F0_.wvu.FilterData" localSheetId="1" hidden="1">'Tracking List'!$A$3:$AB$3</definedName>
    <definedName name="Z_3253252F_6B04_4BFF_8C9B_51C0E9F05281_.wvu.FilterData" localSheetId="1" hidden="1">'Tracking List'!$A$3:$AB$3</definedName>
    <definedName name="Z_32BFE4CB_C3B5_41AE_A113_B3437AD17FBE_.wvu.FilterData" localSheetId="1" hidden="1">'Tracking List'!$B$3:$Y$3</definedName>
    <definedName name="Z_33199390_9EF3_47F1_A559_32183C6901E9_.wvu.FilterData" localSheetId="1" hidden="1">'Tracking List'!$A$3:$AB$3</definedName>
    <definedName name="Z_33423E7C_5BFF_4409_B9C9_349D81DDC8ED_.wvu.FilterData" localSheetId="1" hidden="1">'Tracking List'!$A$3:$AB$3</definedName>
    <definedName name="Z_33DEFE6F_9861_4709_8414_42C1EBB76852_.wvu.FilterData" localSheetId="1" hidden="1">'Tracking List'!$A$5:$AB$335</definedName>
    <definedName name="Z_359B5AD4_83B1_45D1_B048_3EB44179C4FC_.wvu.Cols" localSheetId="1" hidden="1">'Tracking List'!#REF!,'Tracking List'!#REF!</definedName>
    <definedName name="Z_359B5AD4_83B1_45D1_B048_3EB44179C4FC_.wvu.FilterData" localSheetId="1" hidden="1">'Tracking List'!$B$3:$Y$3</definedName>
    <definedName name="Z_36FB9E89_97EF_473B_B022_CDFA64BA3E86_.wvu.Cols" localSheetId="1" hidden="1">'Tracking List'!#REF!,'Tracking List'!#REF!</definedName>
    <definedName name="Z_36FB9E89_97EF_473B_B022_CDFA64BA3E86_.wvu.FilterData" localSheetId="1" hidden="1">'Tracking List'!$B$3:$Y$3</definedName>
    <definedName name="Z_37BCA1E0_F75A_4A7A_BB24_8A146DEAE32E_.wvu.FilterData" localSheetId="1" hidden="1">'Tracking List'!$A$3:$AB$3</definedName>
    <definedName name="Z_3C758FC3_7F82_468A_AB16_76D5A06F8D8B_.wvu.FilterData" localSheetId="1" hidden="1">'Tracking List'!$A$5:$AB$324</definedName>
    <definedName name="Z_3C83CF26_6372_4674_8BB9_8B0E7014F28B_.wvu.FilterData" localSheetId="1" hidden="1">'Tracking List'!$A$3:$AB$3</definedName>
    <definedName name="Z_3D9F0E86_C3B5_4204_9FC6_65CE03A79DE5_.wvu.FilterData" localSheetId="1" hidden="1">'Tracking List'!$A$3:$AB$3</definedName>
    <definedName name="Z_3ECB3EE7_BB1E_48A4_9D7B_A8D109FA7160_.wvu.FilterData" localSheetId="1" hidden="1">'Tracking List'!$A$5:$AB$324</definedName>
    <definedName name="Z_3F6A1397_93B0_4D9B_AA65_A8510737B138_.wvu.Cols" localSheetId="1" hidden="1">'Tracking List'!#REF!,'Tracking List'!#REF!</definedName>
    <definedName name="Z_3F6A1397_93B0_4D9B_AA65_A8510737B138_.wvu.FilterData" localSheetId="1" hidden="1">'Tracking List'!$A$3:$AB$3</definedName>
    <definedName name="Z_40275DDF_3ECD_4449_9D57_A712A7DF6DE5_.wvu.FilterData" localSheetId="1" hidden="1">'Tracking List'!$A$3:$AB$3</definedName>
    <definedName name="Z_41BA497F_29AE_443B_A444_F37AB3F41A89_.wvu.FilterData" localSheetId="1" hidden="1">'Tracking List'!$A$3:$AB$324</definedName>
    <definedName name="Z_4222FC5E_2067_4D4D_BBF8_0FC92CE4C177_.wvu.Cols" localSheetId="1" hidden="1">'Tracking List'!$I:$AD</definedName>
    <definedName name="Z_4222FC5E_2067_4D4D_BBF8_0FC92CE4C177_.wvu.FilterData" localSheetId="1" hidden="1">'Tracking List'!$A$3:$AB$324</definedName>
    <definedName name="Z_45E08020_474F_4815_8EE7_BABC290AA19A_.wvu.FilterData" localSheetId="1" hidden="1">'Tracking List'!$A$5:$AD$322</definedName>
    <definedName name="Z_46A5216A_DD90_4AAF_A4F4_BD8529E1F6F7_.wvu.FilterData" localSheetId="1" hidden="1">'Tracking List'!$B$3:$Y$3</definedName>
    <definedName name="Z_46F0EFEE_089A_476D_BC03_AADC5FE26BA3_.wvu.FilterData" localSheetId="1" hidden="1">'Tracking List'!$A$5:$H$322</definedName>
    <definedName name="Z_481715A2_9944_4779_B016_CE574DDE8067_.wvu.FilterData" localSheetId="1" hidden="1">'Tracking List'!$A$3:$AB$3</definedName>
    <definedName name="Z_4848A32C_2F02_4D44_9A8A_BA256ADD80FB_.wvu.FilterData" localSheetId="1" hidden="1">'Tracking List'!$A$3:$AB$3</definedName>
    <definedName name="Z_48F2FC0B_83FD_4387_92FC_8B606AC1D980_.wvu.FilterData" localSheetId="1" hidden="1">'Tracking List'!$A$3:$AB$3</definedName>
    <definedName name="Z_49B98D0D_EAE4_4061_9721_F589EC088DD3_.wvu.FilterData" localSheetId="1" hidden="1">'Tracking List'!$B$3:$Y$3</definedName>
    <definedName name="Z_4BCEF525_7C4E_4759_8A36_1F5E408AB935_.wvu.FilterData" localSheetId="1" hidden="1">'Tracking List'!$B$3:$Y$3</definedName>
    <definedName name="Z_4BDF571F_F38E_4AA7_993B_7D3DED4EFB05_.wvu.FilterData" localSheetId="1" hidden="1">'Tracking List'!$A$5:$AB$324</definedName>
    <definedName name="Z_4D5A3EEB_771E_433C_92F4_2691157A60E9_.wvu.Cols" localSheetId="1" hidden="1">'Tracking List'!#REF!</definedName>
    <definedName name="Z_4D5A3EEB_771E_433C_92F4_2691157A60E9_.wvu.FilterData" localSheetId="1" hidden="1">'Tracking List'!$B$3:$Y$3</definedName>
    <definedName name="Z_4F352FDC_D33F_4C2C_A680_8A6589B2173D_.wvu.FilterData" localSheetId="1" hidden="1">'Tracking List'!$A$3:$AB$3</definedName>
    <definedName name="Z_4FFA7BAA_9965_4773_92C7_92CFE9D8702B_.wvu.Cols" localSheetId="1" hidden="1">'Tracking List'!#REF!</definedName>
    <definedName name="Z_4FFA7BAA_9965_4773_92C7_92CFE9D8702B_.wvu.FilterData" localSheetId="1" hidden="1">'Tracking List'!$B$3:$Y$3</definedName>
    <definedName name="Z_508D4CD2_747C_485A_B35D_2859E193EA38_.wvu.FilterData" localSheetId="1" hidden="1">'Tracking List'!$A$3:$AB$3</definedName>
    <definedName name="Z_511C1EFB_A387_4946_AC0B_D0E53E98CEB7_.wvu.FilterData" localSheetId="1" hidden="1">'Tracking List'!$B$3:$Y$3</definedName>
    <definedName name="Z_5141BC47_AAED_4A32_AE94_7903A6D22403_.wvu.Cols" localSheetId="1" hidden="1">'Tracking List'!#REF!,'Tracking List'!#REF!</definedName>
    <definedName name="Z_5141BC47_AAED_4A32_AE94_7903A6D22403_.wvu.FilterData" localSheetId="1" hidden="1">'Tracking List'!$B$3:$Y$3</definedName>
    <definedName name="Z_5208E629_CE7A_4E2E_A334_0CF7927DFFB8_.wvu.FilterData" localSheetId="1" hidden="1">'Tracking List'!$A$3:$AB$3</definedName>
    <definedName name="Z_524AE0CA_57FC_4143_A47E_92513D064705_.wvu.FilterData" localSheetId="1" hidden="1">'Tracking List'!$B$3:$Y$3</definedName>
    <definedName name="Z_5493A5D6_BEA6_4238_8026_84254F1E5BC4_.wvu.FilterData" localSheetId="1" hidden="1">'Tracking List'!$A$5:$AB$324</definedName>
    <definedName name="Z_5625F9D2_7718_4A49_A675_96940ED5F262_.wvu.FilterData" localSheetId="1" hidden="1">'Tracking List'!$B$3:$Y$3</definedName>
    <definedName name="Z_57610D21_3302_448F_8CC0_8CF91523B3DE_.wvu.Cols" localSheetId="1" hidden="1">'Tracking List'!$I:$AD</definedName>
    <definedName name="Z_57610D21_3302_448F_8CC0_8CF91523B3DE_.wvu.FilterData" localSheetId="1" hidden="1">'Tracking List'!$H$196:$H$196</definedName>
    <definedName name="Z_58C6765C_E940_4D38_9496_40E71A8CAFFC_.wvu.FilterData" localSheetId="1" hidden="1">'Tracking List'!$A$3:$AB$3</definedName>
    <definedName name="Z_59764B94_B506_47C2_A01A_1AAF8DD6914D_.wvu.FilterData" localSheetId="1" hidden="1">'Tracking List'!$A$3:$AB$3</definedName>
    <definedName name="Z_5B3C15FC_2D41_4736_905F_BE5AAE2E6A65_.wvu.FilterData" localSheetId="1" hidden="1">'Tracking List'!$B$3:$Y$3</definedName>
    <definedName name="Z_5CDAD548_D45B_42C1_9360_C416C6438073_.wvu.FilterData" localSheetId="1" hidden="1">'Tracking List'!$A$5:$AD$322</definedName>
    <definedName name="Z_5D9F6C8D_218A_4855_95D0_321FAFFBC6F3_.wvu.FilterData" localSheetId="1" hidden="1">'Tracking List'!$A$3:$AB$3</definedName>
    <definedName name="Z_5E457CB7_F502_4FD7_A584_590BFD360042_.wvu.FilterData" localSheetId="1" hidden="1">'Tracking List'!$A$3:$AB$324</definedName>
    <definedName name="Z_5FEBB6AE_BF05_409C_A9E9_5190F6305549_.wvu.FilterData" localSheetId="1" hidden="1">'Tracking List'!$B$3:$Y$3</definedName>
    <definedName name="Z_60B4FB75_02E7_467A_9813_782BECD0A68A_.wvu.FilterData" localSheetId="1" hidden="1">'Tracking List'!$A$3:$AB$3</definedName>
    <definedName name="Z_6224C058_EA0D_497E_8D91_D5C455509439_.wvu.Cols" localSheetId="1" hidden="1">'Tracking List'!#REF!</definedName>
    <definedName name="Z_6224C058_EA0D_497E_8D91_D5C455509439_.wvu.FilterData" localSheetId="1" hidden="1">'Tracking List'!$A$3:$AB$3</definedName>
    <definedName name="Z_625F7117_E43A_434C_A05B_6814427EFBE5_.wvu.FilterData" localSheetId="1" hidden="1">'Tracking List'!$B$3:$Y$3</definedName>
    <definedName name="Z_6300CA9A_4CFD_4A49_99FD_A3A82366B550_.wvu.FilterData" localSheetId="1" hidden="1">'Tracking List'!$B$3:$Y$3</definedName>
    <definedName name="Z_64128DCA_2670_4305_BF8B_D59AA1A5D465_.wvu.FilterData" localSheetId="1" hidden="1">'Tracking List'!$A$3:$AB$3</definedName>
    <definedName name="Z_676AD1E8_8D0F_4DCD_92E0_D1421C05C799_.wvu.FilterData" localSheetId="1" hidden="1">'Tracking List'!$B$3:$Y$3</definedName>
    <definedName name="Z_6997ABD2_159E_4569_BF7C_F7575E09E2A5_.wvu.FilterData" localSheetId="1" hidden="1">'Tracking List'!$B$3:$Y$3</definedName>
    <definedName name="Z_6A8054BC_E362_423B_9230_05BAF34FEC3E_.wvu.FilterData" localSheetId="1" hidden="1">'Tracking List'!$A$3:$AB$3</definedName>
    <definedName name="Z_6B5B490D_589B_4890_9C6D_73E7D7F6E54D_.wvu.FilterData" localSheetId="1" hidden="1">'Tracking List'!$B$3:$Y$3</definedName>
    <definedName name="Z_6C2D87E3_AC5A_42E4_BBAC_972E1C1ED5C5_.wvu.FilterData" localSheetId="1" hidden="1">'Tracking List'!$B$3:$Y$3</definedName>
    <definedName name="Z_6C5AE258_724D_49F1_B999_BE8E78D9DEF7_.wvu.FilterData" localSheetId="1" hidden="1">'Tracking List'!$B$3:$Y$3</definedName>
    <definedName name="Z_6C754568_CB6B_40D4_8039_26C781CE5D83_.wvu.FilterData" localSheetId="1" hidden="1">'Tracking List'!$A$3:$AB$3</definedName>
    <definedName name="Z_6FC7142D_AC0D_4CBF_97B7_78EE64680C20_.wvu.Cols" localSheetId="1" hidden="1">'Tracking List'!$I:$AD</definedName>
    <definedName name="Z_6FC7142D_AC0D_4CBF_97B7_78EE64680C20_.wvu.FilterData" localSheetId="1" hidden="1">'Tracking List'!$A$3:$AB$324</definedName>
    <definedName name="Z_6FDCAE63_9A23_48BC_9335_B1771A1FF567_.wvu.Cols" localSheetId="1" hidden="1">'Tracking List'!$I:$AD</definedName>
    <definedName name="Z_6FDCAE63_9A23_48BC_9335_B1771A1FF567_.wvu.FilterData" localSheetId="1" hidden="1">'Tracking List'!$A$3:$AB$322</definedName>
    <definedName name="Z_7070A79D_B422_4262_A508_456A0FC8754F_.wvu.FilterData" localSheetId="1" hidden="1">'Tracking List'!$B$3:$Y$3</definedName>
    <definedName name="Z_70DE80AA_CDC8_4701_A550_72A752E58242_.wvu.FilterData" localSheetId="1" hidden="1">'Tracking List'!$A$3:$AB$3</definedName>
    <definedName name="Z_71944D0C_F366_45A9_AA20_A6E620EF91AC_.wvu.FilterData" localSheetId="1" hidden="1">'Tracking List'!$A$3:$AB$3</definedName>
    <definedName name="Z_7197DB3F_1887_473C_8154_FFA6450CD781_.wvu.FilterData" localSheetId="1" hidden="1">'Tracking List'!$A$5:$AB$324</definedName>
    <definedName name="Z_792A65C4_C4D6_4D83_B564_6E8387E05F5D_.wvu.FilterData" localSheetId="1" hidden="1">'Tracking List'!$A$3:$AB$3</definedName>
    <definedName name="Z_79DB79D4_F057_4ABF_A1B4_90243029A122_.wvu.FilterData" localSheetId="1" hidden="1">'Tracking List'!$A$3:$AB$3</definedName>
    <definedName name="Z_7A51A127_6967_47F7_8918_2465660FC650_.wvu.Cols" localSheetId="1" hidden="1">'Tracking List'!#REF!,'Tracking List'!#REF!</definedName>
    <definedName name="Z_7A51A127_6967_47F7_8918_2465660FC650_.wvu.FilterData" localSheetId="1" hidden="1">'Tracking List'!$A$3:$AB$3</definedName>
    <definedName name="Z_7C0BE44D_00FB_4B60_A09A_6DA5D39BCCE5_.wvu.FilterData" localSheetId="1" hidden="1">'Tracking List'!$A$3:$AB$324</definedName>
    <definedName name="Z_7C37CF76_7B1B_4E28_8E8D_729D1D5B5D76_.wvu.FilterData" localSheetId="1" hidden="1">'Tracking List'!$A$3:$AB$3</definedName>
    <definedName name="Z_7D181204_5EAC_4AE5_AF1B_22C1142E9547_.wvu.FilterData" localSheetId="1" hidden="1">'Tracking List'!$B$3:$Y$3</definedName>
    <definedName name="Z_7E9A752C_9370_4319_B688_CA871F8B8A5B_.wvu.FilterData" localSheetId="1" hidden="1">'Tracking List'!$A$3:$AB$3</definedName>
    <definedName name="Z_7EC47BC4_4844_4D3B_9D79_EC8A124AD22E_.wvu.Cols" localSheetId="1" hidden="1">'Tracking List'!#REF!</definedName>
    <definedName name="Z_7EC47BC4_4844_4D3B_9D79_EC8A124AD22E_.wvu.FilterData" localSheetId="1" hidden="1">'Tracking List'!$A$5:$AB$324</definedName>
    <definedName name="Z_80AAC4C5_CCCB_4B51_8DF7_6D6E6ECE6334_.wvu.FilterData" localSheetId="1" hidden="1">'Tracking List'!$A$3:$AB$3</definedName>
    <definedName name="Z_81A37EF3_D9BD_45FE_9364_48AC9E771ADE_.wvu.FilterData" localSheetId="1" hidden="1">'Tracking List'!$A$5:$AB$324</definedName>
    <definedName name="Z_81FC3564_635F_47B9_B46E_70B615BE866F_.wvu.FilterData" localSheetId="1" hidden="1">'Tracking List'!$A$5:$AD$323</definedName>
    <definedName name="Z_823BD0AF_E678_4F68_AD4E_F3751B2AFA5E_.wvu.FilterData" localSheetId="1" hidden="1">'Tracking List'!$A$3:$AB$3</definedName>
    <definedName name="Z_8513C073_ED5A_466D_946C_467D9B38EE36_.wvu.FilterData" localSheetId="1" hidden="1">'Tracking List'!$A$3:$AB$3</definedName>
    <definedName name="Z_85AEC1CD_1487_48AE_8456_413A3082A644_.wvu.Cols" localSheetId="1" hidden="1">'Tracking List'!$I:$AD</definedName>
    <definedName name="Z_85AEC1CD_1487_48AE_8456_413A3082A644_.wvu.FilterData" localSheetId="1" hidden="1">'Tracking List'!$A$3:$AB$324</definedName>
    <definedName name="Z_89A75BAD_D417_4D47_B872_733B2B2D56F6_.wvu.Cols" localSheetId="1" hidden="1">'Tracking List'!$I:$AB</definedName>
    <definedName name="Z_89A75BAD_D417_4D47_B872_733B2B2D56F6_.wvu.FilterData" localSheetId="1" hidden="1">'Tracking List'!$A$5:$AB$324</definedName>
    <definedName name="Z_89F40B0D_5B2D_4D44_8904_53A6523AB8F6_.wvu.Cols" localSheetId="1" hidden="1">'Tracking List'!$I:$AD</definedName>
    <definedName name="Z_89F40B0D_5B2D_4D44_8904_53A6523AB8F6_.wvu.FilterData" localSheetId="1" hidden="1">'Tracking List'!$A$3:$AB$324</definedName>
    <definedName name="Z_8A786159_327F_4178_9FE8_BF666F462967_.wvu.Cols" localSheetId="1" hidden="1">'Tracking List'!$I:$AD</definedName>
    <definedName name="Z_8A786159_327F_4178_9FE8_BF666F462967_.wvu.FilterData" localSheetId="1" hidden="1">'Tracking List'!$A$5:$AD$322</definedName>
    <definedName name="Z_8B080AD8_BB4A_4FB8_BD44_5610DAE22D8F_.wvu.Cols" localSheetId="1" hidden="1">'Tracking List'!$I:$AD</definedName>
    <definedName name="Z_8B080AD8_BB4A_4FB8_BD44_5610DAE22D8F_.wvu.FilterData" localSheetId="1" hidden="1">'Tracking List'!$A$3:$AB$323</definedName>
    <definedName name="Z_8B11D65A_6F13_48BB_A7A2_926537638197_.wvu.FilterData" localSheetId="1" hidden="1">'Tracking List'!$A$5:$AD$324</definedName>
    <definedName name="Z_8C594945_447B_4072_80B3_E97538B93BEE_.wvu.FilterData" localSheetId="1" hidden="1">'Tracking List'!$A$3:$AB$3</definedName>
    <definedName name="Z_8CE4DEB6_48F6_44DE_ABD3_997416825BA9_.wvu.Cols" localSheetId="1" hidden="1">'Tracking List'!$I:$AB</definedName>
    <definedName name="Z_8CE4DEB6_48F6_44DE_ABD3_997416825BA9_.wvu.FilterData" localSheetId="1" hidden="1">'Tracking List'!$A$5:$AB$324</definedName>
    <definedName name="Z_8DC26331_EEEE_49DC_8AA9_EB835BDE00AF_.wvu.Cols" localSheetId="1" hidden="1">'Tracking List'!#REF!,'Tracking List'!#REF!</definedName>
    <definedName name="Z_8DC26331_EEEE_49DC_8AA9_EB835BDE00AF_.wvu.FilterData" localSheetId="1" hidden="1">'Tracking List'!$A$5:$AB$335</definedName>
    <definedName name="Z_921AA334_7904_4D78_BAB5_8A4E3B3E57CF_.wvu.FilterData" localSheetId="1" hidden="1">'Tracking List'!$A$3:$AB$3</definedName>
    <definedName name="Z_92F40035_D1F5_4600_9CDE_D505D2394889_.wvu.FilterData" localSheetId="1" hidden="1">'Tracking List'!$A$3:$AB$3</definedName>
    <definedName name="Z_932DA4D2_104F_47D2_9263_D0B1BBFB93BD_.wvu.FilterData" localSheetId="1" hidden="1">'Tracking List'!$A$5:$AD$324</definedName>
    <definedName name="Z_94080B0C_B74A_450A_9C6D_76591C69B713_.wvu.FilterData" localSheetId="1" hidden="1">'Tracking List'!$A$5:$AD$324</definedName>
    <definedName name="Z_9554EF5E_4F68_436B_8DD2_3DA3BE55C062_.wvu.FilterData" localSheetId="1" hidden="1">'Tracking List'!$A$3:$AB$3</definedName>
    <definedName name="Z_95C5141A_68C6_49B8_BC27_C0C4AF3285F7_.wvu.Cols" localSheetId="1" hidden="1">'Tracking List'!#REF!</definedName>
    <definedName name="Z_95C5141A_68C6_49B8_BC27_C0C4AF3285F7_.wvu.FilterData" localSheetId="1" hidden="1">'Tracking List'!$A$3:$AB$3</definedName>
    <definedName name="Z_965FCFB1_8F69_480D_A61C_A13AC5DEDCF0_.wvu.FilterData" localSheetId="1" hidden="1">'Tracking List'!$A$3:$AB$3</definedName>
    <definedName name="Z_971EDD42_ECC2_4D44_A1A2_F9AF1EC7823A_.wvu.FilterData" localSheetId="1" hidden="1">'Tracking List'!$A$5:$AD$322</definedName>
    <definedName name="Z_9786466C_9AF5_4AB3_AC7B_C4BCD0BF740D_.wvu.FilterData" localSheetId="1" hidden="1">'Tracking List'!$A$3:$AB$3</definedName>
    <definedName name="Z_9B73AB3F_FAB2_4DEC_95AC_9210A1B2C461_.wvu.FilterData" localSheetId="1" hidden="1">'Tracking List'!$A$5:$AB$324</definedName>
    <definedName name="Z_9C2BC065_7B0A_4858_9A44_CB8BB21649BA_.wvu.FilterData" localSheetId="1" hidden="1">'Tracking List'!$A$3:$AB$3</definedName>
    <definedName name="Z_9CD21DA6_0C54_4BE6_8CE8_501275B026D9_.wvu.Cols" localSheetId="1" hidden="1">'Tracking List'!#REF!</definedName>
    <definedName name="Z_9CD21DA6_0C54_4BE6_8CE8_501275B026D9_.wvu.FilterData" localSheetId="1" hidden="1">'Tracking List'!$B$3:$Y$3</definedName>
    <definedName name="Z_9CEABB3D_414E_4A4D_8C57_F6680B6A41D5_.wvu.FilterData" localSheetId="1" hidden="1">'Tracking List'!$A$3:$AB$3</definedName>
    <definedName name="Z_9D0B8B21_7770_409E_89C4_68952CE8A349_.wvu.FilterData" localSheetId="1" hidden="1">'Tracking List'!$A$3:$AB$3</definedName>
    <definedName name="Z_9D22A08F_56A5_431C_9DFC_BC22419BD317_.wvu.Cols" localSheetId="1" hidden="1">'Tracking List'!#REF!,'Tracking List'!#REF!</definedName>
    <definedName name="Z_9D22A08F_56A5_431C_9DFC_BC22419BD317_.wvu.FilterData" localSheetId="1" hidden="1">'Tracking List'!$A$5:$AB$335</definedName>
    <definedName name="Z_9DAAAB25_2F0D_4A39_8256_6E975EBAFC23_.wvu.FilterData" localSheetId="1" hidden="1">'Tracking List'!$A$3:$AB$3</definedName>
    <definedName name="Z_9E014756_0BAC_4E4B_B496_568CDC89E709_.wvu.FilterData" localSheetId="1" hidden="1">'Tracking List'!$B$3:$Y$3</definedName>
    <definedName name="Z_9E971910_590F_48E9_9991_C87585D7C18A_.wvu.Cols" localSheetId="1" hidden="1">'Tracking List'!$I:$AB</definedName>
    <definedName name="Z_9E971910_590F_48E9_9991_C87585D7C18A_.wvu.FilterData" localSheetId="1" hidden="1">'Tracking List'!$A$5:$AB$324</definedName>
    <definedName name="Z_A14E30E6_04C4_4F62_982C_1D2A488D4C23_.wvu.Cols" localSheetId="1" hidden="1">'Tracking List'!#REF!</definedName>
    <definedName name="Z_A14E30E6_04C4_4F62_982C_1D2A488D4C23_.wvu.FilterData" localSheetId="1" hidden="1">'Tracking List'!$A$3:$AB$3</definedName>
    <definedName name="Z_A1EBAC21_62E1_4AAC_A19A_38B95C21CB54_.wvu.FilterData" localSheetId="1" hidden="1">'Tracking List'!$B$3:$Y$3</definedName>
    <definedName name="Z_A2ADF982_1BD2_46ED_B7F2_4E8BCC873424_.wvu.FilterData" localSheetId="1" hidden="1">'Tracking List'!$B$3:$Y$3</definedName>
    <definedName name="Z_A4096C2C_69D6_4F6B_93D2_C6D72A473E46_.wvu.FilterData" localSheetId="1" hidden="1">'Tracking List'!$B$3:$Y$3</definedName>
    <definedName name="Z_A41B468E_59CD_4A44_9CA2_901668F74EAD_.wvu.FilterData" localSheetId="1" hidden="1">'Tracking List'!$A$3:$AB$3</definedName>
    <definedName name="Z_A5184950_335C_4B1F_BB5B_757CEFFBC274_.wvu.FilterData" localSheetId="1" hidden="1">'Tracking List'!$B$3:$Y$3</definedName>
    <definedName name="Z_A519D0F2_CC75_4F84_9618_6142620FAFE7_.wvu.Cols" localSheetId="1" hidden="1">'Tracking List'!#REF!</definedName>
    <definedName name="Z_A519D0F2_CC75_4F84_9618_6142620FAFE7_.wvu.FilterData" localSheetId="1" hidden="1">'Tracking List'!$B$3:$Y$3</definedName>
    <definedName name="Z_A5CB2FE7_BF19_481F_AD95_A314651813B1_.wvu.FilterData" localSheetId="1" hidden="1">'Tracking List'!$A$3:$AB$3</definedName>
    <definedName name="Z_A6371EDF_34A7_4F05_9CAD_5E4591FE9BC6_.wvu.FilterData" localSheetId="1" hidden="1">'Tracking List'!$B$3:$Y$3</definedName>
    <definedName name="Z_A7505D78_F485_4B03_AA4E_E146811CD30D_.wvu.FilterData" localSheetId="1" hidden="1">'Tracking List'!$B$3:$Y$3</definedName>
    <definedName name="Z_A7C9BDFE_939E_4DB8_82B1_A92F7526D3FB_.wvu.FilterData" localSheetId="1" hidden="1">'Tracking List'!$A$5:$AD$322</definedName>
    <definedName name="Z_A892FA84_CEDE_44CD_A101_CAD0D5A5669A_.wvu.FilterData" localSheetId="1" hidden="1">'Tracking List'!$A$3:$AB$3</definedName>
    <definedName name="Z_A965AF1D_BF09_4CDC_9CF5_0E03F36504EA_.wvu.FilterData" localSheetId="1" hidden="1">'Tracking List'!$B$3:$Y$3</definedName>
    <definedName name="Z_A9ECC057_D6AC_46F1_94F3_74D54D782E05_.wvu.FilterData" localSheetId="1" hidden="1">'Tracking List'!$A$3:$AB$324</definedName>
    <definedName name="Z_AA1E631D_8AEC_4A51_80CE_6D3FF1110DE4_.wvu.Cols" localSheetId="1" hidden="1">'Tracking List'!#REF!</definedName>
    <definedName name="Z_AA1E631D_8AEC_4A51_80CE_6D3FF1110DE4_.wvu.FilterData" localSheetId="1" hidden="1">'Tracking List'!$B$3:$Y$3</definedName>
    <definedName name="Z_ADBD6893_0EC5_401D_8D4D_8DA491D0A712_.wvu.FilterData" localSheetId="1" hidden="1">'Tracking List'!$A$3:$AB$3</definedName>
    <definedName name="Z_B0428174_1D1D_445B_90F2_E259E900E9DF_.wvu.FilterData" localSheetId="1" hidden="1">'Tracking List'!$A$3:$AB$3</definedName>
    <definedName name="Z_B12AF53E_5A71_4685_B5CF_4EEB7FBDD724_.wvu.FilterData" localSheetId="1" hidden="1">'Tracking List'!$B$3:$Y$3</definedName>
    <definedName name="Z_B190ADD0_CD32_4427_B818_242A1327112E_.wvu.FilterData" localSheetId="1" hidden="1">'Tracking List'!$A$5:$AD$322</definedName>
    <definedName name="Z_B2334713_8230_4D78_9EB7_337222ED36AA_.wvu.FilterData" localSheetId="1" hidden="1">'Tracking List'!$B$3:$Y$3</definedName>
    <definedName name="Z_B316C038_7E44_4C17_9D5D_C47A9623C939_.wvu.Cols" localSheetId="1" hidden="1">'Tracking List'!$I:$AD</definedName>
    <definedName name="Z_B316C038_7E44_4C17_9D5D_C47A9623C939_.wvu.FilterData" localSheetId="1" hidden="1">'Tracking List'!$A$3:$AB$324</definedName>
    <definedName name="Z_B3DA208E_C0DB_471C_B72F_C98EF8F18476_.wvu.FilterData" localSheetId="1" hidden="1">'Tracking List'!$A$3:$AB$3</definedName>
    <definedName name="Z_B3E2AE2F_9E23_4ADB_AC97_E9827BFE90F5_.wvu.FilterData" localSheetId="1" hidden="1">'Tracking List'!$A$3:$AB$3</definedName>
    <definedName name="Z_B48C3A1D_ABA4_484A_8EE1_3CDCA5C87555_.wvu.FilterData" localSheetId="1" hidden="1">'Tracking List'!$B$3:$Y$3</definedName>
    <definedName name="Z_B4CE6F4A_F4BF_4363_ACE2_DC0642B07FCD_.wvu.FilterData" localSheetId="1" hidden="1">'Tracking List'!$A$3:$AB$3</definedName>
    <definedName name="Z_B5BEA316_C632_49FB_AEDD_D66A5C4C93F5_.wvu.FilterData" localSheetId="1" hidden="1">'Tracking List'!$A$5:$AD$324</definedName>
    <definedName name="Z_B81F4F14_F310_49A7_8A5F_E62C9FF72B50_.wvu.FilterData" localSheetId="1" hidden="1">'Tracking List'!$A$3:$AB$3</definedName>
    <definedName name="Z_B9D0391A_5C8B_4D0C_B1F9_F55EF9AFB359_.wvu.FilterData" localSheetId="1" hidden="1">'Tracking List'!$B$3:$Y$3</definedName>
    <definedName name="Z_BE980DDF_586F_4A4D_B137_7AC1BC873FE5_.wvu.FilterData" localSheetId="1" hidden="1">'Tracking List'!$B$3:$Y$3</definedName>
    <definedName name="Z_BF43D94C_CDBC_4108_91D8_4480BB1862E1_.wvu.FilterData" localSheetId="1" hidden="1">'Tracking List'!$B$3:$Y$3</definedName>
    <definedName name="Z_C05DB852_B116_4813_BAD1_E1A6BF566648_.wvu.FilterData" localSheetId="1" hidden="1">'Tracking List'!$B$3:$Y$3</definedName>
    <definedName name="Z_C18FDFE5_2FB6_4725_B575_41444C9AFC36_.wvu.FilterData" localSheetId="1" hidden="1">'Tracking List'!$A$3:$AB$3</definedName>
    <definedName name="Z_C2AA54EF_2F78_41C6_914E_61D905304750_.wvu.FilterData" localSheetId="1" hidden="1">'Tracking List'!$B$3:$Y$3</definedName>
    <definedName name="Z_C2FB82A6_76AB_4CDE_BE51_01913ACF489E_.wvu.FilterData" localSheetId="1" hidden="1">'Tracking List'!$A$3:$AB$3</definedName>
    <definedName name="Z_C3A84A77_E064_4E53_95A5_E8FC8D88DA23_.wvu.Cols" localSheetId="1" hidden="1">'Tracking List'!#REF!,'Tracking List'!#REF!,'Tracking List'!#REF!</definedName>
    <definedName name="Z_C3A84A77_E064_4E53_95A5_E8FC8D88DA23_.wvu.FilterData" localSheetId="1" hidden="1">'Tracking List'!$A$5:$AH$562</definedName>
    <definedName name="Z_C52F8C72_D633_4D29_BBF6_6ADFD2FD8330_.wvu.FilterData" localSheetId="1" hidden="1">'Tracking List'!$A$3:$AB$324</definedName>
    <definedName name="Z_C55AE8BA_A6AC_4382_A8E7_B572BB40C144_.wvu.FilterData" localSheetId="1" hidden="1">'Tracking List'!$B$3:$Y$3</definedName>
    <definedName name="Z_C6123722_E1E0_431F_9A6E_AF640AC20B0A_.wvu.FilterData" localSheetId="1" hidden="1">'Tracking List'!$B$3:$Y$3</definedName>
    <definedName name="Z_C69CBB12_B106_401B_8049_969A2578B61F_.wvu.FilterData" localSheetId="1" hidden="1">'Tracking List'!$A$3:$AB$3</definedName>
    <definedName name="Z_C766E9BA_F8D7_4B10_8615_2B28B467BBFE_.wvu.FilterData" localSheetId="1" hidden="1">'Tracking List'!$A$3:$AB$3</definedName>
    <definedName name="Z_C94AF9AF_D7AB_43F1_B3F8_CB40B01CC1CD_.wvu.FilterData" localSheetId="1" hidden="1">'Tracking List'!$A$3:$AB$3</definedName>
    <definedName name="Z_CB3B3B53_94AE_4D1A_8BBF_AB178425EE28_.wvu.Cols" localSheetId="1" hidden="1">'Tracking List'!#REF!</definedName>
    <definedName name="Z_CB3B3B53_94AE_4D1A_8BBF_AB178425EE28_.wvu.FilterData" localSheetId="1" hidden="1">'Tracking List'!$A$3:$AB$3</definedName>
    <definedName name="Z_CC625F19_78B0_4DA8_BCD0_691C4FFD2ACC_.wvu.FilterData" localSheetId="1" hidden="1">'Tracking List'!$A$3:$AB$3</definedName>
    <definedName name="Z_CCFFC895_8798_43B8_BD22_FE55584FF353_.wvu.FilterData" localSheetId="1" hidden="1">'Tracking List'!$A$3:$AB$3</definedName>
    <definedName name="Z_CEF07F63_0724_4339_91D0_6210C78651DC_.wvu.FilterData" localSheetId="1" hidden="1">'Tracking List'!$A$3:$AB$3</definedName>
    <definedName name="Z_D02274B1_9811_430B_B36B_E2E89630C56A_.wvu.FilterData" localSheetId="1" hidden="1">'Tracking List'!$A$5:$AD$322</definedName>
    <definedName name="Z_D0E8C600_5D3B_4205_A54A_BD9124891113_.wvu.FilterData" localSheetId="1" hidden="1">'Tracking List'!$A$3:$AB$324</definedName>
    <definedName name="Z_D236DA69_5EF6_4C91_A04B_77D3E1DF5BF7_.wvu.FilterData" localSheetId="1" hidden="1">'Tracking List'!$A$3:$AB$3</definedName>
    <definedName name="Z_D2CE4CDE_4C9A_40CD_A1B7_271DEB75EC76_.wvu.FilterData" localSheetId="1" hidden="1">'Tracking List'!$A$5:$AD$322</definedName>
    <definedName name="Z_D6E660E0_4A88_466F_B38F_33206D95F4F7_.wvu.FilterData" localSheetId="1" hidden="1">'Tracking List'!$A$3:$AB$3</definedName>
    <definedName name="Z_D7C32A78_BDA5_4DF2_A8A9_9DEE93B8AE6B_.wvu.FilterData" localSheetId="1" hidden="1">'Tracking List'!$A$3:$AB$3</definedName>
    <definedName name="Z_D7EBE5A5_709F_47BA_849B_FDD47C1E4062_.wvu.FilterData" localSheetId="1" hidden="1">'Tracking List'!$B$3:$Y$3</definedName>
    <definedName name="Z_D8ACE7AF_9773_4905_B01E_794CA9F2E4C3_.wvu.FilterData" localSheetId="1" hidden="1">'Tracking List'!$A$1:$AB$3</definedName>
    <definedName name="Z_DAAC7DE6_554E_4C5F_88F8_81AB1444B3C8_.wvu.FilterData" localSheetId="1" hidden="1">'Tracking List'!$A$3:$AB$3</definedName>
    <definedName name="Z_DAE8005F_33A4_4F07_B6FE_E52380340C6B_.wvu.FilterData" localSheetId="1" hidden="1">'Tracking List'!$B$3:$Y$3</definedName>
    <definedName name="Z_DB25BC2B_2951_45A8_8592_86D3C3CC3102_.wvu.Cols" localSheetId="1" hidden="1">'Tracking List'!#REF!</definedName>
    <definedName name="Z_DB25BC2B_2951_45A8_8592_86D3C3CC3102_.wvu.FilterData" localSheetId="1" hidden="1">'Tracking List'!$A$3:$AB$3</definedName>
    <definedName name="Z_DB6A80B6_BF92_4142_B6AE_EC5513AAEE9B_.wvu.FilterData" localSheetId="1" hidden="1">'Tracking List'!$A$5:$AB$335</definedName>
    <definedName name="Z_DC0EA8FF_1DE3_44FF_93AB_493D5DCF7F63_.wvu.FilterData" localSheetId="1" hidden="1">'Tracking List'!$A$3:$AB$3</definedName>
    <definedName name="Z_DC6C7215_3300_4060_B338_12322B8D231C_.wvu.FilterData" localSheetId="1" hidden="1">'Tracking List'!$A$3:$AB$3</definedName>
    <definedName name="Z_DDD99118_ED8D_4F92_9C97_E552977D4FCC_.wvu.FilterData" localSheetId="1" hidden="1">'Tracking List'!$A$5:$AB$324</definedName>
    <definedName name="Z_DE5EFDD0_D1AA_4F0D_8D25_8E25CF6EB5C1_.wvu.FilterData" localSheetId="1" hidden="1">'Tracking List'!$A$3:$AB$3</definedName>
    <definedName name="Z_DEED5692_3A4A_4A2F_8E24_0093BD0A96CA_.wvu.Cols" localSheetId="1" hidden="1">'Tracking List'!#REF!</definedName>
    <definedName name="Z_DEED5692_3A4A_4A2F_8E24_0093BD0A96CA_.wvu.FilterData" localSheetId="1" hidden="1">'Tracking List'!$B$3:$Y$3</definedName>
    <definedName name="Z_E1641F7F_959A_441D_AE87_EF2C08ACA36B_.wvu.Cols" localSheetId="1" hidden="1">'Tracking List'!$I:$AD</definedName>
    <definedName name="Z_E1641F7F_959A_441D_AE87_EF2C08ACA36B_.wvu.FilterData" localSheetId="1" hidden="1">'Tracking List'!$A$5:$AD$324</definedName>
    <definedName name="Z_E1D349A3_D0EE_4DB4_B588_EA5C368EFD7F_.wvu.FilterData" localSheetId="1" hidden="1">'Tracking List'!$A$3:$AB$3</definedName>
    <definedName name="Z_E3BF2513_A89B_4873_9D54_3E0FF0E1872A_.wvu.Cols" localSheetId="1" hidden="1">'Tracking List'!#REF!,'Tracking List'!#REF!</definedName>
    <definedName name="Z_E3BF2513_A89B_4873_9D54_3E0FF0E1872A_.wvu.FilterData" localSheetId="1" hidden="1">'Tracking List'!$A$5:$AB$335</definedName>
    <definedName name="Z_E5B527AA_AE7F_49E3_897F_694F0F8125E6_.wvu.FilterData" localSheetId="1" hidden="1">'Tracking List'!$A$3:$AB$3</definedName>
    <definedName name="Z_E69D4B4F_0967_4561_8678_A6BCACEF59CF_.wvu.FilterData" localSheetId="1" hidden="1">'Tracking List'!$B$3:$Y$3</definedName>
    <definedName name="Z_E7585B77_E60E_4A58_9027_399C641ECA13_.wvu.FilterData" localSheetId="1" hidden="1">'Tracking List'!$A$3:$AB$3</definedName>
    <definedName name="Z_E7E7DBC6_AE9C_47FD_9A60_1C5F08183D92_.wvu.Cols" localSheetId="1" hidden="1">'Tracking List'!$I:$AD</definedName>
    <definedName name="Z_E7E7DBC6_AE9C_47FD_9A60_1C5F08183D92_.wvu.FilterData" localSheetId="1" hidden="1">'Tracking List'!$A$3:$AB$322</definedName>
    <definedName name="Z_E85A24AF_D605_476B_A674_0DDFE3B9B0B2_.wvu.FilterData" localSheetId="1" hidden="1">'Tracking List'!$B$3:$Y$3</definedName>
    <definedName name="Z_E8A57FC4_5A10_44F3_8D71_FC522D2E145D_.wvu.FilterData" localSheetId="1" hidden="1">'Tracking List'!$A$5:$AD$324</definedName>
    <definedName name="Z_EA63C0F1_D4EF_4059_BBBB_7F184E0E2F50_.wvu.FilterData" localSheetId="1" hidden="1">'Tracking List'!$B$3:$Y$3</definedName>
    <definedName name="Z_EC372ACD_BFC8_48EC_B032_D16B77B4DE0F_.wvu.FilterData" localSheetId="1" hidden="1">'Tracking List'!$A$3:$AB$3</definedName>
    <definedName name="Z_EC5C6DB1_AB16_46B0_AE55_5C2AE947DA23_.wvu.FilterData" localSheetId="1" hidden="1">'Tracking List'!$A$3:$AB$3</definedName>
    <definedName name="Z_ECEB8F8C_BA2A_4AE3_99FB_4F4BB129FE39_.wvu.FilterData" localSheetId="1" hidden="1">'Tracking List'!$A$3:$AB$3</definedName>
    <definedName name="Z_EF3D8072_961A_4FEF_946F_028E60AADBDA_.wvu.FilterData" localSheetId="1" hidden="1">'Tracking List'!$A$3:$AB$3</definedName>
    <definedName name="Z_F13235F5_0A02_4560_8FD4_662770F5BAFC_.wvu.FilterData" localSheetId="1" hidden="1">'Tracking List'!$B$3:$Y$3</definedName>
    <definedName name="Z_F42D9BC7_3626_4EF0_B81D_5EB03F5B953E_.wvu.Cols" localSheetId="1" hidden="1">'Tracking List'!$I:$AB</definedName>
    <definedName name="Z_F42D9BC7_3626_4EF0_B81D_5EB03F5B953E_.wvu.FilterData" localSheetId="1" hidden="1">'Tracking List'!$A$5:$AB$324</definedName>
    <definedName name="Z_F8B8074F_754B_46F7_8721_7B4ECD3152DD_.wvu.FilterData" localSheetId="1" hidden="1">'Tracking List'!$A$3:$AB$3</definedName>
    <definedName name="Z_FA5F72B9_63DA_4EF2_BD3B_68B28A71CAE7_.wvu.FilterData" localSheetId="1" hidden="1">'Tracking List'!$A$3:$AB$3</definedName>
    <definedName name="Z_FB21FAD7_D1EE_43DB_B7FB_F423F9207BE6_.wvu.FilterData" localSheetId="1" hidden="1">'Tracking List'!$A$3:$AB$3</definedName>
    <definedName name="Z_FB47C12E_F31C_4910_978D_1EC7D9D72A7B_.wvu.FilterData" localSheetId="1" hidden="1">'Tracking List'!$A$3:$AB$3</definedName>
    <definedName name="Z_FCD42C5B_FA7A_4713_9A72_00CA6A2406AE_.wvu.Cols" localSheetId="1" hidden="1">'Tracking List'!$I:$AD</definedName>
    <definedName name="Z_FCD42C5B_FA7A_4713_9A72_00CA6A2406AE_.wvu.FilterData" localSheetId="1" hidden="1">'Tracking List'!$A$3:$AB$324</definedName>
    <definedName name="Z_FD58D2FE_FC02_4406_9724_2A81F5BBFE95_.wvu.FilterData" localSheetId="1" hidden="1">'Tracking List'!$A$5:$AB$324</definedName>
    <definedName name="Z_FDFE6298_6423_4655_B7EE_5747DE0C7D7A_.wvu.Cols" localSheetId="1" hidden="1">'Tracking List'!$I:$AD</definedName>
    <definedName name="Z_FDFE6298_6423_4655_B7EE_5747DE0C7D7A_.wvu.FilterData" localSheetId="1" hidden="1">'Tracking List'!$A$5:$AD$324</definedName>
    <definedName name="Z_FF8E5AA3_E0E2_4A95_A585_ABC9CBA0B331_.wvu.FilterData" localSheetId="1" hidden="1">'Tracking List'!$A$3:$AB$3</definedName>
  </definedNames>
  <calcPr calcId="144525"/>
  <customWorkbookViews>
    <customWorkbookView name="Zhang, Lan (L.) - 个人视图" guid="{C3A84A77-E064-4E53-95A5-E8FC8D88DA23}" mergeInterval="0" personalView="1" maximized="1" windowWidth="1362" windowHeight="526" tabRatio="768" activeSheetId="5"/>
    <customWorkbookView name="Xin, Zhidong (Z.) - 个人视图" guid="{9D22A08F-56A5-431C-9DFC-BC22419BD317}" mergeInterval="0" personalView="1" maximized="1" windowWidth="1276" windowHeight="507" tabRatio="768" activeSheetId="1"/>
    <customWorkbookView name="Zhang, Tao (Santi.) - 个人视图" guid="{8DC26331-EEEE-49DC-8AA9-EB835BDE00AF}" mergeInterval="0" personalView="1" maximized="1" windowWidth="1304" windowHeight="565" tabRatio="768" activeSheetId="1"/>
    <customWorkbookView name="Kong, Bin (KOBI.) - 个人视图" guid="{2CC8D63C-B749-4079-9551-D05682C44B7D}" mergeInterval="0" personalView="1" maximized="1" windowWidth="1276" windowHeight="558" tabRatio="768" activeSheetId="1"/>
    <customWorkbookView name="Wang, Fei (F.) - 个人视图" guid="{45E2B96A-38C2-4698-AE49-5CB425CFD881}" mergeInterval="0" personalView="1" maximized="1" windowWidth="1218" windowHeight="597" tabRatio="768" activeSheetId="1"/>
    <customWorkbookView name="Wang, Xiaofang (X.) - 个人视图" guid="{10D3DA8C-8A30-499A-9912-393493C497A3}" mergeInterval="0" personalView="1" maximized="1" windowWidth="1276" windowHeight="532" tabRatio="768" activeSheetId="1"/>
    <customWorkbookView name="Chen, Li (L.) - 个人视图" guid="{8CE4DEB6-48F6-44DE-ABD3-997416825BA9}" mergeInterval="0" personalView="1" maximized="1" yWindow="-2" windowWidth="1362" windowHeight="494" tabRatio="768" activeSheetId="1"/>
    <customWorkbookView name="Chen, Xin (PTI.) - 个人视图" guid="{102436C8-D3C2-4F54-9518-0C44D0C94827}" mergeInterval="0" personalView="1" maximized="1" windowWidth="1362" windowHeight="526" tabRatio="768" activeSheetId="1"/>
    <customWorkbookView name="Guo, Shaoquan (S.) - 个人视图" guid="{F42D9BC7-3626-4EF0-B81D-5EB03F5B953E}" mergeInterval="0" personalView="1" maximized="1" yWindow="-2" windowWidth="1276" windowHeight="784" tabRatio="768" activeSheetId="1"/>
    <customWorkbookView name="Liu, Hong (H.) - 个人视图" guid="{1883AE81-2E62-4212-B4BC-F15A75884638}" mergeInterval="0" personalView="1" maximized="1" windowWidth="1596" windowHeight="658" tabRatio="768" activeSheetId="1"/>
    <customWorkbookView name="Liu, Zhi (Z.) - 个人视图" guid="{27544378-831A-4886-9942-A4C2951A7A6D}" mergeInterval="0" personalView="1" maximized="1" windowWidth="1276" windowHeight="558" tabRatio="768" activeSheetId="1"/>
    <customWorkbookView name="Kang, Hui (H.) - 个人视图" guid="{57610D21-3302-448F-8CC0-8CF91523B3DE}" mergeInterval="0" personalView="1" maximized="1" windowWidth="1008" windowHeight="312" tabRatio="768" activeSheetId="1"/>
    <customWorkbookView name="Fan, Jing (.) - 个人视图" guid="{FDFE6298-6423-4655-B7EE-5747DE0C7D7A}" mergeInterval="0" personalView="1" maximized="1" windowWidth="1276" windowHeight="558" tabRatio="768" activeSheetId="1"/>
    <customWorkbookView name="Shao, Chuanli (C.) - 个人视图" guid="{4222FC5E-2067-4D4D-BBF8-0FC92CE4C177}" mergeInterval="0" personalView="1" maximized="1" windowWidth="1276" windowHeight="558" tabRatio="768" activeSheetId="1"/>
    <customWorkbookView name="Wu, You (Y.) - 个人视图" guid="{1593D3FE-DA79-4A7D-A59C-C084E60B0FEE}" mergeInterval="0" personalView="1" maximized="1" windowWidth="1304" windowHeight="565" tabRatio="768" activeSheetId="1"/>
    <customWorkbookView name="Wu, Dongjun (D.) - 个人视图" guid="{8B11D65A-6F13-48BB-A7A2-926537638197}" mergeInterval="0" personalView="1" maximized="1" windowWidth="1276" windowHeight="558" tabRatio="768" activeSheetId="1" showComments="commIndAndComment"/>
    <customWorkbookView name="Li, Bo (Bob.) - 个人视图" guid="{7C0BE44D-00FB-4B60-A09A-6DA5D39BCCE5}" mergeInterval="0" personalView="1" maximized="1" windowWidth="1276" windowHeight="513" tabRatio="768" activeSheetId="1"/>
    <customWorkbookView name="Yu, Bo (B.) - Personal View" guid="{1080F554-2C41-4325-BAB9-482A4EAE03D5}" mergeInterval="0" personalView="1" maximized="1" windowWidth="1362" windowHeight="490" tabRatio="768" activeSheetId="5"/>
    <customWorkbookView name="Yi, Gang (G.) - Personal View" guid="{0716F27F-0094-4635-8D94-F36E4B3D44EE}" mergeInterval="0" personalView="1" maximized="1" windowWidth="1362" windowHeight="555" tabRatio="768" activeSheetId="1"/>
    <customWorkbookView name="Zhou, Xia (Christine) - 个人视图" guid="{B190ADD0-CD32-4427-B818-242A1327112E}" mergeInterval="0" personalView="1" maximized="1" windowWidth="779" windowHeight="453" tabRatio="768" activeSheetId="1" showComments="commIndAndComment"/>
    <customWorkbookView name="Ji, Genchang (G.) - 个人视图" guid="{D02274B1-9811-430B-B36B-E2E89630C56A}" mergeInterval="0" personalView="1" maximized="1" windowWidth="1596" windowHeight="657" tabRatio="768" activeSheetId="1"/>
    <customWorkbookView name="Chen, Xin (M.) - 个人视图" guid="{08FF19F0-728B-45AB-8CE3-C1536BE0BBFF}" mergeInterval="0" personalView="1" maximized="1" windowWidth="1276" windowHeight="485" tabRatio="768" activeSheetId="1"/>
    <customWorkbookView name="Wang, YuLong (Jade.) - 个人视图" guid="{2278D2F3-F412-4F1E-BA38-D74881952D2B}" mergeInterval="0" personalView="1" maximized="1" windowWidth="1120" windowHeight="459" tabRatio="768" activeSheetId="1"/>
    <customWorkbookView name="Xu, Lilin (L.) - 个人视图" guid="{46F0EFEE-089A-476D-BC03-AADC5FE26BA3}" mergeInterval="0" personalView="1" maximized="1" yWindow="-2" windowWidth="1362" windowHeight="528" tabRatio="768" activeSheetId="1"/>
    <customWorkbookView name="Hu, Bin (B.) - 个人视图" guid="{B19D538E-40CD-4807-A9D4-C19AE02789AC}" mergeInterval="0" personalView="1" maximized="1" windowWidth="1276" windowHeight="541" tabRatio="768" activeSheetId="4"/>
    <customWorkbookView name="Bai, Liying (L.) - 个人视图" guid="{E7585B77-E60E-4A58-9027-399C641ECA13}" mergeInterval="0" personalView="1" maximized="1" windowWidth="1276" windowHeight="557" tabRatio="768" activeSheetId="1"/>
    <customWorkbookView name="Huang, Taifeng (J.) - 个人视图" guid="{2BBCC236-F43A-4255-B16C-31FBB069B80B}" mergeInterval="0" personalView="1" maximized="1" windowWidth="1276" windowHeight="520" tabRatio="768" activeSheetId="4"/>
    <customWorkbookView name="Xu Gang - Personal View" guid="{965FCFB1-8F69-480D-A61C-A13AC5DEDCF0}" mergeInterval="0" personalView="1" maximized="1" windowWidth="1020" windowHeight="565" tabRatio="768" activeSheetId="1"/>
    <customWorkbookView name="Chen, Yuanjie (Y.) - 个人视图" guid="{1BA5DB53-4AFD-4553-AC6A-56D9DC698121}" mergeInterval="0" personalView="1" maximized="1" windowWidth="1350" windowHeight="617" tabRatio="768" activeSheetId="1"/>
    <customWorkbookView name="ypan6 - 个人视图" guid="{95C5141A-68C6-49B8-BC27-C0C4AF3285F7}" mergeInterval="0" personalView="1" maximized="1" windowWidth="1276" windowHeight="577" tabRatio="768" activeSheetId="1"/>
    <customWorkbookView name="Meng, Cui (Tracy.) - 个人视图" guid="{B3824387-AC50-4E19-BC12-EE3069A4B06A}" mergeInterval="0" personalView="1" maximized="1" windowWidth="1276" windowHeight="563" tabRatio="768" activeSheetId="1"/>
    <customWorkbookView name="wliao3 - 个人视图" guid="{D8ACE7AF-9773-4905-B01E-794CA9F2E4C3}" mergeInterval="0" personalView="1" maximized="1" windowWidth="1276" windowHeight="524" tabRatio="768" activeSheetId="1"/>
    <customWorkbookView name="JLI56 - 个人视图" guid="{F8B8074F-754B-46F7-8721-7B4ECD3152DD}" mergeInterval="0" personalView="1" maximized="1" windowWidth="1276" windowHeight="543" tabRatio="768" activeSheetId="1"/>
    <customWorkbookView name="xlai - 个人视图" guid="{07774F75-9381-4403-A786-E4AB72E4EE7C}" mergeInterval="0" personalView="1" maximized="1" windowWidth="1268" windowHeight="621" tabRatio="768" activeSheetId="1"/>
    <customWorkbookView name="bhuang15 - 个人视图" guid="{ECEB8F8C-BA2A-4AE3-99FB-4F4BB129FE39}" mergeInterval="0" personalView="1" maximized="1" windowWidth="1276" windowHeight="550" tabRatio="768" activeSheetId="1"/>
    <customWorkbookView name="yli109 - 个人视图" guid="{B3DA208E-C0DB-471C-B72F-C98EF8F18476}" mergeInterval="0" personalView="1" maximized="1" windowWidth="1276" windowHeight="599" tabRatio="768" activeSheetId="1"/>
    <customWorkbookView name="刘春艳 - 个人视图" guid="{9C2BC065-7B0A-4858-9A44-CB8BB21649BA}" mergeInterval="0" personalView="1" maximized="1" windowWidth="1020" windowHeight="518" tabRatio="768" activeSheetId="1"/>
    <customWorkbookView name="zliu44 - 个人视图" guid="{0659ED4E-064F-4B4E-9F47-F845D4931DF4}" mergeInterval="0" personalView="1" maximized="1" windowWidth="1276" windowHeight="546" tabRatio="768" activeSheetId="1"/>
    <customWorkbookView name="QHE11 - 个人视图" guid="{1B7680C9-33DE-4554-AD22-645D9D206BE5}" mergeInterval="0" personalView="1" maximized="1" windowWidth="1276" windowHeight="800" tabRatio="768" activeSheetId="1"/>
    <customWorkbookView name="Lan, Xiaohui (X.) - 个人视图" guid="{6224C058-EA0D-497E-8D91-D5C455509439}" mergeInterval="0" personalView="1" maximized="1" windowWidth="1362" windowHeight="525" tabRatio="768" activeSheetId="1"/>
    <customWorkbookView name="qzeng1 - 个人视图" guid="{9554EF5E-4F68-436B-8DD2-3DA3BE55C062}" mergeInterval="0" personalView="1" maximized="1" windowWidth="1276" windowHeight="550" tabRatio="768" activeSheetId="1"/>
    <customWorkbookView name="zpan4 - 个人视图" guid="{2C869841-1871-4ECB-AC99-A278C1018400}" mergeInterval="0" personalView="1" maximized="1" windowWidth="1276" windowHeight="603" tabRatio="768" activeSheetId="1"/>
    <customWorkbookView name="YPU1 - 个人视图" guid="{A5184950-335C-4B1F-BB5B-757CEFFBC274}" mergeInterval="0" personalView="1" maximized="1" windowWidth="1240" windowHeight="388" tabRatio="768" activeSheetId="1"/>
    <customWorkbookView name="ychen180 - 个人视图" guid="{B48C3A1D-ABA4-484A-8EE1-3CDCA5C87555}" mergeInterval="0" personalView="1" maximized="1" windowWidth="1276" windowHeight="576" tabRatio="768" activeSheetId="1"/>
    <customWorkbookView name="jsun21 - 个人视图" guid="{BE980DDF-586F-4A4D-B137-7AC1BC873FE5}" mergeInterval="0" personalView="1" maximized="1" windowWidth="1276" windowHeight="576" tabRatio="768" activeSheetId="1"/>
    <customWorkbookView name="xlan2 - 个人视图" guid="{CC560EDD-61F7-4361-9911-0C285B0BFEB0}" mergeInterval="0" personalView="1" maximized="1" windowWidth="1276" windowHeight="796" tabRatio="768" activeSheetId="1"/>
    <customWorkbookView name="yjiang12 - 个人视图" guid="{02F3F4DF-0E40-4E3B-B4E3-65B62AD3C412}" mergeInterval="0" personalView="1" maximized="1" windowWidth="1276" windowHeight="577" tabRatio="768" activeSheetId="1"/>
    <customWorkbookView name="ytan14 - 个人视图" guid="{C407ABDF-6C6C-40F2-AE00-7EB4786E2BDF}" mergeInterval="0" personalView="1" maximized="1" windowWidth="1276" windowHeight="602" tabRatio="768" activeSheetId="1"/>
    <customWorkbookView name="yubo - 个人视图" guid="{B12AF53E-5A71-4685-B5CF-4EEB7FBDD724}" mergeInterval="0" personalView="1" maximized="1" windowWidth="1148" windowHeight="605" tabRatio="768" activeSheetId="1"/>
    <customWorkbookView name="xchen68 - 个人视图" guid="{DE5D6D46-F9CF-4723-A8AF-01068139D42F}" mergeInterval="0" personalView="1" maximized="1" windowWidth="1020" windowHeight="466" tabRatio="768" activeSheetId="1"/>
    <customWorkbookView name="yzhong2 - 个人视图" guid="{B6C95F11-447D-4FB4-BCA3-8976CC1ADD7D}" mergeInterval="0" personalView="1" maximized="1" windowWidth="1276" windowHeight="550" tabRatio="768" activeSheetId="1"/>
    <customWorkbookView name="lxu12 - 个人视图" guid="{5A7792BE-6929-4CD5-8FE0-4B7F27627E17}" mergeInterval="0" personalView="1" maximized="1" windowWidth="1276" windowHeight="602" tabRatio="768" activeSheetId="1"/>
    <customWorkbookView name="hwang65 - 个人视图" guid="{DAE8005F-33A4-4F07-B6FE-E52380340C6B}" mergeInterval="0" personalView="1" maximized="1" windowWidth="1276" windowHeight="490" tabRatio="768" activeSheetId="1"/>
    <customWorkbookView name="lzhang37 - 个人视图" guid="{6B5B490D-589B-4890-9C6D-73E7D7F6E54D}" mergeInterval="0" personalView="1" maximized="1" windowWidth="1276" windowHeight="547" tabRatio="768" activeSheetId="1"/>
    <customWorkbookView name="HKUANG1 - 个人视图" guid="{C05DB852-B116-4813-BAD1-E1A6BF566648}" mergeInterval="0" personalView="1" maximized="1" windowWidth="1276" windowHeight="598" tabRatio="768" activeSheetId="1"/>
    <customWorkbookView name="jyang31 - 个人视图" guid="{212D3223-1888-4681-9D0F-F8DCDB0099DA}" mergeInterval="0" personalView="1" maximized="1" windowWidth="1276" windowHeight="593" tabRatio="768" activeSheetId="1"/>
    <customWorkbookView name="Peng, Ying (Y.) - 个人视图" guid="{4BCEF525-7C4E-4759-8A36-1F5E408AB935}" mergeInterval="0" personalView="1" maximized="1" windowWidth="1362" windowHeight="489" tabRatio="768" activeSheetId="1"/>
    <customWorkbookView name="msun11 - 个人视图" guid="{7070A79D-B422-4262-A508-456A0FC8754F}" mergeInterval="0" personalView="1" maximized="1" windowWidth="1276" windowHeight="573" tabRatio="768" activeSheetId="1"/>
    <customWorkbookView name="zwei3 - Personal View" guid="{36FB9E89-97EF-473B-B022-CDFA64BA3E86}" mergeInterval="0" personalView="1" maximized="1" windowWidth="1276" windowHeight="566" tabRatio="768" activeSheetId="1"/>
    <customWorkbookView name="fwang16 - Personal View" guid="{5141BC47-AAED-4A32-AE94-7903A6D22403}" mergeInterval="0" personalView="1" maximized="1" windowWidth="1020" windowHeight="518" tabRatio="768" activeSheetId="5"/>
    <customWorkbookView name="qli7 - 个人视图" guid="{359B5AD4-83B1-45D1-B048-3EB44179C4FC}" mergeInterval="0" personalView="1" maximized="1" windowWidth="1276" windowHeight="550" tabRatio="768" activeSheetId="1"/>
    <customWorkbookView name="pli18 - 个人视图" guid="{9CD21DA6-0C54-4BE6-8CE8-501275B026D9}" mergeInterval="0" personalView="1" maximized="1" windowWidth="1276" windowHeight="576" tabRatio="768" activeSheetId="1"/>
    <customWorkbookView name="yliu72 - 个人视图" guid="{4FFA7BAA-9965-4773-92C7-92CFE9D8702B}" mergeInterval="0" personalView="1" maximized="1" windowWidth="1276" windowHeight="543" tabRatio="768" activeSheetId="1"/>
    <customWorkbookView name="ychen199 - 个人视图" guid="{DEED5692-3A4A-4A2F-8E24-0093BD0A96CA}" mergeInterval="0" personalView="1" maximized="1" windowWidth="1020" windowHeight="545" tabRatio="768" activeSheetId="1"/>
    <customWorkbookView name="WDAN1 - 个人视图" guid="{4D5A3EEB-771E-433C-92F4-2691157A60E9}" mergeInterval="0" personalView="1" maximized="1" windowWidth="1276" windowHeight="576" tabRatio="768" activeSheetId="1"/>
    <customWorkbookView name="HGUAN1 - 个人视图" guid="{A519D0F2-CC75-4F84-9618-6142620FAFE7}" mergeInterval="0" personalView="1" maximized="1" windowWidth="1276" windowHeight="550" tabRatio="768" activeSheetId="1" showComments="commNone"/>
    <customWorkbookView name="lzhang78 - 个人视图" guid="{676AD1E8-8D0F-4DCD-92E0-D1421C05C799}" mergeInterval="0" personalView="1" maximized="1" windowWidth="1276" windowHeight="572" tabRatio="768" activeSheetId="4"/>
    <customWorkbookView name="xwang42 - 个人视图" guid="{5FEBB6AE-BF05-409C-A9E9-5190F6305549}" mergeInterval="0" personalView="1" maximized="1" windowWidth="1276" windowHeight="550" tabRatio="768" activeSheetId="1"/>
    <customWorkbookView name="jfan13 - 个人视图" guid="{7A51A127-6967-47F7-8918-2465660FC650}" mergeInterval="0" personalView="1" maximized="1" windowWidth="1276" windowHeight="550" tabRatio="768" activeSheetId="1" showComments="commIndAndComment"/>
    <customWorkbookView name="bwen2 - 个人视图" guid="{067A4360-541D-442A-B76F-4882F7471B79}" mergeInterval="0" personalView="1" maximized="1" windowWidth="1276" windowHeight="577" tabRatio="768" activeSheetId="1" showComments="commIndAndComment"/>
    <customWorkbookView name="wzhang23 - 个人视图" guid="{E85A24AF-D605-476B-A674-0DDFE3B9B0B2}" mergeInterval="0" personalView="1" maximized="1" windowWidth="1276" windowHeight="577" tabRatio="768" activeSheetId="1"/>
    <customWorkbookView name="Wang Yulong - 个人视图" guid="{E69D4B4F-0967-4561-8678-A6BCACEF59CF}" mergeInterval="0" personalView="1" maximized="1" windowWidth="1276" windowHeight="629" tabRatio="768" activeSheetId="1"/>
    <customWorkbookView name="yyang13 - 个人视图" guid="{23CA9840-DE9B-4F9B-8980-8E312667AB26}" mergeInterval="0" personalView="1" maximized="1" windowWidth="1276" windowHeight="546" tabRatio="768" activeSheetId="1"/>
    <customWorkbookView name="yhu7 - 个人视图" guid="{49B98D0D-EAE4-4061-9721-F589EC088DD3}" mergeInterval="0" personalView="1" maximized="1" windowWidth="1276" windowHeight="504" tabRatio="768" activeSheetId="1"/>
    <customWorkbookView name="cliu75 - Personal View" guid="{E074A808-068D-4E5C-B8DA-CED57044B213}" mergeInterval="0" personalView="1" maximized="1" windowWidth="1276" windowHeight="601" tabRatio="768" activeSheetId="1"/>
    <customWorkbookView name="bhu6 - 个人视图" guid="{073D82AE-1D47-4078-A2EE-A8C316E31187}" mergeInterval="0" personalView="1" maximized="1" windowWidth="1276" windowHeight="550" tabRatio="448" activeSheetId="1"/>
    <customWorkbookView name="lsong6 - 个人视图" guid="{9E014756-0BAC-4E4B-B496-568CDC89E709}" mergeInterval="0" personalView="1" maximized="1" windowWidth="1276" windowHeight="576" tabRatio="768" activeSheetId="1"/>
    <customWorkbookView name="LBAI1 - 个人视图" guid="{AA1E631D-8AEC-4A51-80CE-6D3FF1110DE4}" mergeInterval="0" personalView="1" maximized="1" windowWidth="1276" windowHeight="550" tabRatio="768" activeSheetId="1"/>
    <customWorkbookView name="ywang169 - 个人视图" guid="{A965AF1D-BF09-4CDC-9CF5-0E03F36504EA}" mergeInterval="0" personalView="1" maximized="1" windowWidth="1276" windowHeight="546" tabRatio="768" activeSheetId="1"/>
    <customWorkbookView name="Dean CHEN - Personal View" guid="{220B59EB-1A57-4A5B-A6AD-57925F117131}" mergeInterval="0" personalView="1" maximized="1" windowWidth="1157" windowHeight="522" tabRatio="768" activeSheetId="1"/>
    <customWorkbookView name="zxiang3 - 个人视图" guid="{060B739A-FB86-45B3-A253-E0C83B785FDF}" mergeInterval="0" personalView="1" maximized="1" windowWidth="1276" windowHeight="800" tabRatio="768" activeSheetId="1"/>
    <customWorkbookView name="lzhan118 - 个人视图" guid="{6C2D87E3-AC5A-42E4-BBAC-972E1C1ED5C5}" mergeInterval="0" personalView="1" maximized="1" windowWidth="1276" windowHeight="801" tabRatio="768" activeSheetId="1"/>
    <customWorkbookView name="JTANG44 - 个人视图" guid="{71944D0C-F366-45A9-AA20-A6E620EF91AC}" mergeInterval="0" personalView="1" maximized="1" windowWidth="1276" windowHeight="550" tabRatio="768" activeSheetId="1"/>
    <customWorkbookView name="Liu, Wei (W.) - 个人视图" guid="{DB25BC2B-2951-45A8-8592-86D3C3CC3102}" mergeInterval="0" personalView="1" maximized="1" windowWidth="1276" windowHeight="781" tabRatio="768" activeSheetId="1"/>
    <customWorkbookView name="yangyi - 个人视图" guid="{C2FB82A6-76AB-4CDE-BE51-01913ACF489E}" mergeInterval="0" personalView="1" maximized="1" windowWidth="1276" windowHeight="801" tabRatio="768" activeSheetId="1"/>
    <customWorkbookView name="xyu16 - 个人视图" guid="{1D0409A5-4950-4DB3-BECA-CFCBF2863D4B}" mergeInterval="0" personalView="1" maximized="1" windowWidth="1276" windowHeight="577" tabRatio="768" activeSheetId="1"/>
    <customWorkbookView name="cmeng3 - 个人视图" guid="{3F6A1397-93B0-4D9B-AA65-A8510737B138}" mergeInterval="0" personalView="1" maximized="1" windowWidth="1276" windowHeight="577" tabRatio="768" activeSheetId="1"/>
    <customWorkbookView name="Bai, Liying (L.) - Personal View" guid="{A14E30E6-04C4-4F62-982C-1D2A488D4C23}" mergeInterval="0" personalView="1" maximized="1" windowWidth="1276" windowHeight="575" tabRatio="768" activeSheetId="1"/>
    <customWorkbookView name="Pan, Yifei (Fear.) - 个人视图" guid="{A5CB2FE7-BF19-481F-AD95-A314651813B1}" mergeInterval="0" personalView="1" maximized="1" windowWidth="1276" windowHeight="521" tabRatio="768" activeSheetId="1"/>
    <customWorkbookView name="Chen, Terry (Xing.) - 个人视图" guid="{CB3B3B53-94AE-4D1A-8BBF-AB178425EE28}" mergeInterval="0" personalView="1" maximized="1" windowWidth="1362" windowHeight="525" tabRatio="768" activeSheetId="1"/>
    <customWorkbookView name="Sun, Jinlong (J.) - 个人视图" guid="{0635BDBD-B86F-4A71-9276-FC8A4846C705}" mergeInterval="0" personalView="1" maximized="1" windowWidth="1276" windowHeight="667" tabRatio="768" activeSheetId="1"/>
    <customWorkbookView name="Wang, Limei (L.) - 个人视图" guid="{6FDCAE63-9A23-48BC-9335-B1771A1FF567}" mergeInterval="0" personalView="1" maximized="1" windowWidth="1362" windowHeight="526" tabRatio="768" activeSheetId="1"/>
    <customWorkbookView name="Pu, Dong (D.) - 个人视图" guid="{E7E7DBC6-AE9C-47FD-9A60-1C5F08183D92}" mergeInterval="0" personalView="1" maximized="1" windowWidth="1596" windowHeight="641" tabRatio="768" activeSheetId="1"/>
    <customWorkbookView name="Qiu, Jun (J.) - 个人视图" guid="{070D0D86-4F17-418E-B94A-A19DCF68E096}" mergeInterval="0" personalView="1" maximized="1" windowWidth="1362" windowHeight="483" tabRatio="768" activeSheetId="1"/>
    <customWorkbookView name="Liu, Yang (Nicol.) - 个人视图" guid="{8A786159-327F-4178-9FE8-BF666F462967}" mergeInterval="0" personalView="1" maximized="1" windowWidth="1276" windowHeight="558" tabRatio="768" activeSheetId="1"/>
    <customWorkbookView name="Zhang, Kan (K.) - 个人视图" guid="{971EDD42-ECC2-4D44-A1A2-F9AF1EC7823A}" mergeInterval="0" personalView="1" maximized="1" windowWidth="1596" windowHeight="658" tabRatio="768" activeSheetId="1"/>
    <customWorkbookView name="Zeng, Qiang (James.) - 个人视图" guid="{5CDAD548-D45B-42C1-9360-C416C6438073}" mergeInterval="0" personalView="1" maximized="1" windowWidth="1276" windowHeight="521" tabRatio="768" activeSheetId="1"/>
    <customWorkbookView name="Pan, Chaoming (C.) - 个人视图" guid="{0691E43B-28FA-429F-94F7-A547188CC960}" mergeInterval="0" personalView="1" maximized="1" windowWidth="1362" windowHeight="525" tabRatio="768" activeSheetId="1"/>
    <customWorkbookView name="Zhao, Ning (N.) - Personal View" guid="{8B080AD8-BB4A-4FB8-BD44-5610DAE22D8F}" mergeInterval="0" personalView="1" maximized="1" windowWidth="1276" windowHeight="561" tabRatio="768" activeSheetId="1"/>
    <customWorkbookView name="Shu, Longhu (Tiger.) - Personal View" guid="{81FC3564-635F-47B9-B46E-70B615BE866F}" mergeInterval="0" personalView="1" maximized="1" windowWidth="1292" windowHeight="585" tabRatio="768" activeSheetId="1"/>
    <customWorkbookView name="bli32 - 个人视图" guid="{A9ECC057-D6AC-46F1-94F3-74D54D782E05}" mergeInterval="0" personalView="1" maximized="1" windowWidth="1250" windowHeight="576" tabRatio="768" activeSheetId="1"/>
    <customWorkbookView name="Guo, Meibing (M.) - 个人视图" guid="{B316C038-7E44-4C17-9D5D-C47A9623C939}" mergeInterval="0" personalView="1" maximized="1" windowWidth="1276" windowHeight="558" tabRatio="768" activeSheetId="1"/>
    <customWorkbookView name="Zeng, Xiaopeng (X.) - 个人视图" guid="{89F40B0D-5B2D-4D44-8904-53A6523AB8F6}" mergeInterval="0" personalView="1" maximized="1" windowWidth="1596" windowHeight="658" tabRatio="768" activeSheetId="1"/>
    <customWorkbookView name="Zhou, Qi (Q.) - 个人视图" guid="{FCD42C5B-FA7A-4713-9A72-00CA6A2406AE}" mergeInterval="0" personalView="1" maximized="1" windowWidth="1362" windowHeight="630" tabRatio="768" activeSheetId="1"/>
    <customWorkbookView name="Liu, Chunming (.) - Personal View" guid="{6FC7142D-AC0D-4CBF-97B7-78EE64680C20}" mergeInterval="0" personalView="1" maximized="1" windowWidth="1276" windowHeight="588" tabRatio="768" activeSheetId="1"/>
    <customWorkbookView name="Liu, Laiyun (L.) - 个人视图" guid="{0F67A1CC-4144-432F-AA84-858A7BF5A283}" mergeInterval="0" personalView="1" maximized="1" windowWidth="1362" windowHeight="492" tabRatio="768" activeSheetId="1"/>
    <customWorkbookView name="Liao, Wei (W.) - 个人视图" guid="{85AEC1CD-1487-48AE-8456-413A3082A644}" mergeInterval="0" personalView="1" maximized="1" windowWidth="1362" windowHeight="390" tabRatio="768" activeSheetId="1"/>
    <customWorkbookView name="Wang, Haiyang (H.) - 个人视图" guid="{E1641F7F-959A-441D-AE87-EF2C08ACA36B}" mergeInterval="0" personalView="1" maximized="1" windowWidth="1276" windowHeight="558" tabRatio="768" activeSheetId="1"/>
    <customWorkbookView name="Yu, Xiaoxing (X.) - 个人视图" guid="{932DA4D2-104F-47D2-9263-D0B1BBFB93BD}" mergeInterval="0" personalView="1" maximized="1" windowWidth="1362" windowHeight="526" tabRatio="768" activeSheetId="1"/>
    <customWorkbookView name="Yang, Jian (J.) - 个人视图" guid="{C7051693-5D39-41C2-A625-149803F4128A}" mergeInterval="0" personalView="1" maximized="1" windowWidth="1276" windowHeight="558" tabRatio="768" activeSheetId="1"/>
    <customWorkbookView name="Li, Wei (W.) - 个人视图" guid="{A866590C-EA5C-409A-8033-A55F69D9EF7D}" mergeInterval="0" personalView="1" maximized="1" windowWidth="1276" windowHeight="731" tabRatio="768" activeSheetId="1"/>
    <customWorkbookView name="Hu, Qiang (Q.) - 个人视图" guid="{09952A4F-D1E9-42FE-A0E4-A68DD62E53DF}" mergeInterval="0" personalView="1" maximized="1" windowWidth="1327" windowHeight="425" tabRatio="768" activeSheetId="1"/>
    <customWorkbookView name="Lai, Xingqiao (X.) - 个人视图" guid="{0C0CAEC6-053D-4EC6-82C8-35757789EF2B}" mergeInterval="0" personalView="1" maximized="1" yWindow="-2" windowWidth="1276" windowHeight="560" tabRatio="768" activeSheetId="1"/>
    <customWorkbookView name="Deng, Shaoxiang (S.) - 个人视图" guid="{9E971910-590F-48E9-9991-C87585D7C18A}" mergeInterval="0" personalView="1" maximized="1" windowWidth="1362" windowHeight="458" tabRatio="768" activeSheetId="1"/>
    <customWorkbookView name="Liu, Yaming (Y.) - 个人视图" guid="{89A75BAD-D417-4D47-B872-733B2B2D56F6}" mergeInterval="0" personalView="1" maximized="1" windowWidth="1276" windowHeight="538" tabRatio="768" activeSheetId="1"/>
    <customWorkbookView name="Wu, Sha (PD.) - 个人视图" guid="{7EC47BC4-4844-4D3B-9D79-EC8A124AD22E}" mergeInterval="0" personalView="1" maximized="1" windowWidth="1276" windowHeight="558" tabRatio="768" activeSheetId="4"/>
    <customWorkbookView name="Tang, Juan (Amy.) - 个人视图" guid="{DB6A80B6-BF92-4142-B6AE-EC5513AAEE9B}" mergeInterval="0" personalView="1" maximized="1" windowWidth="1362" windowHeight="509" tabRatio="768" activeSheetId="1"/>
    <customWorkbookView name="Deng, Bin (B.) - 个人视图" guid="{E3BF2513-A89B-4873-9D54-3E0FF0E1872A}" mergeInterval="0" personalView="1" maximized="1" windowWidth="1276" windowHeight="558" tabRatio="768" activeSheetId="1"/>
  </customWorkbookViews>
</workbook>
</file>

<file path=xl/calcChain.xml><?xml version="1.0" encoding="utf-8"?>
<calcChain xmlns="http://schemas.openxmlformats.org/spreadsheetml/2006/main">
  <c r="N12" i="12" l="1"/>
  <c r="AC8" i="20" l="1"/>
  <c r="AB8" i="20"/>
  <c r="AA8" i="20"/>
  <c r="X8" i="20"/>
  <c r="W8" i="20"/>
  <c r="V8" i="20"/>
  <c r="S8" i="20"/>
  <c r="R8" i="20"/>
  <c r="N8" i="20"/>
  <c r="M8" i="20"/>
  <c r="L8" i="20"/>
  <c r="I8" i="20"/>
  <c r="H8" i="20"/>
  <c r="G8" i="20"/>
  <c r="D8" i="20"/>
  <c r="AC7" i="20"/>
  <c r="AB7" i="20"/>
  <c r="AA7" i="20"/>
  <c r="X7" i="20"/>
  <c r="W7" i="20"/>
  <c r="V7" i="20"/>
  <c r="S7" i="20"/>
  <c r="R7" i="20"/>
  <c r="N7" i="20"/>
  <c r="M7" i="20"/>
  <c r="L7" i="20"/>
  <c r="I7" i="20"/>
  <c r="H7" i="20"/>
  <c r="G7" i="20"/>
  <c r="D7" i="20"/>
  <c r="AH8" i="20" l="1"/>
  <c r="W215" i="1" l="1"/>
  <c r="W216" i="1"/>
  <c r="W217" i="1"/>
  <c r="W218" i="1"/>
  <c r="W219" i="1"/>
  <c r="W220" i="1"/>
  <c r="W221" i="1"/>
  <c r="E79" i="20" l="1"/>
  <c r="E80" i="20" s="1"/>
  <c r="H78" i="20"/>
  <c r="F78" i="20"/>
  <c r="AC42" i="20"/>
  <c r="AB42" i="20"/>
  <c r="AA42" i="20"/>
  <c r="X42" i="20"/>
  <c r="W42" i="20"/>
  <c r="V42" i="20"/>
  <c r="S42" i="20"/>
  <c r="R42" i="20"/>
  <c r="N42" i="20"/>
  <c r="M42" i="20"/>
  <c r="L42" i="20"/>
  <c r="I42" i="20"/>
  <c r="H42" i="20"/>
  <c r="G42" i="20"/>
  <c r="D42" i="20"/>
  <c r="AC41" i="20"/>
  <c r="AB41" i="20"/>
  <c r="AA41" i="20"/>
  <c r="X41" i="20"/>
  <c r="W41" i="20"/>
  <c r="V41" i="20"/>
  <c r="S41" i="20"/>
  <c r="R41" i="20"/>
  <c r="N41" i="20"/>
  <c r="M41" i="20"/>
  <c r="L41" i="20"/>
  <c r="I41" i="20"/>
  <c r="H41" i="20"/>
  <c r="G41" i="20"/>
  <c r="D41" i="20"/>
  <c r="AC40" i="20"/>
  <c r="AB40" i="20"/>
  <c r="AA40" i="20"/>
  <c r="X40" i="20"/>
  <c r="W40" i="20"/>
  <c r="V40" i="20"/>
  <c r="S40" i="20"/>
  <c r="R40" i="20"/>
  <c r="N40" i="20"/>
  <c r="M40" i="20"/>
  <c r="L40" i="20"/>
  <c r="I40" i="20"/>
  <c r="H40" i="20"/>
  <c r="G40" i="20"/>
  <c r="D40" i="20"/>
  <c r="AC39" i="20"/>
  <c r="AB39" i="20"/>
  <c r="AA39" i="20"/>
  <c r="X39" i="20"/>
  <c r="W39" i="20"/>
  <c r="V39" i="20"/>
  <c r="S39" i="20"/>
  <c r="R39" i="20"/>
  <c r="N39" i="20"/>
  <c r="M39" i="20"/>
  <c r="L39" i="20"/>
  <c r="I39" i="20"/>
  <c r="H39" i="20"/>
  <c r="G39" i="20"/>
  <c r="D39" i="20"/>
  <c r="AC38" i="20"/>
  <c r="AB38" i="20"/>
  <c r="AA38" i="20"/>
  <c r="X38" i="20"/>
  <c r="W38" i="20"/>
  <c r="V38" i="20"/>
  <c r="S38" i="20"/>
  <c r="R38" i="20"/>
  <c r="N38" i="20"/>
  <c r="M38" i="20"/>
  <c r="L38" i="20"/>
  <c r="I38" i="20"/>
  <c r="H38" i="20"/>
  <c r="G38" i="20"/>
  <c r="D38" i="20"/>
  <c r="AC37" i="20"/>
  <c r="AB37" i="20"/>
  <c r="AA37" i="20"/>
  <c r="X37" i="20"/>
  <c r="W37" i="20"/>
  <c r="V37" i="20"/>
  <c r="S37" i="20"/>
  <c r="R37" i="20"/>
  <c r="N37" i="20"/>
  <c r="M37" i="20"/>
  <c r="L37" i="20"/>
  <c r="I37" i="20"/>
  <c r="H37" i="20"/>
  <c r="G37" i="20"/>
  <c r="D37" i="20"/>
  <c r="AC36" i="20"/>
  <c r="AB36" i="20"/>
  <c r="AA36" i="20"/>
  <c r="X36" i="20"/>
  <c r="W36" i="20"/>
  <c r="V36" i="20"/>
  <c r="S36" i="20"/>
  <c r="R36" i="20"/>
  <c r="N36" i="20"/>
  <c r="M36" i="20"/>
  <c r="L36" i="20"/>
  <c r="I36" i="20"/>
  <c r="H36" i="20"/>
  <c r="G36" i="20"/>
  <c r="D36" i="20"/>
  <c r="AC35" i="20"/>
  <c r="AB35" i="20"/>
  <c r="AA35" i="20"/>
  <c r="X35" i="20"/>
  <c r="W35" i="20"/>
  <c r="V35" i="20"/>
  <c r="S35" i="20"/>
  <c r="R35" i="20"/>
  <c r="N35" i="20"/>
  <c r="M35" i="20"/>
  <c r="L35" i="20"/>
  <c r="I35" i="20"/>
  <c r="H35" i="20"/>
  <c r="G35" i="20"/>
  <c r="D35" i="20"/>
  <c r="AC34" i="20"/>
  <c r="AB34" i="20"/>
  <c r="AA34" i="20"/>
  <c r="X34" i="20"/>
  <c r="W34" i="20"/>
  <c r="V34" i="20"/>
  <c r="S34" i="20"/>
  <c r="R34" i="20"/>
  <c r="N34" i="20"/>
  <c r="M34" i="20"/>
  <c r="L34" i="20"/>
  <c r="I34" i="20"/>
  <c r="H34" i="20"/>
  <c r="G34" i="20"/>
  <c r="D34" i="20"/>
  <c r="AC33" i="20"/>
  <c r="AB33" i="20"/>
  <c r="AA33" i="20"/>
  <c r="X33" i="20"/>
  <c r="W33" i="20"/>
  <c r="V33" i="20"/>
  <c r="S33" i="20"/>
  <c r="R33" i="20"/>
  <c r="N33" i="20"/>
  <c r="M33" i="20"/>
  <c r="L33" i="20"/>
  <c r="I33" i="20"/>
  <c r="H33" i="20"/>
  <c r="G33" i="20"/>
  <c r="D33" i="20"/>
  <c r="AC32" i="20"/>
  <c r="AB32" i="20"/>
  <c r="AA32" i="20"/>
  <c r="X32" i="20"/>
  <c r="W32" i="20"/>
  <c r="V32" i="20"/>
  <c r="S32" i="20"/>
  <c r="R32" i="20"/>
  <c r="N32" i="20"/>
  <c r="M32" i="20"/>
  <c r="L32" i="20"/>
  <c r="I32" i="20"/>
  <c r="H32" i="20"/>
  <c r="G32" i="20"/>
  <c r="D32" i="20"/>
  <c r="AC31" i="20"/>
  <c r="AB31" i="20"/>
  <c r="AA31" i="20"/>
  <c r="X31" i="20"/>
  <c r="W31" i="20"/>
  <c r="V31" i="20"/>
  <c r="S31" i="20"/>
  <c r="R31" i="20"/>
  <c r="N31" i="20"/>
  <c r="M31" i="20"/>
  <c r="L31" i="20"/>
  <c r="I31" i="20"/>
  <c r="H31" i="20"/>
  <c r="G31" i="20"/>
  <c r="D31" i="20"/>
  <c r="AC30" i="20"/>
  <c r="AB30" i="20"/>
  <c r="AA30" i="20"/>
  <c r="X30" i="20"/>
  <c r="W30" i="20"/>
  <c r="V30" i="20"/>
  <c r="S30" i="20"/>
  <c r="R30" i="20"/>
  <c r="N30" i="20"/>
  <c r="M30" i="20"/>
  <c r="L30" i="20"/>
  <c r="I30" i="20"/>
  <c r="H30" i="20"/>
  <c r="G30" i="20"/>
  <c r="D30" i="20"/>
  <c r="AC29" i="20"/>
  <c r="AB29" i="20"/>
  <c r="AA29" i="20"/>
  <c r="X29" i="20"/>
  <c r="W29" i="20"/>
  <c r="V29" i="20"/>
  <c r="S29" i="20"/>
  <c r="R29" i="20"/>
  <c r="N29" i="20"/>
  <c r="M29" i="20"/>
  <c r="L29" i="20"/>
  <c r="I29" i="20"/>
  <c r="H29" i="20"/>
  <c r="G29" i="20"/>
  <c r="D29" i="20"/>
  <c r="AC28" i="20"/>
  <c r="AB28" i="20"/>
  <c r="AA28" i="20"/>
  <c r="X28" i="20"/>
  <c r="W28" i="20"/>
  <c r="V28" i="20"/>
  <c r="S28" i="20"/>
  <c r="R28" i="20"/>
  <c r="N28" i="20"/>
  <c r="M28" i="20"/>
  <c r="L28" i="20"/>
  <c r="I28" i="20"/>
  <c r="H28" i="20"/>
  <c r="G28" i="20"/>
  <c r="D28" i="20"/>
  <c r="AC27" i="20"/>
  <c r="AB27" i="20"/>
  <c r="AA27" i="20"/>
  <c r="X27" i="20"/>
  <c r="W27" i="20"/>
  <c r="V27" i="20"/>
  <c r="S27" i="20"/>
  <c r="R27" i="20"/>
  <c r="N27" i="20"/>
  <c r="M27" i="20"/>
  <c r="L27" i="20"/>
  <c r="I27" i="20"/>
  <c r="H27" i="20"/>
  <c r="G27" i="20"/>
  <c r="D27" i="20"/>
  <c r="AC26" i="20"/>
  <c r="AB26" i="20"/>
  <c r="AA26" i="20"/>
  <c r="X26" i="20"/>
  <c r="W26" i="20"/>
  <c r="V26" i="20"/>
  <c r="S26" i="20"/>
  <c r="R26" i="20"/>
  <c r="N26" i="20"/>
  <c r="M26" i="20"/>
  <c r="L26" i="20"/>
  <c r="I26" i="20"/>
  <c r="H26" i="20"/>
  <c r="G26" i="20"/>
  <c r="D26" i="20"/>
  <c r="AC25" i="20"/>
  <c r="AB25" i="20"/>
  <c r="AA25" i="20"/>
  <c r="X25" i="20"/>
  <c r="W25" i="20"/>
  <c r="V25" i="20"/>
  <c r="S25" i="20"/>
  <c r="R25" i="20"/>
  <c r="N25" i="20"/>
  <c r="M25" i="20"/>
  <c r="L25" i="20"/>
  <c r="I25" i="20"/>
  <c r="H25" i="20"/>
  <c r="G25" i="20"/>
  <c r="D25" i="20"/>
  <c r="AC24" i="20"/>
  <c r="AB24" i="20"/>
  <c r="AA24" i="20"/>
  <c r="X24" i="20"/>
  <c r="W24" i="20"/>
  <c r="V24" i="20"/>
  <c r="S24" i="20"/>
  <c r="R24" i="20"/>
  <c r="N24" i="20"/>
  <c r="M24" i="20"/>
  <c r="L24" i="20"/>
  <c r="I24" i="20"/>
  <c r="H24" i="20"/>
  <c r="G24" i="20"/>
  <c r="D24" i="20"/>
  <c r="AC23" i="20"/>
  <c r="AB23" i="20"/>
  <c r="AA23" i="20"/>
  <c r="X23" i="20"/>
  <c r="W23" i="20"/>
  <c r="V23" i="20"/>
  <c r="S23" i="20"/>
  <c r="R23" i="20"/>
  <c r="N23" i="20"/>
  <c r="M23" i="20"/>
  <c r="L23" i="20"/>
  <c r="I23" i="20"/>
  <c r="H23" i="20"/>
  <c r="G23" i="20"/>
  <c r="D23" i="20"/>
  <c r="AC22" i="20"/>
  <c r="AB22" i="20"/>
  <c r="AA22" i="20"/>
  <c r="X22" i="20"/>
  <c r="W22" i="20"/>
  <c r="V22" i="20"/>
  <c r="S22" i="20"/>
  <c r="R22" i="20"/>
  <c r="N22" i="20"/>
  <c r="M22" i="20"/>
  <c r="L22" i="20"/>
  <c r="I22" i="20"/>
  <c r="H22" i="20"/>
  <c r="G22" i="20"/>
  <c r="D22" i="20"/>
  <c r="AC21" i="20"/>
  <c r="AB21" i="20"/>
  <c r="AA21" i="20"/>
  <c r="X21" i="20"/>
  <c r="W21" i="20"/>
  <c r="V21" i="20"/>
  <c r="S21" i="20"/>
  <c r="R21" i="20"/>
  <c r="N21" i="20"/>
  <c r="M21" i="20"/>
  <c r="L21" i="20"/>
  <c r="I21" i="20"/>
  <c r="H21" i="20"/>
  <c r="G21" i="20"/>
  <c r="D21" i="20"/>
  <c r="AC20" i="20"/>
  <c r="AB20" i="20"/>
  <c r="AA20" i="20"/>
  <c r="X20" i="20"/>
  <c r="W20" i="20"/>
  <c r="V20" i="20"/>
  <c r="S20" i="20"/>
  <c r="R20" i="20"/>
  <c r="N20" i="20"/>
  <c r="M20" i="20"/>
  <c r="L20" i="20"/>
  <c r="I20" i="20"/>
  <c r="H20" i="20"/>
  <c r="G20" i="20"/>
  <c r="D20" i="20"/>
  <c r="AC19" i="20"/>
  <c r="AB19" i="20"/>
  <c r="AA19" i="20"/>
  <c r="X19" i="20"/>
  <c r="W19" i="20"/>
  <c r="V19" i="20"/>
  <c r="S19" i="20"/>
  <c r="R19" i="20"/>
  <c r="N19" i="20"/>
  <c r="M19" i="20"/>
  <c r="L19" i="20"/>
  <c r="I19" i="20"/>
  <c r="H19" i="20"/>
  <c r="G19" i="20"/>
  <c r="D19" i="20"/>
  <c r="AC18" i="20"/>
  <c r="AB18" i="20"/>
  <c r="AA18" i="20"/>
  <c r="X18" i="20"/>
  <c r="W18" i="20"/>
  <c r="V18" i="20"/>
  <c r="S18" i="20"/>
  <c r="R18" i="20"/>
  <c r="N18" i="20"/>
  <c r="M18" i="20"/>
  <c r="L18" i="20"/>
  <c r="I18" i="20"/>
  <c r="H18" i="20"/>
  <c r="G18" i="20"/>
  <c r="D18" i="20"/>
  <c r="AC17" i="20"/>
  <c r="AB17" i="20"/>
  <c r="AA17" i="20"/>
  <c r="X17" i="20"/>
  <c r="W17" i="20"/>
  <c r="V17" i="20"/>
  <c r="S17" i="20"/>
  <c r="R17" i="20"/>
  <c r="N17" i="20"/>
  <c r="M17" i="20"/>
  <c r="L17" i="20"/>
  <c r="I17" i="20"/>
  <c r="H17" i="20"/>
  <c r="G17" i="20"/>
  <c r="D17" i="20"/>
  <c r="AC16" i="20"/>
  <c r="AB16" i="20"/>
  <c r="AA16" i="20"/>
  <c r="X16" i="20"/>
  <c r="W16" i="20"/>
  <c r="V16" i="20"/>
  <c r="S16" i="20"/>
  <c r="R16" i="20"/>
  <c r="N16" i="20"/>
  <c r="M16" i="20"/>
  <c r="L16" i="20"/>
  <c r="I16" i="20"/>
  <c r="H16" i="20"/>
  <c r="G16" i="20"/>
  <c r="D16" i="20"/>
  <c r="AC15" i="20"/>
  <c r="AB15" i="20"/>
  <c r="AA15" i="20"/>
  <c r="X15" i="20"/>
  <c r="W15" i="20"/>
  <c r="V15" i="20"/>
  <c r="S15" i="20"/>
  <c r="R15" i="20"/>
  <c r="N15" i="20"/>
  <c r="M15" i="20"/>
  <c r="L15" i="20"/>
  <c r="I15" i="20"/>
  <c r="H15" i="20"/>
  <c r="G15" i="20"/>
  <c r="D15" i="20"/>
  <c r="AC14" i="20"/>
  <c r="AB14" i="20"/>
  <c r="AA14" i="20"/>
  <c r="X14" i="20"/>
  <c r="W14" i="20"/>
  <c r="V14" i="20"/>
  <c r="S14" i="20"/>
  <c r="R14" i="20"/>
  <c r="N14" i="20"/>
  <c r="M14" i="20"/>
  <c r="L14" i="20"/>
  <c r="I14" i="20"/>
  <c r="H14" i="20"/>
  <c r="G14" i="20"/>
  <c r="D14" i="20"/>
  <c r="AC13" i="20"/>
  <c r="AB13" i="20"/>
  <c r="AA13" i="20"/>
  <c r="X13" i="20"/>
  <c r="W13" i="20"/>
  <c r="V13" i="20"/>
  <c r="S13" i="20"/>
  <c r="R13" i="20"/>
  <c r="N13" i="20"/>
  <c r="M13" i="20"/>
  <c r="L13" i="20"/>
  <c r="I13" i="20"/>
  <c r="H13" i="20"/>
  <c r="G13" i="20"/>
  <c r="D13" i="20"/>
  <c r="AC12" i="20"/>
  <c r="AB12" i="20"/>
  <c r="AA12" i="20"/>
  <c r="X12" i="20"/>
  <c r="W12" i="20"/>
  <c r="V12" i="20"/>
  <c r="S12" i="20"/>
  <c r="R12" i="20"/>
  <c r="N12" i="20"/>
  <c r="M12" i="20"/>
  <c r="L12" i="20"/>
  <c r="I12" i="20"/>
  <c r="H12" i="20"/>
  <c r="G12" i="20"/>
  <c r="D12" i="20"/>
  <c r="AC11" i="20"/>
  <c r="AB11" i="20"/>
  <c r="AA11" i="20"/>
  <c r="X11" i="20"/>
  <c r="W11" i="20"/>
  <c r="V11" i="20"/>
  <c r="S11" i="20"/>
  <c r="R11" i="20"/>
  <c r="N11" i="20"/>
  <c r="M11" i="20"/>
  <c r="L11" i="20"/>
  <c r="I11" i="20"/>
  <c r="H11" i="20"/>
  <c r="G11" i="20"/>
  <c r="D11" i="20"/>
  <c r="AC10" i="20"/>
  <c r="AB10" i="20"/>
  <c r="AA10" i="20"/>
  <c r="X10" i="20"/>
  <c r="W10" i="20"/>
  <c r="V10" i="20"/>
  <c r="S10" i="20"/>
  <c r="R10" i="20"/>
  <c r="N10" i="20"/>
  <c r="M10" i="20"/>
  <c r="L10" i="20"/>
  <c r="I10" i="20"/>
  <c r="H10" i="20"/>
  <c r="G10" i="20"/>
  <c r="D10" i="20"/>
  <c r="AC9" i="20"/>
  <c r="AB9" i="20"/>
  <c r="AA9" i="20"/>
  <c r="X9" i="20"/>
  <c r="W9" i="20"/>
  <c r="V9" i="20"/>
  <c r="S9" i="20"/>
  <c r="R9" i="20"/>
  <c r="N9" i="20"/>
  <c r="M9" i="20"/>
  <c r="L9" i="20"/>
  <c r="I9" i="20"/>
  <c r="H9" i="20"/>
  <c r="G9" i="20"/>
  <c r="D9" i="20"/>
  <c r="AC6" i="20"/>
  <c r="AB6" i="20"/>
  <c r="AA6" i="20"/>
  <c r="X6" i="20"/>
  <c r="W6" i="20"/>
  <c r="V6" i="20"/>
  <c r="S6" i="20"/>
  <c r="R6" i="20"/>
  <c r="N6" i="20"/>
  <c r="M6" i="20"/>
  <c r="L6" i="20"/>
  <c r="I6" i="20"/>
  <c r="H6" i="20"/>
  <c r="G6" i="20"/>
  <c r="D6" i="20"/>
  <c r="AC5" i="20"/>
  <c r="AB5" i="20"/>
  <c r="AA5" i="20"/>
  <c r="X5" i="20"/>
  <c r="W5" i="20"/>
  <c r="V5" i="20"/>
  <c r="S5" i="20"/>
  <c r="R5" i="20"/>
  <c r="N5" i="20"/>
  <c r="M5" i="20"/>
  <c r="L5" i="20"/>
  <c r="I5" i="20"/>
  <c r="H5" i="20"/>
  <c r="G5" i="20"/>
  <c r="D5" i="20"/>
  <c r="AC4" i="20"/>
  <c r="AB4" i="20"/>
  <c r="AA4" i="20"/>
  <c r="X4" i="20"/>
  <c r="W4" i="20"/>
  <c r="V4" i="20"/>
  <c r="S4" i="20"/>
  <c r="R4" i="20"/>
  <c r="N4" i="20"/>
  <c r="M4" i="20"/>
  <c r="L4" i="20"/>
  <c r="I4" i="20"/>
  <c r="H4" i="20"/>
  <c r="G4" i="20"/>
  <c r="D4" i="20"/>
  <c r="AA2" i="20"/>
  <c r="V2" i="20"/>
  <c r="L2" i="20"/>
  <c r="G2" i="20"/>
  <c r="Z8" i="20" l="1"/>
  <c r="Y8" i="20"/>
  <c r="AD8" i="20"/>
  <c r="AE8" i="20"/>
  <c r="K8" i="20"/>
  <c r="J8" i="20"/>
  <c r="P8" i="20"/>
  <c r="O8" i="20"/>
  <c r="P10" i="20"/>
  <c r="Y7" i="20"/>
  <c r="P4" i="20"/>
  <c r="J9" i="20"/>
  <c r="J4" i="20"/>
  <c r="AH10" i="20"/>
  <c r="AH14" i="20"/>
  <c r="AH18" i="20"/>
  <c r="E81" i="20"/>
  <c r="F80" i="20"/>
  <c r="F79" i="20"/>
  <c r="E82" i="20"/>
  <c r="F81" i="20"/>
  <c r="AH5" i="20"/>
  <c r="AD11" i="20"/>
  <c r="AR79" i="20" s="1"/>
  <c r="AH4" i="20"/>
  <c r="P6" i="20"/>
  <c r="J11" i="20"/>
  <c r="AM79" i="20" s="1"/>
  <c r="P11" i="20"/>
  <c r="AD4" i="20"/>
  <c r="AH7" i="20"/>
  <c r="AD9" i="20"/>
  <c r="AH12" i="20"/>
  <c r="AH16" i="20"/>
  <c r="Z7" i="20"/>
  <c r="Z10" i="20"/>
  <c r="Z4" i="20"/>
  <c r="J7" i="20"/>
  <c r="AH9" i="20"/>
  <c r="AH11" i="20"/>
  <c r="J12" i="20"/>
  <c r="AM80" i="20" s="1"/>
  <c r="AH13" i="20"/>
  <c r="Z13" i="20"/>
  <c r="P14" i="20"/>
  <c r="Z15" i="20"/>
  <c r="J16" i="20"/>
  <c r="P16" i="20"/>
  <c r="AD16" i="20"/>
  <c r="AH17" i="20"/>
  <c r="AH20" i="20"/>
  <c r="AH25" i="20"/>
  <c r="P5" i="20"/>
  <c r="AD7" i="20"/>
  <c r="Z9" i="20"/>
  <c r="J10" i="20"/>
  <c r="AD10" i="20"/>
  <c r="Z11" i="20"/>
  <c r="P12" i="20"/>
  <c r="AD12" i="20"/>
  <c r="AR80" i="20" s="1"/>
  <c r="K4" i="20"/>
  <c r="K5" i="20"/>
  <c r="AE5" i="20"/>
  <c r="K7" i="20"/>
  <c r="AE7" i="20"/>
  <c r="Y10" i="20"/>
  <c r="Y12" i="20"/>
  <c r="AQ80" i="20" s="1"/>
  <c r="O13" i="20"/>
  <c r="Y14" i="20"/>
  <c r="AQ81" i="20" s="1"/>
  <c r="O15" i="20"/>
  <c r="AO82" i="20" s="1"/>
  <c r="AH21" i="20"/>
  <c r="AH22" i="20"/>
  <c r="AH23" i="20"/>
  <c r="AH27" i="20"/>
  <c r="AH29" i="20"/>
  <c r="AH31" i="20"/>
  <c r="AH35" i="20"/>
  <c r="AH39" i="20"/>
  <c r="Z12" i="20"/>
  <c r="J13" i="20"/>
  <c r="P13" i="20"/>
  <c r="AD13" i="20"/>
  <c r="Z14" i="20"/>
  <c r="J15" i="20"/>
  <c r="AM82" i="20" s="1"/>
  <c r="P15" i="20"/>
  <c r="AD15" i="20"/>
  <c r="AR82" i="20" s="1"/>
  <c r="Z16" i="20"/>
  <c r="J17" i="20"/>
  <c r="AH33" i="20"/>
  <c r="O4" i="20"/>
  <c r="AE4" i="20"/>
  <c r="O5" i="20"/>
  <c r="Y6" i="20"/>
  <c r="O7" i="20"/>
  <c r="Y9" i="20"/>
  <c r="Y11" i="20"/>
  <c r="AQ79" i="20" s="1"/>
  <c r="K13" i="20"/>
  <c r="AE13" i="20"/>
  <c r="K15" i="20"/>
  <c r="AE15" i="20"/>
  <c r="AH19" i="20"/>
  <c r="AH24" i="20"/>
  <c r="AH37" i="20"/>
  <c r="AH41" i="20"/>
  <c r="AH42" i="20"/>
  <c r="J42" i="20"/>
  <c r="K40" i="20"/>
  <c r="J39" i="20"/>
  <c r="K36" i="20"/>
  <c r="J35" i="20"/>
  <c r="K32" i="20"/>
  <c r="J31" i="20"/>
  <c r="J41" i="20"/>
  <c r="K26" i="20"/>
  <c r="J34" i="20"/>
  <c r="K27" i="20"/>
  <c r="J25" i="20"/>
  <c r="K23" i="20"/>
  <c r="J22" i="20"/>
  <c r="K39" i="20"/>
  <c r="J30" i="20"/>
  <c r="K24" i="20"/>
  <c r="J23" i="20"/>
  <c r="K17" i="20"/>
  <c r="K35" i="20"/>
  <c r="J26" i="20"/>
  <c r="J38" i="20"/>
  <c r="K31" i="20"/>
  <c r="AD42" i="20"/>
  <c r="AD39" i="20"/>
  <c r="AE36" i="20"/>
  <c r="AD35" i="20"/>
  <c r="AE32" i="20"/>
  <c r="AD31" i="20"/>
  <c r="AD41" i="20"/>
  <c r="AE26" i="20"/>
  <c r="AE35" i="20"/>
  <c r="AD26" i="20"/>
  <c r="AD25" i="20"/>
  <c r="AE23" i="20"/>
  <c r="AD22" i="20"/>
  <c r="AD20" i="20"/>
  <c r="AD38" i="20"/>
  <c r="AE31" i="20"/>
  <c r="AE24" i="20"/>
  <c r="AD23" i="20"/>
  <c r="AE17" i="20"/>
  <c r="AD34" i="20"/>
  <c r="AE27" i="20"/>
  <c r="AE39" i="20"/>
  <c r="AD30" i="20"/>
  <c r="Y5" i="20"/>
  <c r="J6" i="20"/>
  <c r="Z6" i="20"/>
  <c r="AD6" i="20"/>
  <c r="AH6" i="20"/>
  <c r="P7" i="20"/>
  <c r="K9" i="20"/>
  <c r="O9" i="20"/>
  <c r="AE9" i="20"/>
  <c r="K10" i="20"/>
  <c r="O10" i="20"/>
  <c r="AE10" i="20"/>
  <c r="K11" i="20"/>
  <c r="O11" i="20"/>
  <c r="AO79" i="20" s="1"/>
  <c r="AE11" i="20"/>
  <c r="K12" i="20"/>
  <c r="O12" i="20"/>
  <c r="AO80" i="20" s="1"/>
  <c r="AE12" i="20"/>
  <c r="Y13" i="20"/>
  <c r="K14" i="20"/>
  <c r="O14" i="20"/>
  <c r="AO81" i="20" s="1"/>
  <c r="AE14" i="20"/>
  <c r="Y15" i="20"/>
  <c r="AQ82" i="20" s="1"/>
  <c r="AH15" i="20"/>
  <c r="O16" i="20"/>
  <c r="Y17" i="20"/>
  <c r="O18" i="20"/>
  <c r="Z19" i="20"/>
  <c r="K20" i="20"/>
  <c r="AE20" i="20"/>
  <c r="J21" i="20"/>
  <c r="P21" i="20"/>
  <c r="AD21" i="20"/>
  <c r="P23" i="20"/>
  <c r="Z24" i="20"/>
  <c r="Y4" i="20"/>
  <c r="J5" i="20"/>
  <c r="Z5" i="20"/>
  <c r="AD5" i="20"/>
  <c r="K6" i="20"/>
  <c r="O6" i="20"/>
  <c r="AE6" i="20"/>
  <c r="P9" i="20"/>
  <c r="K16" i="20"/>
  <c r="Z17" i="20"/>
  <c r="J18" i="20"/>
  <c r="P18" i="20"/>
  <c r="AD18" i="20"/>
  <c r="O19" i="20"/>
  <c r="Z20" i="20"/>
  <c r="K21" i="20"/>
  <c r="AE21" i="20"/>
  <c r="O22" i="20"/>
  <c r="Y23" i="20"/>
  <c r="O40" i="20"/>
  <c r="P37" i="20"/>
  <c r="O36" i="20"/>
  <c r="P33" i="20"/>
  <c r="O32" i="20"/>
  <c r="O28" i="20"/>
  <c r="O42" i="20"/>
  <c r="O26" i="20"/>
  <c r="P40" i="20"/>
  <c r="O27" i="20"/>
  <c r="P24" i="20"/>
  <c r="O23" i="20"/>
  <c r="O39" i="20"/>
  <c r="P36" i="20"/>
  <c r="O24" i="20"/>
  <c r="O17" i="20"/>
  <c r="O35" i="20"/>
  <c r="P32" i="20"/>
  <c r="P20" i="20"/>
  <c r="O31" i="20"/>
  <c r="P28" i="20"/>
  <c r="P17" i="20"/>
  <c r="K18" i="20"/>
  <c r="AE18" i="20"/>
  <c r="J19" i="20"/>
  <c r="P19" i="20"/>
  <c r="AD19" i="20"/>
  <c r="O20" i="20"/>
  <c r="Z21" i="20"/>
  <c r="J24" i="20"/>
  <c r="AD24" i="20"/>
  <c r="Z42" i="20"/>
  <c r="Y41" i="20"/>
  <c r="Z39" i="20"/>
  <c r="Y38" i="20"/>
  <c r="Z35" i="20"/>
  <c r="Y34" i="20"/>
  <c r="Z31" i="20"/>
  <c r="Y33" i="20"/>
  <c r="Z26" i="20"/>
  <c r="Z25" i="20"/>
  <c r="Z22" i="20"/>
  <c r="Y21" i="20"/>
  <c r="Z38" i="20"/>
  <c r="Y29" i="20"/>
  <c r="Y25" i="20"/>
  <c r="Z23" i="20"/>
  <c r="Y22" i="20"/>
  <c r="Y20" i="20"/>
  <c r="Z34" i="20"/>
  <c r="Y19" i="20"/>
  <c r="Y37" i="20"/>
  <c r="Z30" i="20"/>
  <c r="Y18" i="20"/>
  <c r="J14" i="20"/>
  <c r="AM81" i="20" s="1"/>
  <c r="AD14" i="20"/>
  <c r="AR81" i="20" s="1"/>
  <c r="Y16" i="20"/>
  <c r="AE16" i="20"/>
  <c r="AD17" i="20"/>
  <c r="Z18" i="20"/>
  <c r="K19" i="20"/>
  <c r="AE19" i="20"/>
  <c r="J20" i="20"/>
  <c r="O21" i="20"/>
  <c r="K22" i="20"/>
  <c r="AE22" i="20"/>
  <c r="Y24" i="20"/>
  <c r="P26" i="20"/>
  <c r="AH26" i="20"/>
  <c r="Y27" i="20"/>
  <c r="K28" i="20"/>
  <c r="AD29" i="20"/>
  <c r="O30" i="20"/>
  <c r="J32" i="20"/>
  <c r="Z32" i="20"/>
  <c r="K33" i="20"/>
  <c r="AE34" i="20"/>
  <c r="Y36" i="20"/>
  <c r="J37" i="20"/>
  <c r="AH40" i="20"/>
  <c r="AD40" i="20"/>
  <c r="Z41" i="20"/>
  <c r="P22" i="20"/>
  <c r="O25" i="20"/>
  <c r="Y26" i="20"/>
  <c r="J27" i="20"/>
  <c r="Z27" i="20"/>
  <c r="AH28" i="20"/>
  <c r="AD28" i="20"/>
  <c r="O29" i="20"/>
  <c r="Z29" i="20"/>
  <c r="AE29" i="20"/>
  <c r="K30" i="20"/>
  <c r="P30" i="20"/>
  <c r="AH30" i="20"/>
  <c r="Y31" i="20"/>
  <c r="AD33" i="20"/>
  <c r="J36" i="20"/>
  <c r="Z36" i="20"/>
  <c r="K37" i="20"/>
  <c r="AE38" i="20"/>
  <c r="Y40" i="20"/>
  <c r="AE40" i="20"/>
  <c r="K42" i="20"/>
  <c r="AE42" i="20"/>
  <c r="K25" i="20"/>
  <c r="P25" i="20"/>
  <c r="AE25" i="20"/>
  <c r="P27" i="20"/>
  <c r="Y28" i="20"/>
  <c r="AE28" i="20"/>
  <c r="J29" i="20"/>
  <c r="P29" i="20"/>
  <c r="Y30" i="20"/>
  <c r="AH32" i="20"/>
  <c r="AD32" i="20"/>
  <c r="O33" i="20"/>
  <c r="Z33" i="20"/>
  <c r="AE33" i="20"/>
  <c r="K34" i="20"/>
  <c r="P34" i="20"/>
  <c r="AH34" i="20"/>
  <c r="Y35" i="20"/>
  <c r="AD37" i="20"/>
  <c r="J40" i="20"/>
  <c r="Z40" i="20"/>
  <c r="P41" i="20"/>
  <c r="AD27" i="20"/>
  <c r="J28" i="20"/>
  <c r="Z28" i="20"/>
  <c r="K29" i="20"/>
  <c r="AE30" i="20"/>
  <c r="P31" i="20"/>
  <c r="Y32" i="20"/>
  <c r="J33" i="20"/>
  <c r="AH36" i="20"/>
  <c r="AD36" i="20"/>
  <c r="O37" i="20"/>
  <c r="Z37" i="20"/>
  <c r="AE37" i="20"/>
  <c r="K38" i="20"/>
  <c r="P38" i="20"/>
  <c r="AH38" i="20"/>
  <c r="Y39" i="20"/>
  <c r="K41" i="20"/>
  <c r="AE41" i="20"/>
  <c r="O34" i="20"/>
  <c r="P35" i="20"/>
  <c r="O38" i="20"/>
  <c r="P39" i="20"/>
  <c r="O41" i="20"/>
  <c r="P42" i="20"/>
  <c r="F82" i="20" l="1"/>
  <c r="E83" i="20"/>
  <c r="E84" i="20" l="1"/>
  <c r="F83" i="20"/>
  <c r="E85" i="20" l="1"/>
  <c r="F84" i="20"/>
  <c r="E86" i="20" l="1"/>
  <c r="F85" i="20"/>
  <c r="F86" i="20" l="1"/>
  <c r="E87" i="20"/>
  <c r="E88" i="20" l="1"/>
  <c r="F87" i="20"/>
  <c r="E89" i="20" l="1"/>
  <c r="F88" i="20"/>
  <c r="E90" i="20" l="1"/>
  <c r="F89" i="20"/>
  <c r="F90" i="20" l="1"/>
  <c r="E91" i="20"/>
  <c r="E92" i="20" l="1"/>
  <c r="F91" i="20"/>
  <c r="E93" i="20" l="1"/>
  <c r="F92" i="20"/>
  <c r="E94" i="20" l="1"/>
  <c r="F93" i="20"/>
  <c r="F94" i="20" l="1"/>
  <c r="E95" i="20"/>
  <c r="E96" i="20" l="1"/>
  <c r="F95" i="20"/>
  <c r="E97" i="20" l="1"/>
  <c r="F96" i="20"/>
  <c r="E98" i="20" l="1"/>
  <c r="F97" i="20"/>
  <c r="F98" i="20" l="1"/>
  <c r="E99" i="20"/>
  <c r="E100" i="20" l="1"/>
  <c r="F99" i="20"/>
  <c r="E101" i="20" l="1"/>
  <c r="F100" i="20"/>
  <c r="E102" i="20" l="1"/>
  <c r="F101" i="20"/>
  <c r="F102" i="20" l="1"/>
  <c r="E103" i="20"/>
  <c r="E104" i="20" l="1"/>
  <c r="F103" i="20"/>
  <c r="E105" i="20" l="1"/>
  <c r="F104" i="20"/>
  <c r="E106" i="20" l="1"/>
  <c r="F105" i="20"/>
  <c r="F106" i="20" l="1"/>
  <c r="E107" i="20"/>
  <c r="E108" i="20" l="1"/>
  <c r="F108" i="20" s="1"/>
  <c r="F107" i="20"/>
  <c r="W214" i="1" l="1"/>
  <c r="W186" i="1"/>
  <c r="W185" i="1"/>
  <c r="W172" i="1"/>
  <c r="W171" i="1"/>
  <c r="W145" i="1"/>
  <c r="W144" i="1"/>
  <c r="W127" i="1"/>
  <c r="W126" i="1"/>
  <c r="W125" i="1"/>
  <c r="W124" i="1"/>
  <c r="W122" i="1"/>
  <c r="W121" i="1"/>
  <c r="W120" i="1"/>
  <c r="W119" i="1"/>
  <c r="W118" i="1"/>
  <c r="W117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C2" i="12"/>
  <c r="D3" i="12"/>
  <c r="C3" i="12" s="1"/>
  <c r="D199" i="12"/>
  <c r="E199" i="12"/>
  <c r="F199" i="12"/>
  <c r="G199" i="12"/>
  <c r="H199" i="12"/>
  <c r="I199" i="12"/>
  <c r="J199" i="12"/>
  <c r="K199" i="12"/>
  <c r="L199" i="12"/>
  <c r="M199" i="12"/>
  <c r="N199" i="12"/>
  <c r="O199" i="12"/>
  <c r="P199" i="12"/>
  <c r="R199" i="12"/>
  <c r="D200" i="12"/>
  <c r="E200" i="12"/>
  <c r="F200" i="12"/>
  <c r="G200" i="12"/>
  <c r="H200" i="12"/>
  <c r="I200" i="12"/>
  <c r="J200" i="12"/>
  <c r="K200" i="12"/>
  <c r="L200" i="12"/>
  <c r="M200" i="12"/>
  <c r="N200" i="12"/>
  <c r="O200" i="12"/>
  <c r="P200" i="12"/>
  <c r="R200" i="12"/>
  <c r="D201" i="12"/>
  <c r="E201" i="12"/>
  <c r="F201" i="12"/>
  <c r="G201" i="12"/>
  <c r="H201" i="12"/>
  <c r="I201" i="12"/>
  <c r="J201" i="12"/>
  <c r="K201" i="12"/>
  <c r="L201" i="12"/>
  <c r="M201" i="12"/>
  <c r="N201" i="12"/>
  <c r="O201" i="12"/>
  <c r="P201" i="12"/>
  <c r="R201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R202" i="12"/>
  <c r="D203" i="12"/>
  <c r="E203" i="12"/>
  <c r="F203" i="12"/>
  <c r="G203" i="12"/>
  <c r="H203" i="12"/>
  <c r="I203" i="12"/>
  <c r="J203" i="12"/>
  <c r="K203" i="12"/>
  <c r="L203" i="12"/>
  <c r="M203" i="12"/>
  <c r="N203" i="12"/>
  <c r="O203" i="12"/>
  <c r="P203" i="12"/>
  <c r="R203" i="12"/>
  <c r="D204" i="12"/>
  <c r="E204" i="12"/>
  <c r="F204" i="12"/>
  <c r="G204" i="12"/>
  <c r="H204" i="12"/>
  <c r="I204" i="12"/>
  <c r="J204" i="12"/>
  <c r="K204" i="12"/>
  <c r="L204" i="12"/>
  <c r="M204" i="12"/>
  <c r="N204" i="12"/>
  <c r="O204" i="12"/>
  <c r="P204" i="12"/>
  <c r="R204" i="12"/>
  <c r="D205" i="12"/>
  <c r="E205" i="12"/>
  <c r="F205" i="12"/>
  <c r="G205" i="12"/>
  <c r="H205" i="12"/>
  <c r="I205" i="12"/>
  <c r="J205" i="12"/>
  <c r="K205" i="12"/>
  <c r="L205" i="12"/>
  <c r="M205" i="12"/>
  <c r="N205" i="12"/>
  <c r="O205" i="12"/>
  <c r="P205" i="12"/>
  <c r="R205" i="12"/>
  <c r="D206" i="12"/>
  <c r="E206" i="12"/>
  <c r="F206" i="12"/>
  <c r="G206" i="12"/>
  <c r="H206" i="12"/>
  <c r="I206" i="12"/>
  <c r="J206" i="12"/>
  <c r="K206" i="12"/>
  <c r="L206" i="12"/>
  <c r="M206" i="12"/>
  <c r="N206" i="12"/>
  <c r="O206" i="12"/>
  <c r="P206" i="12"/>
  <c r="R206" i="12"/>
  <c r="D207" i="12"/>
  <c r="E207" i="12"/>
  <c r="F207" i="12"/>
  <c r="G207" i="12"/>
  <c r="H207" i="12"/>
  <c r="I207" i="12"/>
  <c r="J207" i="12"/>
  <c r="K207" i="12"/>
  <c r="L207" i="12"/>
  <c r="M207" i="12"/>
  <c r="N207" i="12"/>
  <c r="O207" i="12"/>
  <c r="P207" i="12"/>
  <c r="R207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R208" i="12"/>
  <c r="D209" i="12"/>
  <c r="E209" i="12"/>
  <c r="F209" i="12"/>
  <c r="G209" i="12"/>
  <c r="H209" i="12"/>
  <c r="I209" i="12"/>
  <c r="J209" i="12"/>
  <c r="K209" i="12"/>
  <c r="L209" i="12"/>
  <c r="M209" i="12"/>
  <c r="N209" i="12"/>
  <c r="O209" i="12"/>
  <c r="P209" i="12"/>
  <c r="R209" i="12"/>
  <c r="D210" i="12"/>
  <c r="E210" i="12"/>
  <c r="F210" i="12"/>
  <c r="G210" i="12"/>
  <c r="H210" i="12"/>
  <c r="I210" i="12"/>
  <c r="J210" i="12"/>
  <c r="K210" i="12"/>
  <c r="L210" i="12"/>
  <c r="M210" i="12"/>
  <c r="N210" i="12"/>
  <c r="O210" i="12"/>
  <c r="P210" i="12"/>
  <c r="R210" i="12"/>
  <c r="D211" i="12"/>
  <c r="E211" i="12"/>
  <c r="F211" i="12"/>
  <c r="G211" i="12"/>
  <c r="H211" i="12"/>
  <c r="I211" i="12"/>
  <c r="J211" i="12"/>
  <c r="K211" i="12"/>
  <c r="L211" i="12"/>
  <c r="M211" i="12"/>
  <c r="N211" i="12"/>
  <c r="O211" i="12"/>
  <c r="P211" i="12"/>
  <c r="R211" i="12"/>
  <c r="D212" i="12"/>
  <c r="E212" i="12"/>
  <c r="F212" i="12"/>
  <c r="G212" i="12"/>
  <c r="H212" i="12"/>
  <c r="I212" i="12"/>
  <c r="J212" i="12"/>
  <c r="K212" i="12"/>
  <c r="L212" i="12"/>
  <c r="M212" i="12"/>
  <c r="N212" i="12"/>
  <c r="O212" i="12"/>
  <c r="P212" i="12"/>
  <c r="R212" i="12"/>
  <c r="D213" i="12"/>
  <c r="E213" i="12"/>
  <c r="F213" i="12"/>
  <c r="G213" i="12"/>
  <c r="H213" i="12"/>
  <c r="I213" i="12"/>
  <c r="J213" i="12"/>
  <c r="K213" i="12"/>
  <c r="L213" i="12"/>
  <c r="M213" i="12"/>
  <c r="N213" i="12"/>
  <c r="O213" i="12"/>
  <c r="P213" i="12"/>
  <c r="R213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R214" i="12"/>
  <c r="D215" i="12"/>
  <c r="E215" i="12"/>
  <c r="F215" i="12"/>
  <c r="G215" i="12"/>
  <c r="H215" i="12"/>
  <c r="I215" i="12"/>
  <c r="J215" i="12"/>
  <c r="K215" i="12"/>
  <c r="L215" i="12"/>
  <c r="M215" i="12"/>
  <c r="N215" i="12"/>
  <c r="O215" i="12"/>
  <c r="P215" i="12"/>
  <c r="R215" i="12"/>
  <c r="D216" i="12"/>
  <c r="E216" i="12"/>
  <c r="F216" i="12"/>
  <c r="G216" i="12"/>
  <c r="H216" i="12"/>
  <c r="I216" i="12"/>
  <c r="J216" i="12"/>
  <c r="K216" i="12"/>
  <c r="L216" i="12"/>
  <c r="M216" i="12"/>
  <c r="N216" i="12"/>
  <c r="O216" i="12"/>
  <c r="P216" i="12"/>
  <c r="R216" i="12"/>
  <c r="D217" i="12"/>
  <c r="E217" i="12"/>
  <c r="F217" i="12"/>
  <c r="G217" i="12"/>
  <c r="H217" i="12"/>
  <c r="I217" i="12"/>
  <c r="J217" i="12"/>
  <c r="K217" i="12"/>
  <c r="L217" i="12"/>
  <c r="M217" i="12"/>
  <c r="N217" i="12"/>
  <c r="O217" i="12"/>
  <c r="P217" i="12"/>
  <c r="R217" i="12"/>
  <c r="D218" i="12"/>
  <c r="E218" i="12"/>
  <c r="F218" i="12"/>
  <c r="G218" i="12"/>
  <c r="H218" i="12"/>
  <c r="I218" i="12"/>
  <c r="J218" i="12"/>
  <c r="K218" i="12"/>
  <c r="L218" i="12"/>
  <c r="M218" i="12"/>
  <c r="N218" i="12"/>
  <c r="O218" i="12"/>
  <c r="P218" i="12"/>
  <c r="R218" i="12"/>
  <c r="D219" i="12"/>
  <c r="E219" i="12"/>
  <c r="F219" i="12"/>
  <c r="G219" i="12"/>
  <c r="H219" i="12"/>
  <c r="I219" i="12"/>
  <c r="J219" i="12"/>
  <c r="K219" i="12"/>
  <c r="L219" i="12"/>
  <c r="M219" i="12"/>
  <c r="N219" i="12"/>
  <c r="O219" i="12"/>
  <c r="P219" i="12"/>
  <c r="R219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R220" i="12"/>
  <c r="D221" i="12"/>
  <c r="E221" i="12"/>
  <c r="F221" i="12"/>
  <c r="G221" i="12"/>
  <c r="H221" i="12"/>
  <c r="I221" i="12"/>
  <c r="J221" i="12"/>
  <c r="K221" i="12"/>
  <c r="L221" i="12"/>
  <c r="M221" i="12"/>
  <c r="N221" i="12"/>
  <c r="O221" i="12"/>
  <c r="P221" i="12"/>
  <c r="R221" i="12"/>
  <c r="D222" i="12"/>
  <c r="E222" i="12"/>
  <c r="F222" i="12"/>
  <c r="G222" i="12"/>
  <c r="H222" i="12"/>
  <c r="I222" i="12"/>
  <c r="J222" i="12"/>
  <c r="K222" i="12"/>
  <c r="L222" i="12"/>
  <c r="M222" i="12"/>
  <c r="N222" i="12"/>
  <c r="O222" i="12"/>
  <c r="P222" i="12"/>
  <c r="R222" i="12"/>
  <c r="D223" i="12"/>
  <c r="E223" i="12"/>
  <c r="F223" i="12"/>
  <c r="G223" i="12"/>
  <c r="H223" i="12"/>
  <c r="I223" i="12"/>
  <c r="J223" i="12"/>
  <c r="K223" i="12"/>
  <c r="L223" i="12"/>
  <c r="M223" i="12"/>
  <c r="N223" i="12"/>
  <c r="O223" i="12"/>
  <c r="P223" i="12"/>
  <c r="R223" i="12"/>
  <c r="D224" i="12"/>
  <c r="E224" i="12"/>
  <c r="F224" i="12"/>
  <c r="G224" i="12"/>
  <c r="H224" i="12"/>
  <c r="I224" i="12"/>
  <c r="J224" i="12"/>
  <c r="K224" i="12"/>
  <c r="L224" i="12"/>
  <c r="M224" i="12"/>
  <c r="N224" i="12"/>
  <c r="O224" i="12"/>
  <c r="P224" i="12"/>
  <c r="R224" i="12"/>
  <c r="D225" i="12"/>
  <c r="E225" i="12"/>
  <c r="F225" i="12"/>
  <c r="G225" i="12"/>
  <c r="H225" i="12"/>
  <c r="I225" i="12"/>
  <c r="J225" i="12"/>
  <c r="K225" i="12"/>
  <c r="L225" i="12"/>
  <c r="M225" i="12"/>
  <c r="N225" i="12"/>
  <c r="O225" i="12"/>
  <c r="P225" i="12"/>
  <c r="R225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R226" i="12"/>
  <c r="D227" i="12"/>
  <c r="E227" i="12"/>
  <c r="F227" i="12"/>
  <c r="G227" i="12"/>
  <c r="H227" i="12"/>
  <c r="I227" i="12"/>
  <c r="J227" i="12"/>
  <c r="K227" i="12"/>
  <c r="L227" i="12"/>
  <c r="M227" i="12"/>
  <c r="N227" i="12"/>
  <c r="O227" i="12"/>
  <c r="P227" i="12"/>
  <c r="R227" i="12"/>
  <c r="D228" i="12"/>
  <c r="E228" i="12"/>
  <c r="F228" i="12"/>
  <c r="G228" i="12"/>
  <c r="H228" i="12"/>
  <c r="I228" i="12"/>
  <c r="J228" i="12"/>
  <c r="K228" i="12"/>
  <c r="L228" i="12"/>
  <c r="M228" i="12"/>
  <c r="N228" i="12"/>
  <c r="O228" i="12"/>
  <c r="P228" i="12"/>
  <c r="R228" i="12"/>
  <c r="D229" i="12"/>
  <c r="E229" i="12"/>
  <c r="F229" i="12"/>
  <c r="G229" i="12"/>
  <c r="H229" i="12"/>
  <c r="I229" i="12"/>
  <c r="J229" i="12"/>
  <c r="K229" i="12"/>
  <c r="L229" i="12"/>
  <c r="M229" i="12"/>
  <c r="N229" i="12"/>
  <c r="O229" i="12"/>
  <c r="P229" i="12"/>
  <c r="R229" i="12"/>
  <c r="D230" i="12"/>
  <c r="E230" i="12"/>
  <c r="F230" i="12"/>
  <c r="G230" i="12"/>
  <c r="H230" i="12"/>
  <c r="I230" i="12"/>
  <c r="J230" i="12"/>
  <c r="K230" i="12"/>
  <c r="L230" i="12"/>
  <c r="M230" i="12"/>
  <c r="N230" i="12"/>
  <c r="O230" i="12"/>
  <c r="P230" i="12"/>
  <c r="R230" i="12"/>
  <c r="D231" i="12"/>
  <c r="E231" i="12"/>
  <c r="F231" i="12"/>
  <c r="G231" i="12"/>
  <c r="H231" i="12"/>
  <c r="I231" i="12"/>
  <c r="J231" i="12"/>
  <c r="K231" i="12"/>
  <c r="L231" i="12"/>
  <c r="M231" i="12"/>
  <c r="N231" i="12"/>
  <c r="O231" i="12"/>
  <c r="P231" i="12"/>
  <c r="R231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R232" i="12"/>
  <c r="D233" i="12"/>
  <c r="E233" i="12"/>
  <c r="F233" i="12"/>
  <c r="G233" i="12"/>
  <c r="H233" i="12"/>
  <c r="I233" i="12"/>
  <c r="J233" i="12"/>
  <c r="K233" i="12"/>
  <c r="L233" i="12"/>
  <c r="M233" i="12"/>
  <c r="N233" i="12"/>
  <c r="O233" i="12"/>
  <c r="P233" i="12"/>
  <c r="R233" i="12"/>
  <c r="D234" i="12"/>
  <c r="E234" i="12"/>
  <c r="F234" i="12"/>
  <c r="G234" i="12"/>
  <c r="H234" i="12"/>
  <c r="I234" i="12"/>
  <c r="J234" i="12"/>
  <c r="K234" i="12"/>
  <c r="L234" i="12"/>
  <c r="M234" i="12"/>
  <c r="N234" i="12"/>
  <c r="O234" i="12"/>
  <c r="P234" i="12"/>
  <c r="R234" i="12"/>
  <c r="D235" i="12"/>
  <c r="E235" i="12"/>
  <c r="F235" i="12"/>
  <c r="G235" i="12"/>
  <c r="H235" i="12"/>
  <c r="I235" i="12"/>
  <c r="J235" i="12"/>
  <c r="K235" i="12"/>
  <c r="L235" i="12"/>
  <c r="M235" i="12"/>
  <c r="N235" i="12"/>
  <c r="O235" i="12"/>
  <c r="P235" i="12"/>
  <c r="R235" i="12"/>
  <c r="D236" i="12"/>
  <c r="E236" i="12"/>
  <c r="F236" i="12"/>
  <c r="G236" i="12"/>
  <c r="H236" i="12"/>
  <c r="I236" i="12"/>
  <c r="J236" i="12"/>
  <c r="K236" i="12"/>
  <c r="L236" i="12"/>
  <c r="M236" i="12"/>
  <c r="N236" i="12"/>
  <c r="O236" i="12"/>
  <c r="P236" i="12"/>
  <c r="R236" i="12"/>
  <c r="D237" i="12"/>
  <c r="E237" i="12"/>
  <c r="F237" i="12"/>
  <c r="G237" i="12"/>
  <c r="H237" i="12"/>
  <c r="I237" i="12"/>
  <c r="J237" i="12"/>
  <c r="K237" i="12"/>
  <c r="L237" i="12"/>
  <c r="M237" i="12"/>
  <c r="N237" i="12"/>
  <c r="O237" i="12"/>
  <c r="P237" i="12"/>
  <c r="R237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R238" i="12"/>
  <c r="D239" i="12"/>
  <c r="E239" i="12"/>
  <c r="F239" i="12"/>
  <c r="G239" i="12"/>
  <c r="H239" i="12"/>
  <c r="I239" i="12"/>
  <c r="J239" i="12"/>
  <c r="K239" i="12"/>
  <c r="L239" i="12"/>
  <c r="M239" i="12"/>
  <c r="N239" i="12"/>
  <c r="O239" i="12"/>
  <c r="P239" i="12"/>
  <c r="R239" i="12"/>
  <c r="D240" i="12"/>
  <c r="E240" i="12"/>
  <c r="F240" i="12"/>
  <c r="G240" i="12"/>
  <c r="H240" i="12"/>
  <c r="I240" i="12"/>
  <c r="J240" i="12"/>
  <c r="K240" i="12"/>
  <c r="L240" i="12"/>
  <c r="M240" i="12"/>
  <c r="N240" i="12"/>
  <c r="O240" i="12"/>
  <c r="P240" i="12"/>
  <c r="R240" i="12"/>
  <c r="D241" i="12"/>
  <c r="E241" i="12"/>
  <c r="F241" i="12"/>
  <c r="G241" i="12"/>
  <c r="H241" i="12"/>
  <c r="I241" i="12"/>
  <c r="J241" i="12"/>
  <c r="K241" i="12"/>
  <c r="L241" i="12"/>
  <c r="M241" i="12"/>
  <c r="N241" i="12"/>
  <c r="O241" i="12"/>
  <c r="P241" i="12"/>
  <c r="R241" i="12"/>
  <c r="D242" i="12"/>
  <c r="E242" i="12"/>
  <c r="F242" i="12"/>
  <c r="G242" i="12"/>
  <c r="H242" i="12"/>
  <c r="I242" i="12"/>
  <c r="J242" i="12"/>
  <c r="K242" i="12"/>
  <c r="L242" i="12"/>
  <c r="M242" i="12"/>
  <c r="N242" i="12"/>
  <c r="O242" i="12"/>
  <c r="P242" i="12"/>
  <c r="R242" i="12"/>
  <c r="D243" i="12"/>
  <c r="E243" i="12"/>
  <c r="F243" i="12"/>
  <c r="G243" i="12"/>
  <c r="H243" i="12"/>
  <c r="I243" i="12"/>
  <c r="J243" i="12"/>
  <c r="K243" i="12"/>
  <c r="L243" i="12"/>
  <c r="M243" i="12"/>
  <c r="N243" i="12"/>
  <c r="O243" i="12"/>
  <c r="P243" i="12"/>
  <c r="R243" i="12"/>
  <c r="D244" i="12"/>
  <c r="E244" i="12"/>
  <c r="F244" i="12"/>
  <c r="G244" i="12"/>
  <c r="H244" i="12"/>
  <c r="I244" i="12"/>
  <c r="J244" i="12"/>
  <c r="K244" i="12"/>
  <c r="L244" i="12"/>
  <c r="M244" i="12"/>
  <c r="N244" i="12"/>
  <c r="O244" i="12"/>
  <c r="P244" i="12"/>
  <c r="R244" i="12"/>
  <c r="D245" i="12"/>
  <c r="E245" i="12"/>
  <c r="F245" i="12"/>
  <c r="G245" i="12"/>
  <c r="H245" i="12"/>
  <c r="I245" i="12"/>
  <c r="J245" i="12"/>
  <c r="K245" i="12"/>
  <c r="L245" i="12"/>
  <c r="M245" i="12"/>
  <c r="N245" i="12"/>
  <c r="O245" i="12"/>
  <c r="P245" i="12"/>
  <c r="R245" i="12"/>
  <c r="D246" i="12"/>
  <c r="E246" i="12"/>
  <c r="F246" i="12"/>
  <c r="G246" i="12"/>
  <c r="H246" i="12"/>
  <c r="I246" i="12"/>
  <c r="J246" i="12"/>
  <c r="K246" i="12"/>
  <c r="L246" i="12"/>
  <c r="M246" i="12"/>
  <c r="N246" i="12"/>
  <c r="O246" i="12"/>
  <c r="P246" i="12"/>
  <c r="R246" i="12"/>
  <c r="D247" i="12"/>
  <c r="E247" i="12"/>
  <c r="F247" i="12"/>
  <c r="G247" i="12"/>
  <c r="H247" i="12"/>
  <c r="I247" i="12"/>
  <c r="J247" i="12"/>
  <c r="K247" i="12"/>
  <c r="L247" i="12"/>
  <c r="M247" i="12"/>
  <c r="N247" i="12"/>
  <c r="O247" i="12"/>
  <c r="P247" i="12"/>
  <c r="R247" i="12"/>
  <c r="D248" i="12"/>
  <c r="E248" i="12"/>
  <c r="F248" i="12"/>
  <c r="G248" i="12"/>
  <c r="H248" i="12"/>
  <c r="I248" i="12"/>
  <c r="J248" i="12"/>
  <c r="K248" i="12"/>
  <c r="L248" i="12"/>
  <c r="M248" i="12"/>
  <c r="N248" i="12"/>
  <c r="O248" i="12"/>
  <c r="P248" i="12"/>
  <c r="R248" i="12"/>
  <c r="D249" i="12"/>
  <c r="E249" i="12"/>
  <c r="F249" i="12"/>
  <c r="G249" i="12"/>
  <c r="H249" i="12"/>
  <c r="I249" i="12"/>
  <c r="J249" i="12"/>
  <c r="K249" i="12"/>
  <c r="L249" i="12"/>
  <c r="M249" i="12"/>
  <c r="N249" i="12"/>
  <c r="O249" i="12"/>
  <c r="P249" i="12"/>
  <c r="R249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R250" i="12"/>
  <c r="D251" i="12"/>
  <c r="E251" i="12"/>
  <c r="F251" i="12"/>
  <c r="G251" i="12"/>
  <c r="H251" i="12"/>
  <c r="I251" i="12"/>
  <c r="J251" i="12"/>
  <c r="K251" i="12"/>
  <c r="L251" i="12"/>
  <c r="M251" i="12"/>
  <c r="N251" i="12"/>
  <c r="O251" i="12"/>
  <c r="P251" i="12"/>
  <c r="R251" i="12"/>
  <c r="D252" i="12"/>
  <c r="E252" i="12"/>
  <c r="F252" i="12"/>
  <c r="G252" i="12"/>
  <c r="H252" i="12"/>
  <c r="I252" i="12"/>
  <c r="J252" i="12"/>
  <c r="K252" i="12"/>
  <c r="L252" i="12"/>
  <c r="M252" i="12"/>
  <c r="N252" i="12"/>
  <c r="O252" i="12"/>
  <c r="P252" i="12"/>
  <c r="R252" i="12"/>
  <c r="D253" i="12"/>
  <c r="E253" i="12"/>
  <c r="F253" i="12"/>
  <c r="G253" i="12"/>
  <c r="H253" i="12"/>
  <c r="I253" i="12"/>
  <c r="J253" i="12"/>
  <c r="K253" i="12"/>
  <c r="L253" i="12"/>
  <c r="M253" i="12"/>
  <c r="N253" i="12"/>
  <c r="O253" i="12"/>
  <c r="P253" i="12"/>
  <c r="R253" i="12"/>
  <c r="D254" i="12"/>
  <c r="E254" i="12"/>
  <c r="F254" i="12"/>
  <c r="G254" i="12"/>
  <c r="H254" i="12"/>
  <c r="I254" i="12"/>
  <c r="J254" i="12"/>
  <c r="K254" i="12"/>
  <c r="L254" i="12"/>
  <c r="M254" i="12"/>
  <c r="N254" i="12"/>
  <c r="O254" i="12"/>
  <c r="P254" i="12"/>
  <c r="R254" i="12"/>
  <c r="D255" i="12"/>
  <c r="E255" i="12"/>
  <c r="F255" i="12"/>
  <c r="G255" i="12"/>
  <c r="H255" i="12"/>
  <c r="I255" i="12"/>
  <c r="J255" i="12"/>
  <c r="K255" i="12"/>
  <c r="L255" i="12"/>
  <c r="M255" i="12"/>
  <c r="N255" i="12"/>
  <c r="O255" i="12"/>
  <c r="P255" i="12"/>
  <c r="R255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P256" i="12"/>
  <c r="R256" i="12"/>
  <c r="D257" i="12"/>
  <c r="E257" i="12"/>
  <c r="F257" i="12"/>
  <c r="G257" i="12"/>
  <c r="H257" i="12"/>
  <c r="I257" i="12"/>
  <c r="J257" i="12"/>
  <c r="K257" i="12"/>
  <c r="L257" i="12"/>
  <c r="M257" i="12"/>
  <c r="N257" i="12"/>
  <c r="O257" i="12"/>
  <c r="P257" i="12"/>
  <c r="R257" i="12"/>
  <c r="D258" i="12"/>
  <c r="E258" i="12"/>
  <c r="F258" i="12"/>
  <c r="G258" i="12"/>
  <c r="H258" i="12"/>
  <c r="I258" i="12"/>
  <c r="J258" i="12"/>
  <c r="K258" i="12"/>
  <c r="L258" i="12"/>
  <c r="M258" i="12"/>
  <c r="N258" i="12"/>
  <c r="O258" i="12"/>
  <c r="P258" i="12"/>
  <c r="R258" i="12"/>
  <c r="D259" i="12"/>
  <c r="E259" i="12"/>
  <c r="F259" i="12"/>
  <c r="G259" i="12"/>
  <c r="H259" i="12"/>
  <c r="I259" i="12"/>
  <c r="J259" i="12"/>
  <c r="K259" i="12"/>
  <c r="L259" i="12"/>
  <c r="M259" i="12"/>
  <c r="N259" i="12"/>
  <c r="O259" i="12"/>
  <c r="P259" i="12"/>
  <c r="R259" i="12"/>
  <c r="D260" i="12"/>
  <c r="E260" i="12"/>
  <c r="F260" i="12"/>
  <c r="G260" i="12"/>
  <c r="H260" i="12"/>
  <c r="I260" i="12"/>
  <c r="J260" i="12"/>
  <c r="K260" i="12"/>
  <c r="L260" i="12"/>
  <c r="M260" i="12"/>
  <c r="N260" i="12"/>
  <c r="O260" i="12"/>
  <c r="P260" i="12"/>
  <c r="R260" i="12"/>
  <c r="D261" i="12"/>
  <c r="E261" i="12"/>
  <c r="F261" i="12"/>
  <c r="G261" i="12"/>
  <c r="H261" i="12"/>
  <c r="I261" i="12"/>
  <c r="J261" i="12"/>
  <c r="K261" i="12"/>
  <c r="L261" i="12"/>
  <c r="M261" i="12"/>
  <c r="N261" i="12"/>
  <c r="O261" i="12"/>
  <c r="P261" i="12"/>
  <c r="R261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R262" i="12"/>
  <c r="D263" i="12"/>
  <c r="E263" i="12"/>
  <c r="F263" i="12"/>
  <c r="G263" i="12"/>
  <c r="H263" i="12"/>
  <c r="I263" i="12"/>
  <c r="J263" i="12"/>
  <c r="K263" i="12"/>
  <c r="L263" i="12"/>
  <c r="M263" i="12"/>
  <c r="N263" i="12"/>
  <c r="O263" i="12"/>
  <c r="P263" i="12"/>
  <c r="R263" i="12"/>
  <c r="D264" i="12"/>
  <c r="E264" i="12"/>
  <c r="F264" i="12"/>
  <c r="G264" i="12"/>
  <c r="H264" i="12"/>
  <c r="I264" i="12"/>
  <c r="J264" i="12"/>
  <c r="K264" i="12"/>
  <c r="L264" i="12"/>
  <c r="M264" i="12"/>
  <c r="N264" i="12"/>
  <c r="O264" i="12"/>
  <c r="P264" i="12"/>
  <c r="R264" i="12"/>
  <c r="D265" i="12"/>
  <c r="E265" i="12"/>
  <c r="F265" i="12"/>
  <c r="G265" i="12"/>
  <c r="H265" i="12"/>
  <c r="I265" i="12"/>
  <c r="J265" i="12"/>
  <c r="K265" i="12"/>
  <c r="L265" i="12"/>
  <c r="M265" i="12"/>
  <c r="N265" i="12"/>
  <c r="O265" i="12"/>
  <c r="P265" i="12"/>
  <c r="R265" i="12"/>
  <c r="D266" i="12"/>
  <c r="E266" i="12"/>
  <c r="F266" i="12"/>
  <c r="G266" i="12"/>
  <c r="H266" i="12"/>
  <c r="I266" i="12"/>
  <c r="J266" i="12"/>
  <c r="K266" i="12"/>
  <c r="L266" i="12"/>
  <c r="M266" i="12"/>
  <c r="N266" i="12"/>
  <c r="O266" i="12"/>
  <c r="P266" i="12"/>
  <c r="R266" i="12"/>
  <c r="D267" i="12"/>
  <c r="E267" i="12"/>
  <c r="F267" i="12"/>
  <c r="G267" i="12"/>
  <c r="H267" i="12"/>
  <c r="I267" i="12"/>
  <c r="J267" i="12"/>
  <c r="K267" i="12"/>
  <c r="L267" i="12"/>
  <c r="M267" i="12"/>
  <c r="N267" i="12"/>
  <c r="O267" i="12"/>
  <c r="P267" i="12"/>
  <c r="R267" i="12"/>
  <c r="D268" i="12"/>
  <c r="E268" i="12"/>
  <c r="F268" i="12"/>
  <c r="G268" i="12"/>
  <c r="H268" i="12"/>
  <c r="I268" i="12"/>
  <c r="J268" i="12"/>
  <c r="K268" i="12"/>
  <c r="L268" i="12"/>
  <c r="M268" i="12"/>
  <c r="N268" i="12"/>
  <c r="O268" i="12"/>
  <c r="P268" i="12"/>
  <c r="R268" i="12"/>
  <c r="D269" i="12"/>
  <c r="E269" i="12"/>
  <c r="F269" i="12"/>
  <c r="G269" i="12"/>
  <c r="H269" i="12"/>
  <c r="I269" i="12"/>
  <c r="J269" i="12"/>
  <c r="K269" i="12"/>
  <c r="L269" i="12"/>
  <c r="M269" i="12"/>
  <c r="N269" i="12"/>
  <c r="O269" i="12"/>
  <c r="P269" i="12"/>
  <c r="R269" i="12"/>
  <c r="D270" i="12"/>
  <c r="E270" i="12"/>
  <c r="F270" i="12"/>
  <c r="G270" i="12"/>
  <c r="H270" i="12"/>
  <c r="I270" i="12"/>
  <c r="J270" i="12"/>
  <c r="K270" i="12"/>
  <c r="L270" i="12"/>
  <c r="M270" i="12"/>
  <c r="N270" i="12"/>
  <c r="O270" i="12"/>
  <c r="P270" i="12"/>
  <c r="R270" i="12"/>
  <c r="D271" i="12"/>
  <c r="E271" i="12"/>
  <c r="F271" i="12"/>
  <c r="G271" i="12"/>
  <c r="H271" i="12"/>
  <c r="I271" i="12"/>
  <c r="J271" i="12"/>
  <c r="K271" i="12"/>
  <c r="L271" i="12"/>
  <c r="M271" i="12"/>
  <c r="N271" i="12"/>
  <c r="O271" i="12"/>
  <c r="P271" i="12"/>
  <c r="R271" i="12"/>
  <c r="D272" i="12"/>
  <c r="E272" i="12"/>
  <c r="F272" i="12"/>
  <c r="G272" i="12"/>
  <c r="H272" i="12"/>
  <c r="I272" i="12"/>
  <c r="J272" i="12"/>
  <c r="K272" i="12"/>
  <c r="L272" i="12"/>
  <c r="M272" i="12"/>
  <c r="N272" i="12"/>
  <c r="O272" i="12"/>
  <c r="P272" i="12"/>
  <c r="R272" i="12"/>
  <c r="D273" i="12"/>
  <c r="E273" i="12"/>
  <c r="F273" i="12"/>
  <c r="G273" i="12"/>
  <c r="H273" i="12"/>
  <c r="I273" i="12"/>
  <c r="J273" i="12"/>
  <c r="K273" i="12"/>
  <c r="L273" i="12"/>
  <c r="M273" i="12"/>
  <c r="N273" i="12"/>
  <c r="O273" i="12"/>
  <c r="P273" i="12"/>
  <c r="R273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P274" i="12"/>
  <c r="R274" i="12"/>
  <c r="D275" i="12"/>
  <c r="E275" i="12"/>
  <c r="F275" i="12"/>
  <c r="G275" i="12"/>
  <c r="H275" i="12"/>
  <c r="I275" i="12"/>
  <c r="J275" i="12"/>
  <c r="K275" i="12"/>
  <c r="L275" i="12"/>
  <c r="M275" i="12"/>
  <c r="N275" i="12"/>
  <c r="O275" i="12"/>
  <c r="P275" i="12"/>
  <c r="R275" i="12"/>
  <c r="D276" i="12"/>
  <c r="E276" i="12"/>
  <c r="F276" i="12"/>
  <c r="G276" i="12"/>
  <c r="H276" i="12"/>
  <c r="I276" i="12"/>
  <c r="J276" i="12"/>
  <c r="K276" i="12"/>
  <c r="L276" i="12"/>
  <c r="M276" i="12"/>
  <c r="N276" i="12"/>
  <c r="O276" i="12"/>
  <c r="P276" i="12"/>
  <c r="R276" i="12"/>
  <c r="D277" i="12"/>
  <c r="E277" i="12"/>
  <c r="F277" i="12"/>
  <c r="G277" i="12"/>
  <c r="H277" i="12"/>
  <c r="I277" i="12"/>
  <c r="J277" i="12"/>
  <c r="K277" i="12"/>
  <c r="L277" i="12"/>
  <c r="M277" i="12"/>
  <c r="N277" i="12"/>
  <c r="O277" i="12"/>
  <c r="P277" i="12"/>
  <c r="R277" i="12"/>
  <c r="D278" i="12"/>
  <c r="E278" i="12"/>
  <c r="F278" i="12"/>
  <c r="G278" i="12"/>
  <c r="H278" i="12"/>
  <c r="I278" i="12"/>
  <c r="J278" i="12"/>
  <c r="K278" i="12"/>
  <c r="L278" i="12"/>
  <c r="M278" i="12"/>
  <c r="N278" i="12"/>
  <c r="O278" i="12"/>
  <c r="P278" i="12"/>
  <c r="R278" i="12"/>
  <c r="D279" i="12"/>
  <c r="E279" i="12"/>
  <c r="F279" i="12"/>
  <c r="G279" i="12"/>
  <c r="H279" i="12"/>
  <c r="I279" i="12"/>
  <c r="J279" i="12"/>
  <c r="K279" i="12"/>
  <c r="L279" i="12"/>
  <c r="M279" i="12"/>
  <c r="N279" i="12"/>
  <c r="O279" i="12"/>
  <c r="P279" i="12"/>
  <c r="R279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R280" i="12"/>
  <c r="D281" i="12"/>
  <c r="E281" i="12"/>
  <c r="F281" i="12"/>
  <c r="G281" i="12"/>
  <c r="H281" i="12"/>
  <c r="I281" i="12"/>
  <c r="J281" i="12"/>
  <c r="K281" i="12"/>
  <c r="L281" i="12"/>
  <c r="M281" i="12"/>
  <c r="N281" i="12"/>
  <c r="O281" i="12"/>
  <c r="P281" i="12"/>
  <c r="R281" i="12"/>
  <c r="D282" i="12"/>
  <c r="E282" i="12"/>
  <c r="F282" i="12"/>
  <c r="G282" i="12"/>
  <c r="H282" i="12"/>
  <c r="I282" i="12"/>
  <c r="J282" i="12"/>
  <c r="K282" i="12"/>
  <c r="L282" i="12"/>
  <c r="M282" i="12"/>
  <c r="N282" i="12"/>
  <c r="O282" i="12"/>
  <c r="P282" i="12"/>
  <c r="R282" i="12"/>
  <c r="D283" i="12"/>
  <c r="E283" i="12"/>
  <c r="F283" i="12"/>
  <c r="G283" i="12"/>
  <c r="H283" i="12"/>
  <c r="I283" i="12"/>
  <c r="J283" i="12"/>
  <c r="K283" i="12"/>
  <c r="L283" i="12"/>
  <c r="M283" i="12"/>
  <c r="N283" i="12"/>
  <c r="O283" i="12"/>
  <c r="P283" i="12"/>
  <c r="R283" i="12"/>
  <c r="D284" i="12"/>
  <c r="E284" i="12"/>
  <c r="F284" i="12"/>
  <c r="G284" i="12"/>
  <c r="H284" i="12"/>
  <c r="I284" i="12"/>
  <c r="J284" i="12"/>
  <c r="K284" i="12"/>
  <c r="L284" i="12"/>
  <c r="M284" i="12"/>
  <c r="N284" i="12"/>
  <c r="O284" i="12"/>
  <c r="P284" i="12"/>
  <c r="R284" i="12"/>
  <c r="D285" i="12"/>
  <c r="E285" i="12"/>
  <c r="F285" i="12"/>
  <c r="G285" i="12"/>
  <c r="H285" i="12"/>
  <c r="I285" i="12"/>
  <c r="J285" i="12"/>
  <c r="K285" i="12"/>
  <c r="L285" i="12"/>
  <c r="M285" i="12"/>
  <c r="N285" i="12"/>
  <c r="O285" i="12"/>
  <c r="P285" i="12"/>
  <c r="R285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R286" i="12"/>
  <c r="D287" i="12"/>
  <c r="E287" i="12"/>
  <c r="F287" i="12"/>
  <c r="G287" i="12"/>
  <c r="H287" i="12"/>
  <c r="I287" i="12"/>
  <c r="J287" i="12"/>
  <c r="K287" i="12"/>
  <c r="L287" i="12"/>
  <c r="M287" i="12"/>
  <c r="N287" i="12"/>
  <c r="O287" i="12"/>
  <c r="P287" i="12"/>
  <c r="R287" i="12"/>
  <c r="D288" i="12"/>
  <c r="E288" i="12"/>
  <c r="F288" i="12"/>
  <c r="G288" i="12"/>
  <c r="H288" i="12"/>
  <c r="I288" i="12"/>
  <c r="J288" i="12"/>
  <c r="K288" i="12"/>
  <c r="L288" i="12"/>
  <c r="M288" i="12"/>
  <c r="N288" i="12"/>
  <c r="O288" i="12"/>
  <c r="P288" i="12"/>
  <c r="R288" i="12"/>
  <c r="D289" i="12"/>
  <c r="E289" i="12"/>
  <c r="F289" i="12"/>
  <c r="G289" i="12"/>
  <c r="H289" i="12"/>
  <c r="I289" i="12"/>
  <c r="J289" i="12"/>
  <c r="K289" i="12"/>
  <c r="L289" i="12"/>
  <c r="M289" i="12"/>
  <c r="N289" i="12"/>
  <c r="O289" i="12"/>
  <c r="P289" i="12"/>
  <c r="R289" i="12"/>
  <c r="D290" i="12"/>
  <c r="E290" i="12"/>
  <c r="F290" i="12"/>
  <c r="G290" i="12"/>
  <c r="H290" i="12"/>
  <c r="I290" i="12"/>
  <c r="J290" i="12"/>
  <c r="K290" i="12"/>
  <c r="L290" i="12"/>
  <c r="M290" i="12"/>
  <c r="N290" i="12"/>
  <c r="O290" i="12"/>
  <c r="P290" i="12"/>
  <c r="R290" i="12"/>
  <c r="D291" i="12"/>
  <c r="E291" i="12"/>
  <c r="F291" i="12"/>
  <c r="G291" i="12"/>
  <c r="H291" i="12"/>
  <c r="I291" i="12"/>
  <c r="J291" i="12"/>
  <c r="K291" i="12"/>
  <c r="L291" i="12"/>
  <c r="M291" i="12"/>
  <c r="N291" i="12"/>
  <c r="O291" i="12"/>
  <c r="P291" i="12"/>
  <c r="R291" i="12"/>
  <c r="D292" i="12"/>
  <c r="E292" i="12"/>
  <c r="F292" i="12"/>
  <c r="G292" i="12"/>
  <c r="H292" i="12"/>
  <c r="I292" i="12"/>
  <c r="J292" i="12"/>
  <c r="K292" i="12"/>
  <c r="L292" i="12"/>
  <c r="M292" i="12"/>
  <c r="N292" i="12"/>
  <c r="O292" i="12"/>
  <c r="P292" i="12"/>
  <c r="R292" i="12"/>
  <c r="D293" i="12"/>
  <c r="E293" i="12"/>
  <c r="F293" i="12"/>
  <c r="G293" i="12"/>
  <c r="H293" i="12"/>
  <c r="I293" i="12"/>
  <c r="J293" i="12"/>
  <c r="K293" i="12"/>
  <c r="L293" i="12"/>
  <c r="M293" i="12"/>
  <c r="N293" i="12"/>
  <c r="O293" i="12"/>
  <c r="P293" i="12"/>
  <c r="R293" i="12"/>
  <c r="D294" i="12"/>
  <c r="E294" i="12"/>
  <c r="F294" i="12"/>
  <c r="G294" i="12"/>
  <c r="H294" i="12"/>
  <c r="I294" i="12"/>
  <c r="J294" i="12"/>
  <c r="K294" i="12"/>
  <c r="L294" i="12"/>
  <c r="M294" i="12"/>
  <c r="N294" i="12"/>
  <c r="O294" i="12"/>
  <c r="P294" i="12"/>
  <c r="R294" i="12"/>
  <c r="D295" i="12"/>
  <c r="E295" i="12"/>
  <c r="F295" i="12"/>
  <c r="G295" i="12"/>
  <c r="H295" i="12"/>
  <c r="I295" i="12"/>
  <c r="J295" i="12"/>
  <c r="K295" i="12"/>
  <c r="L295" i="12"/>
  <c r="M295" i="12"/>
  <c r="N295" i="12"/>
  <c r="O295" i="12"/>
  <c r="P295" i="12"/>
  <c r="R295" i="12"/>
  <c r="D296" i="12"/>
  <c r="E296" i="12"/>
  <c r="F296" i="12"/>
  <c r="G296" i="12"/>
  <c r="H296" i="12"/>
  <c r="I296" i="12"/>
  <c r="J296" i="12"/>
  <c r="K296" i="12"/>
  <c r="L296" i="12"/>
  <c r="M296" i="12"/>
  <c r="N296" i="12"/>
  <c r="O296" i="12"/>
  <c r="P296" i="12"/>
  <c r="R296" i="12"/>
  <c r="D297" i="12"/>
  <c r="E297" i="12"/>
  <c r="F297" i="12"/>
  <c r="G297" i="12"/>
  <c r="H297" i="12"/>
  <c r="I297" i="12"/>
  <c r="J297" i="12"/>
  <c r="K297" i="12"/>
  <c r="L297" i="12"/>
  <c r="M297" i="12"/>
  <c r="N297" i="12"/>
  <c r="O297" i="12"/>
  <c r="P297" i="12"/>
  <c r="R297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P298" i="12"/>
  <c r="R298" i="12"/>
  <c r="D299" i="12"/>
  <c r="E299" i="12"/>
  <c r="F299" i="12"/>
  <c r="G299" i="12"/>
  <c r="H299" i="12"/>
  <c r="I299" i="12"/>
  <c r="J299" i="12"/>
  <c r="K299" i="12"/>
  <c r="L299" i="12"/>
  <c r="M299" i="12"/>
  <c r="N299" i="12"/>
  <c r="O299" i="12"/>
  <c r="P299" i="12"/>
  <c r="R299" i="12"/>
  <c r="D300" i="12"/>
  <c r="E300" i="12"/>
  <c r="F300" i="12"/>
  <c r="G300" i="12"/>
  <c r="H300" i="12"/>
  <c r="I300" i="12"/>
  <c r="J300" i="12"/>
  <c r="K300" i="12"/>
  <c r="L300" i="12"/>
  <c r="M300" i="12"/>
  <c r="N300" i="12"/>
  <c r="O300" i="12"/>
  <c r="P300" i="12"/>
  <c r="R300" i="12"/>
  <c r="D301" i="12"/>
  <c r="E301" i="12"/>
  <c r="F301" i="12"/>
  <c r="G301" i="12"/>
  <c r="H301" i="12"/>
  <c r="I301" i="12"/>
  <c r="J301" i="12"/>
  <c r="K301" i="12"/>
  <c r="L301" i="12"/>
  <c r="M301" i="12"/>
  <c r="N301" i="12"/>
  <c r="O301" i="12"/>
  <c r="P301" i="12"/>
  <c r="R301" i="12"/>
  <c r="D302" i="12"/>
  <c r="E302" i="12"/>
  <c r="F302" i="12"/>
  <c r="G302" i="12"/>
  <c r="H302" i="12"/>
  <c r="I302" i="12"/>
  <c r="J302" i="12"/>
  <c r="K302" i="12"/>
  <c r="L302" i="12"/>
  <c r="M302" i="12"/>
  <c r="N302" i="12"/>
  <c r="O302" i="12"/>
  <c r="P302" i="12"/>
  <c r="R302" i="12"/>
  <c r="D303" i="12"/>
  <c r="E303" i="12"/>
  <c r="F303" i="12"/>
  <c r="G303" i="12"/>
  <c r="H303" i="12"/>
  <c r="I303" i="12"/>
  <c r="J303" i="12"/>
  <c r="K303" i="12"/>
  <c r="L303" i="12"/>
  <c r="M303" i="12"/>
  <c r="N303" i="12"/>
  <c r="O303" i="12"/>
  <c r="P303" i="12"/>
  <c r="R303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R304" i="12"/>
  <c r="D305" i="12"/>
  <c r="E305" i="12"/>
  <c r="F305" i="12"/>
  <c r="G305" i="12"/>
  <c r="H305" i="12"/>
  <c r="I305" i="12"/>
  <c r="J305" i="12"/>
  <c r="K305" i="12"/>
  <c r="L305" i="12"/>
  <c r="M305" i="12"/>
  <c r="N305" i="12"/>
  <c r="O305" i="12"/>
  <c r="P305" i="12"/>
  <c r="R305" i="12"/>
  <c r="D306" i="12"/>
  <c r="E306" i="12"/>
  <c r="F306" i="12"/>
  <c r="G306" i="12"/>
  <c r="H306" i="12"/>
  <c r="I306" i="12"/>
  <c r="J306" i="12"/>
  <c r="K306" i="12"/>
  <c r="L306" i="12"/>
  <c r="M306" i="12"/>
  <c r="N306" i="12"/>
  <c r="O306" i="12"/>
  <c r="P306" i="12"/>
  <c r="R306" i="12"/>
  <c r="D307" i="12"/>
  <c r="E307" i="12"/>
  <c r="F307" i="12"/>
  <c r="G307" i="12"/>
  <c r="H307" i="12"/>
  <c r="I307" i="12"/>
  <c r="J307" i="12"/>
  <c r="K307" i="12"/>
  <c r="L307" i="12"/>
  <c r="M307" i="12"/>
  <c r="N307" i="12"/>
  <c r="O307" i="12"/>
  <c r="P307" i="12"/>
  <c r="R307" i="12"/>
  <c r="D308" i="12"/>
  <c r="E308" i="12"/>
  <c r="F308" i="12"/>
  <c r="G308" i="12"/>
  <c r="H308" i="12"/>
  <c r="I308" i="12"/>
  <c r="J308" i="12"/>
  <c r="K308" i="12"/>
  <c r="L308" i="12"/>
  <c r="M308" i="12"/>
  <c r="N308" i="12"/>
  <c r="O308" i="12"/>
  <c r="P308" i="12"/>
  <c r="R308" i="12"/>
  <c r="D309" i="12"/>
  <c r="E309" i="12"/>
  <c r="F309" i="12"/>
  <c r="G309" i="12"/>
  <c r="H309" i="12"/>
  <c r="I309" i="12"/>
  <c r="J309" i="12"/>
  <c r="K309" i="12"/>
  <c r="L309" i="12"/>
  <c r="M309" i="12"/>
  <c r="N309" i="12"/>
  <c r="O309" i="12"/>
  <c r="P309" i="12"/>
  <c r="R309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R310" i="12"/>
  <c r="D311" i="12"/>
  <c r="E311" i="12"/>
  <c r="F311" i="12"/>
  <c r="G311" i="12"/>
  <c r="H311" i="12"/>
  <c r="I311" i="12"/>
  <c r="J311" i="12"/>
  <c r="K311" i="12"/>
  <c r="L311" i="12"/>
  <c r="M311" i="12"/>
  <c r="N311" i="12"/>
  <c r="O311" i="12"/>
  <c r="P311" i="12"/>
  <c r="R311" i="12"/>
  <c r="D312" i="12"/>
  <c r="E312" i="12"/>
  <c r="F312" i="12"/>
  <c r="G312" i="12"/>
  <c r="H312" i="12"/>
  <c r="I312" i="12"/>
  <c r="J312" i="12"/>
  <c r="K312" i="12"/>
  <c r="L312" i="12"/>
  <c r="M312" i="12"/>
  <c r="N312" i="12"/>
  <c r="O312" i="12"/>
  <c r="P312" i="12"/>
  <c r="R312" i="12"/>
  <c r="D313" i="12"/>
  <c r="E313" i="12"/>
  <c r="F313" i="12"/>
  <c r="G313" i="12"/>
  <c r="H313" i="12"/>
  <c r="I313" i="12"/>
  <c r="J313" i="12"/>
  <c r="K313" i="12"/>
  <c r="L313" i="12"/>
  <c r="M313" i="12"/>
  <c r="N313" i="12"/>
  <c r="O313" i="12"/>
  <c r="P313" i="12"/>
  <c r="R313" i="12"/>
  <c r="D314" i="12"/>
  <c r="E314" i="12"/>
  <c r="F314" i="12"/>
  <c r="G314" i="12"/>
  <c r="H314" i="12"/>
  <c r="I314" i="12"/>
  <c r="J314" i="12"/>
  <c r="K314" i="12"/>
  <c r="L314" i="12"/>
  <c r="M314" i="12"/>
  <c r="N314" i="12"/>
  <c r="O314" i="12"/>
  <c r="P314" i="12"/>
  <c r="R314" i="12"/>
  <c r="D315" i="12"/>
  <c r="E315" i="12"/>
  <c r="F315" i="12"/>
  <c r="G315" i="12"/>
  <c r="H315" i="12"/>
  <c r="I315" i="12"/>
  <c r="J315" i="12"/>
  <c r="K315" i="12"/>
  <c r="L315" i="12"/>
  <c r="M315" i="12"/>
  <c r="N315" i="12"/>
  <c r="O315" i="12"/>
  <c r="P315" i="12"/>
  <c r="R315" i="12"/>
  <c r="D316" i="12"/>
  <c r="E316" i="12"/>
  <c r="F316" i="12"/>
  <c r="G316" i="12"/>
  <c r="H316" i="12"/>
  <c r="I316" i="12"/>
  <c r="J316" i="12"/>
  <c r="K316" i="12"/>
  <c r="L316" i="12"/>
  <c r="M316" i="12"/>
  <c r="N316" i="12"/>
  <c r="O316" i="12"/>
  <c r="P316" i="12"/>
  <c r="R316" i="12"/>
  <c r="D317" i="12"/>
  <c r="E317" i="12"/>
  <c r="F317" i="12"/>
  <c r="G317" i="12"/>
  <c r="H317" i="12"/>
  <c r="I317" i="12"/>
  <c r="J317" i="12"/>
  <c r="K317" i="12"/>
  <c r="L317" i="12"/>
  <c r="M317" i="12"/>
  <c r="N317" i="12"/>
  <c r="O317" i="12"/>
  <c r="P317" i="12"/>
  <c r="R317" i="12"/>
  <c r="D318" i="12"/>
  <c r="E318" i="12"/>
  <c r="F318" i="12"/>
  <c r="G318" i="12"/>
  <c r="H318" i="12"/>
  <c r="I318" i="12"/>
  <c r="J318" i="12"/>
  <c r="K318" i="12"/>
  <c r="L318" i="12"/>
  <c r="M318" i="12"/>
  <c r="N318" i="12"/>
  <c r="O318" i="12"/>
  <c r="P318" i="12"/>
  <c r="R318" i="12"/>
  <c r="D319" i="12"/>
  <c r="E319" i="12"/>
  <c r="F319" i="12"/>
  <c r="G319" i="12"/>
  <c r="H319" i="12"/>
  <c r="I319" i="12"/>
  <c r="J319" i="12"/>
  <c r="K319" i="12"/>
  <c r="L319" i="12"/>
  <c r="M319" i="12"/>
  <c r="N319" i="12"/>
  <c r="O319" i="12"/>
  <c r="P319" i="12"/>
  <c r="R319" i="12"/>
  <c r="D320" i="12"/>
  <c r="E320" i="12"/>
  <c r="F320" i="12"/>
  <c r="G320" i="12"/>
  <c r="H320" i="12"/>
  <c r="I320" i="12"/>
  <c r="J320" i="12"/>
  <c r="K320" i="12"/>
  <c r="L320" i="12"/>
  <c r="M320" i="12"/>
  <c r="N320" i="12"/>
  <c r="O320" i="12"/>
  <c r="P320" i="12"/>
  <c r="R320" i="12"/>
  <c r="D321" i="12"/>
  <c r="E321" i="12"/>
  <c r="F321" i="12"/>
  <c r="G321" i="12"/>
  <c r="H321" i="12"/>
  <c r="I321" i="12"/>
  <c r="J321" i="12"/>
  <c r="K321" i="12"/>
  <c r="L321" i="12"/>
  <c r="M321" i="12"/>
  <c r="N321" i="12"/>
  <c r="O321" i="12"/>
  <c r="P321" i="12"/>
  <c r="R321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P322" i="12"/>
  <c r="R322" i="12"/>
  <c r="D323" i="12"/>
  <c r="E323" i="12"/>
  <c r="F323" i="12"/>
  <c r="G323" i="12"/>
  <c r="H323" i="12"/>
  <c r="I323" i="12"/>
  <c r="J323" i="12"/>
  <c r="K323" i="12"/>
  <c r="L323" i="12"/>
  <c r="M323" i="12"/>
  <c r="N323" i="12"/>
  <c r="O323" i="12"/>
  <c r="P323" i="12"/>
  <c r="R323" i="12"/>
  <c r="D324" i="12"/>
  <c r="E324" i="12"/>
  <c r="F324" i="12"/>
  <c r="G324" i="12"/>
  <c r="H324" i="12"/>
  <c r="I324" i="12"/>
  <c r="J324" i="12"/>
  <c r="K324" i="12"/>
  <c r="L324" i="12"/>
  <c r="M324" i="12"/>
  <c r="N324" i="12"/>
  <c r="O324" i="12"/>
  <c r="P324" i="12"/>
  <c r="R324" i="12"/>
  <c r="D325" i="12"/>
  <c r="E325" i="12"/>
  <c r="F325" i="12"/>
  <c r="G325" i="12"/>
  <c r="H325" i="12"/>
  <c r="I325" i="12"/>
  <c r="J325" i="12"/>
  <c r="K325" i="12"/>
  <c r="L325" i="12"/>
  <c r="M325" i="12"/>
  <c r="N325" i="12"/>
  <c r="O325" i="12"/>
  <c r="P325" i="12"/>
  <c r="R325" i="12"/>
  <c r="D326" i="12"/>
  <c r="E326" i="12"/>
  <c r="F326" i="12"/>
  <c r="G326" i="12"/>
  <c r="H326" i="12"/>
  <c r="I326" i="12"/>
  <c r="J326" i="12"/>
  <c r="K326" i="12"/>
  <c r="L326" i="12"/>
  <c r="M326" i="12"/>
  <c r="N326" i="12"/>
  <c r="O326" i="12"/>
  <c r="P326" i="12"/>
  <c r="R326" i="12"/>
  <c r="D327" i="12"/>
  <c r="E327" i="12"/>
  <c r="F327" i="12"/>
  <c r="G327" i="12"/>
  <c r="H327" i="12"/>
  <c r="I327" i="12"/>
  <c r="J327" i="12"/>
  <c r="K327" i="12"/>
  <c r="L327" i="12"/>
  <c r="M327" i="12"/>
  <c r="N327" i="12"/>
  <c r="O327" i="12"/>
  <c r="P327" i="12"/>
  <c r="R327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R328" i="12"/>
  <c r="D329" i="12"/>
  <c r="E329" i="12"/>
  <c r="F329" i="12"/>
  <c r="G329" i="12"/>
  <c r="H329" i="12"/>
  <c r="I329" i="12"/>
  <c r="J329" i="12"/>
  <c r="K329" i="12"/>
  <c r="L329" i="12"/>
  <c r="M329" i="12"/>
  <c r="N329" i="12"/>
  <c r="O329" i="12"/>
  <c r="P329" i="12"/>
  <c r="R329" i="12"/>
  <c r="D330" i="12"/>
  <c r="E330" i="12"/>
  <c r="F330" i="12"/>
  <c r="G330" i="12"/>
  <c r="H330" i="12"/>
  <c r="I330" i="12"/>
  <c r="J330" i="12"/>
  <c r="K330" i="12"/>
  <c r="L330" i="12"/>
  <c r="M330" i="12"/>
  <c r="N330" i="12"/>
  <c r="O330" i="12"/>
  <c r="P330" i="12"/>
  <c r="R330" i="12"/>
  <c r="D331" i="12"/>
  <c r="E331" i="12"/>
  <c r="F331" i="12"/>
  <c r="G331" i="12"/>
  <c r="H331" i="12"/>
  <c r="I331" i="12"/>
  <c r="J331" i="12"/>
  <c r="K331" i="12"/>
  <c r="L331" i="12"/>
  <c r="M331" i="12"/>
  <c r="N331" i="12"/>
  <c r="O331" i="12"/>
  <c r="P331" i="12"/>
  <c r="R331" i="12"/>
  <c r="D332" i="12"/>
  <c r="E332" i="12"/>
  <c r="F332" i="12"/>
  <c r="G332" i="12"/>
  <c r="H332" i="12"/>
  <c r="I332" i="12"/>
  <c r="J332" i="12"/>
  <c r="K332" i="12"/>
  <c r="L332" i="12"/>
  <c r="M332" i="12"/>
  <c r="N332" i="12"/>
  <c r="O332" i="12"/>
  <c r="P332" i="12"/>
  <c r="R332" i="12"/>
  <c r="D333" i="12"/>
  <c r="E333" i="12"/>
  <c r="F333" i="12"/>
  <c r="G333" i="12"/>
  <c r="H333" i="12"/>
  <c r="I333" i="12"/>
  <c r="J333" i="12"/>
  <c r="K333" i="12"/>
  <c r="L333" i="12"/>
  <c r="M333" i="12"/>
  <c r="N333" i="12"/>
  <c r="O333" i="12"/>
  <c r="P333" i="12"/>
  <c r="R333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R334" i="12"/>
  <c r="D335" i="12"/>
  <c r="E335" i="12"/>
  <c r="F335" i="12"/>
  <c r="G335" i="12"/>
  <c r="H335" i="12"/>
  <c r="I335" i="12"/>
  <c r="J335" i="12"/>
  <c r="K335" i="12"/>
  <c r="L335" i="12"/>
  <c r="M335" i="12"/>
  <c r="N335" i="12"/>
  <c r="O335" i="12"/>
  <c r="P335" i="12"/>
  <c r="R335" i="12"/>
  <c r="D336" i="12"/>
  <c r="E336" i="12"/>
  <c r="F336" i="12"/>
  <c r="G336" i="12"/>
  <c r="H336" i="12"/>
  <c r="I336" i="12"/>
  <c r="J336" i="12"/>
  <c r="K336" i="12"/>
  <c r="L336" i="12"/>
  <c r="M336" i="12"/>
  <c r="N336" i="12"/>
  <c r="O336" i="12"/>
  <c r="P336" i="12"/>
  <c r="R336" i="12"/>
  <c r="D337" i="12"/>
  <c r="E337" i="12"/>
  <c r="F337" i="12"/>
  <c r="G337" i="12"/>
  <c r="H337" i="12"/>
  <c r="I337" i="12"/>
  <c r="J337" i="12"/>
  <c r="K337" i="12"/>
  <c r="L337" i="12"/>
  <c r="M337" i="12"/>
  <c r="N337" i="12"/>
  <c r="O337" i="12"/>
  <c r="P337" i="12"/>
  <c r="R337" i="12"/>
  <c r="D338" i="12"/>
  <c r="E338" i="12"/>
  <c r="F338" i="12"/>
  <c r="G338" i="12"/>
  <c r="H338" i="12"/>
  <c r="I338" i="12"/>
  <c r="J338" i="12"/>
  <c r="K338" i="12"/>
  <c r="L338" i="12"/>
  <c r="M338" i="12"/>
  <c r="N338" i="12"/>
  <c r="O338" i="12"/>
  <c r="P338" i="12"/>
  <c r="R338" i="12"/>
  <c r="D339" i="12"/>
  <c r="E339" i="12"/>
  <c r="F339" i="12"/>
  <c r="G339" i="12"/>
  <c r="H339" i="12"/>
  <c r="I339" i="12"/>
  <c r="J339" i="12"/>
  <c r="K339" i="12"/>
  <c r="L339" i="12"/>
  <c r="M339" i="12"/>
  <c r="N339" i="12"/>
  <c r="O339" i="12"/>
  <c r="P339" i="12"/>
  <c r="R339" i="12"/>
  <c r="D340" i="12"/>
  <c r="E340" i="12"/>
  <c r="F340" i="12"/>
  <c r="G340" i="12"/>
  <c r="H340" i="12"/>
  <c r="I340" i="12"/>
  <c r="J340" i="12"/>
  <c r="K340" i="12"/>
  <c r="L340" i="12"/>
  <c r="M340" i="12"/>
  <c r="N340" i="12"/>
  <c r="O340" i="12"/>
  <c r="P340" i="12"/>
  <c r="R340" i="12"/>
  <c r="D341" i="12"/>
  <c r="E341" i="12"/>
  <c r="F341" i="12"/>
  <c r="G341" i="12"/>
  <c r="H341" i="12"/>
  <c r="I341" i="12"/>
  <c r="J341" i="12"/>
  <c r="K341" i="12"/>
  <c r="L341" i="12"/>
  <c r="M341" i="12"/>
  <c r="N341" i="12"/>
  <c r="O341" i="12"/>
  <c r="P341" i="12"/>
  <c r="R341" i="12"/>
  <c r="D342" i="12"/>
  <c r="E342" i="12"/>
  <c r="F342" i="12"/>
  <c r="G342" i="12"/>
  <c r="H342" i="12"/>
  <c r="I342" i="12"/>
  <c r="J342" i="12"/>
  <c r="K342" i="12"/>
  <c r="L342" i="12"/>
  <c r="M342" i="12"/>
  <c r="N342" i="12"/>
  <c r="O342" i="12"/>
  <c r="P342" i="12"/>
  <c r="R342" i="12"/>
  <c r="D343" i="12"/>
  <c r="E343" i="12"/>
  <c r="F343" i="12"/>
  <c r="G343" i="12"/>
  <c r="H343" i="12"/>
  <c r="I343" i="12"/>
  <c r="J343" i="12"/>
  <c r="K343" i="12"/>
  <c r="L343" i="12"/>
  <c r="M343" i="12"/>
  <c r="N343" i="12"/>
  <c r="O343" i="12"/>
  <c r="P343" i="12"/>
  <c r="R343" i="12"/>
  <c r="D344" i="12"/>
  <c r="E344" i="12"/>
  <c r="F344" i="12"/>
  <c r="G344" i="12"/>
  <c r="H344" i="12"/>
  <c r="I344" i="12"/>
  <c r="J344" i="12"/>
  <c r="K344" i="12"/>
  <c r="L344" i="12"/>
  <c r="M344" i="12"/>
  <c r="N344" i="12"/>
  <c r="O344" i="12"/>
  <c r="P344" i="12"/>
  <c r="R344" i="12"/>
  <c r="D345" i="12"/>
  <c r="E345" i="12"/>
  <c r="F345" i="12"/>
  <c r="G345" i="12"/>
  <c r="H345" i="12"/>
  <c r="I345" i="12"/>
  <c r="J345" i="12"/>
  <c r="K345" i="12"/>
  <c r="L345" i="12"/>
  <c r="M345" i="12"/>
  <c r="N345" i="12"/>
  <c r="O345" i="12"/>
  <c r="P345" i="12"/>
  <c r="R345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P346" i="12"/>
  <c r="R346" i="12"/>
  <c r="D347" i="12"/>
  <c r="E347" i="12"/>
  <c r="F347" i="12"/>
  <c r="G347" i="12"/>
  <c r="H347" i="12"/>
  <c r="I347" i="12"/>
  <c r="J347" i="12"/>
  <c r="K347" i="12"/>
  <c r="L347" i="12"/>
  <c r="M347" i="12"/>
  <c r="N347" i="12"/>
  <c r="O347" i="12"/>
  <c r="P347" i="12"/>
  <c r="R347" i="12"/>
  <c r="D348" i="12"/>
  <c r="E348" i="12"/>
  <c r="F348" i="12"/>
  <c r="G348" i="12"/>
  <c r="H348" i="12"/>
  <c r="I348" i="12"/>
  <c r="J348" i="12"/>
  <c r="K348" i="12"/>
  <c r="L348" i="12"/>
  <c r="M348" i="12"/>
  <c r="N348" i="12"/>
  <c r="O348" i="12"/>
  <c r="P348" i="12"/>
  <c r="R348" i="12"/>
  <c r="D349" i="12"/>
  <c r="E349" i="12"/>
  <c r="F349" i="12"/>
  <c r="G349" i="12"/>
  <c r="H349" i="12"/>
  <c r="I349" i="12"/>
  <c r="J349" i="12"/>
  <c r="K349" i="12"/>
  <c r="L349" i="12"/>
  <c r="M349" i="12"/>
  <c r="N349" i="12"/>
  <c r="O349" i="12"/>
  <c r="P349" i="12"/>
  <c r="R349" i="12"/>
  <c r="D350" i="12"/>
  <c r="E350" i="12"/>
  <c r="F350" i="12"/>
  <c r="G350" i="12"/>
  <c r="H350" i="12"/>
  <c r="I350" i="12"/>
  <c r="J350" i="12"/>
  <c r="K350" i="12"/>
  <c r="L350" i="12"/>
  <c r="M350" i="12"/>
  <c r="N350" i="12"/>
  <c r="O350" i="12"/>
  <c r="P350" i="12"/>
  <c r="R350" i="12"/>
  <c r="D351" i="12"/>
  <c r="E351" i="12"/>
  <c r="F351" i="12"/>
  <c r="G351" i="12"/>
  <c r="H351" i="12"/>
  <c r="I351" i="12"/>
  <c r="J351" i="12"/>
  <c r="K351" i="12"/>
  <c r="L351" i="12"/>
  <c r="M351" i="12"/>
  <c r="N351" i="12"/>
  <c r="O351" i="12"/>
  <c r="P351" i="12"/>
  <c r="R351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R352" i="12"/>
  <c r="D353" i="12"/>
  <c r="E353" i="12"/>
  <c r="F353" i="12"/>
  <c r="G353" i="12"/>
  <c r="H353" i="12"/>
  <c r="I353" i="12"/>
  <c r="J353" i="12"/>
  <c r="K353" i="12"/>
  <c r="L353" i="12"/>
  <c r="M353" i="12"/>
  <c r="N353" i="12"/>
  <c r="O353" i="12"/>
  <c r="P353" i="12"/>
  <c r="R353" i="12"/>
  <c r="D354" i="12"/>
  <c r="E354" i="12"/>
  <c r="F354" i="12"/>
  <c r="G354" i="12"/>
  <c r="H354" i="12"/>
  <c r="I354" i="12"/>
  <c r="J354" i="12"/>
  <c r="K354" i="12"/>
  <c r="L354" i="12"/>
  <c r="M354" i="12"/>
  <c r="N354" i="12"/>
  <c r="O354" i="12"/>
  <c r="P354" i="12"/>
  <c r="R354" i="12"/>
  <c r="D355" i="12"/>
  <c r="E355" i="12"/>
  <c r="F355" i="12"/>
  <c r="G355" i="12"/>
  <c r="H355" i="12"/>
  <c r="I355" i="12"/>
  <c r="J355" i="12"/>
  <c r="K355" i="12"/>
  <c r="L355" i="12"/>
  <c r="M355" i="12"/>
  <c r="N355" i="12"/>
  <c r="O355" i="12"/>
  <c r="P355" i="12"/>
  <c r="R355" i="12"/>
  <c r="D356" i="12"/>
  <c r="E356" i="12"/>
  <c r="F356" i="12"/>
  <c r="G356" i="12"/>
  <c r="H356" i="12"/>
  <c r="I356" i="12"/>
  <c r="J356" i="12"/>
  <c r="K356" i="12"/>
  <c r="L356" i="12"/>
  <c r="M356" i="12"/>
  <c r="N356" i="12"/>
  <c r="O356" i="12"/>
  <c r="P356" i="12"/>
  <c r="R356" i="12"/>
  <c r="D357" i="12"/>
  <c r="E357" i="12"/>
  <c r="F357" i="12"/>
  <c r="G357" i="12"/>
  <c r="H357" i="12"/>
  <c r="I357" i="12"/>
  <c r="J357" i="12"/>
  <c r="K357" i="12"/>
  <c r="L357" i="12"/>
  <c r="M357" i="12"/>
  <c r="N357" i="12"/>
  <c r="O357" i="12"/>
  <c r="P357" i="12"/>
  <c r="R357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R358" i="12"/>
  <c r="D359" i="12"/>
  <c r="E359" i="12"/>
  <c r="F359" i="12"/>
  <c r="G359" i="12"/>
  <c r="H359" i="12"/>
  <c r="I359" i="12"/>
  <c r="J359" i="12"/>
  <c r="K359" i="12"/>
  <c r="L359" i="12"/>
  <c r="M359" i="12"/>
  <c r="N359" i="12"/>
  <c r="O359" i="12"/>
  <c r="P359" i="12"/>
  <c r="R359" i="12"/>
  <c r="D360" i="12"/>
  <c r="E360" i="12"/>
  <c r="F360" i="12"/>
  <c r="G360" i="12"/>
  <c r="H360" i="12"/>
  <c r="I360" i="12"/>
  <c r="J360" i="12"/>
  <c r="K360" i="12"/>
  <c r="L360" i="12"/>
  <c r="M360" i="12"/>
  <c r="N360" i="12"/>
  <c r="O360" i="12"/>
  <c r="P360" i="12"/>
  <c r="R360" i="12"/>
  <c r="D361" i="12"/>
  <c r="E361" i="12"/>
  <c r="F361" i="12"/>
  <c r="G361" i="12"/>
  <c r="H361" i="12"/>
  <c r="I361" i="12"/>
  <c r="J361" i="12"/>
  <c r="K361" i="12"/>
  <c r="L361" i="12"/>
  <c r="M361" i="12"/>
  <c r="N361" i="12"/>
  <c r="O361" i="12"/>
  <c r="P361" i="12"/>
  <c r="R361" i="12"/>
  <c r="D362" i="12"/>
  <c r="E362" i="12"/>
  <c r="F362" i="12"/>
  <c r="G362" i="12"/>
  <c r="H362" i="12"/>
  <c r="I362" i="12"/>
  <c r="J362" i="12"/>
  <c r="K362" i="12"/>
  <c r="L362" i="12"/>
  <c r="M362" i="12"/>
  <c r="N362" i="12"/>
  <c r="O362" i="12"/>
  <c r="P362" i="12"/>
  <c r="R362" i="12"/>
  <c r="D363" i="12"/>
  <c r="E363" i="12"/>
  <c r="F363" i="12"/>
  <c r="G363" i="12"/>
  <c r="H363" i="12"/>
  <c r="I363" i="12"/>
  <c r="J363" i="12"/>
  <c r="K363" i="12"/>
  <c r="L363" i="12"/>
  <c r="M363" i="12"/>
  <c r="N363" i="12"/>
  <c r="O363" i="12"/>
  <c r="P363" i="12"/>
  <c r="R363" i="12"/>
  <c r="D364" i="12"/>
  <c r="E364" i="12"/>
  <c r="F364" i="12"/>
  <c r="G364" i="12"/>
  <c r="H364" i="12"/>
  <c r="I364" i="12"/>
  <c r="J364" i="12"/>
  <c r="K364" i="12"/>
  <c r="L364" i="12"/>
  <c r="M364" i="12"/>
  <c r="N364" i="12"/>
  <c r="O364" i="12"/>
  <c r="P364" i="12"/>
  <c r="R364" i="12"/>
  <c r="D365" i="12"/>
  <c r="E365" i="12"/>
  <c r="F365" i="12"/>
  <c r="G365" i="12"/>
  <c r="H365" i="12"/>
  <c r="I365" i="12"/>
  <c r="J365" i="12"/>
  <c r="K365" i="12"/>
  <c r="L365" i="12"/>
  <c r="M365" i="12"/>
  <c r="N365" i="12"/>
  <c r="O365" i="12"/>
  <c r="P365" i="12"/>
  <c r="R365" i="12"/>
  <c r="D366" i="12"/>
  <c r="E366" i="12"/>
  <c r="F366" i="12"/>
  <c r="G366" i="12"/>
  <c r="H366" i="12"/>
  <c r="I366" i="12"/>
  <c r="J366" i="12"/>
  <c r="K366" i="12"/>
  <c r="L366" i="12"/>
  <c r="M366" i="12"/>
  <c r="N366" i="12"/>
  <c r="O366" i="12"/>
  <c r="P366" i="12"/>
  <c r="R366" i="12"/>
  <c r="D367" i="12"/>
  <c r="E367" i="12"/>
  <c r="F367" i="12"/>
  <c r="G367" i="12"/>
  <c r="H367" i="12"/>
  <c r="I367" i="12"/>
  <c r="J367" i="12"/>
  <c r="K367" i="12"/>
  <c r="L367" i="12"/>
  <c r="M367" i="12"/>
  <c r="N367" i="12"/>
  <c r="O367" i="12"/>
  <c r="P367" i="12"/>
  <c r="R367" i="12"/>
  <c r="D368" i="12"/>
  <c r="E368" i="12"/>
  <c r="F368" i="12"/>
  <c r="G368" i="12"/>
  <c r="H368" i="12"/>
  <c r="I368" i="12"/>
  <c r="J368" i="12"/>
  <c r="K368" i="12"/>
  <c r="L368" i="12"/>
  <c r="M368" i="12"/>
  <c r="N368" i="12"/>
  <c r="O368" i="12"/>
  <c r="P368" i="12"/>
  <c r="R368" i="12"/>
  <c r="D369" i="12"/>
  <c r="E369" i="12"/>
  <c r="F369" i="12"/>
  <c r="G369" i="12"/>
  <c r="H369" i="12"/>
  <c r="I369" i="12"/>
  <c r="J369" i="12"/>
  <c r="K369" i="12"/>
  <c r="L369" i="12"/>
  <c r="M369" i="12"/>
  <c r="N369" i="12"/>
  <c r="O369" i="12"/>
  <c r="P369" i="12"/>
  <c r="R369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P370" i="12"/>
  <c r="R370" i="12"/>
  <c r="D371" i="12"/>
  <c r="E371" i="12"/>
  <c r="F371" i="12"/>
  <c r="G371" i="12"/>
  <c r="H371" i="12"/>
  <c r="I371" i="12"/>
  <c r="J371" i="12"/>
  <c r="K371" i="12"/>
  <c r="L371" i="12"/>
  <c r="M371" i="12"/>
  <c r="N371" i="12"/>
  <c r="O371" i="12"/>
  <c r="P371" i="12"/>
  <c r="R371" i="12"/>
  <c r="D372" i="12"/>
  <c r="E372" i="12"/>
  <c r="F372" i="12"/>
  <c r="G372" i="12"/>
  <c r="H372" i="12"/>
  <c r="I372" i="12"/>
  <c r="J372" i="12"/>
  <c r="K372" i="12"/>
  <c r="L372" i="12"/>
  <c r="M372" i="12"/>
  <c r="N372" i="12"/>
  <c r="O372" i="12"/>
  <c r="P372" i="12"/>
  <c r="R372" i="12"/>
  <c r="D373" i="12"/>
  <c r="E373" i="12"/>
  <c r="F373" i="12"/>
  <c r="G373" i="12"/>
  <c r="H373" i="12"/>
  <c r="I373" i="12"/>
  <c r="J373" i="12"/>
  <c r="K373" i="12"/>
  <c r="L373" i="12"/>
  <c r="M373" i="12"/>
  <c r="N373" i="12"/>
  <c r="O373" i="12"/>
  <c r="P373" i="12"/>
  <c r="R373" i="12"/>
  <c r="D374" i="12"/>
  <c r="E374" i="12"/>
  <c r="F374" i="12"/>
  <c r="G374" i="12"/>
  <c r="H374" i="12"/>
  <c r="I374" i="12"/>
  <c r="J374" i="12"/>
  <c r="K374" i="12"/>
  <c r="L374" i="12"/>
  <c r="M374" i="12"/>
  <c r="N374" i="12"/>
  <c r="O374" i="12"/>
  <c r="P374" i="12"/>
  <c r="R374" i="12"/>
  <c r="D375" i="12"/>
  <c r="E375" i="12"/>
  <c r="F375" i="12"/>
  <c r="G375" i="12"/>
  <c r="H375" i="12"/>
  <c r="I375" i="12"/>
  <c r="J375" i="12"/>
  <c r="K375" i="12"/>
  <c r="L375" i="12"/>
  <c r="M375" i="12"/>
  <c r="N375" i="12"/>
  <c r="O375" i="12"/>
  <c r="P375" i="12"/>
  <c r="R375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R376" i="12"/>
  <c r="D377" i="12"/>
  <c r="E377" i="12"/>
  <c r="F377" i="12"/>
  <c r="G377" i="12"/>
  <c r="H377" i="12"/>
  <c r="I377" i="12"/>
  <c r="J377" i="12"/>
  <c r="K377" i="12"/>
  <c r="L377" i="12"/>
  <c r="M377" i="12"/>
  <c r="N377" i="12"/>
  <c r="O377" i="12"/>
  <c r="P377" i="12"/>
  <c r="R377" i="12"/>
  <c r="D378" i="12"/>
  <c r="E378" i="12"/>
  <c r="F378" i="12"/>
  <c r="G378" i="12"/>
  <c r="H378" i="12"/>
  <c r="I378" i="12"/>
  <c r="J378" i="12"/>
  <c r="K378" i="12"/>
  <c r="L378" i="12"/>
  <c r="M378" i="12"/>
  <c r="N378" i="12"/>
  <c r="O378" i="12"/>
  <c r="P378" i="12"/>
  <c r="R378" i="12"/>
  <c r="D379" i="12"/>
  <c r="E379" i="12"/>
  <c r="F379" i="12"/>
  <c r="G379" i="12"/>
  <c r="H379" i="12"/>
  <c r="I379" i="12"/>
  <c r="J379" i="12"/>
  <c r="K379" i="12"/>
  <c r="L379" i="12"/>
  <c r="M379" i="12"/>
  <c r="N379" i="12"/>
  <c r="O379" i="12"/>
  <c r="P379" i="12"/>
  <c r="R379" i="12"/>
  <c r="D380" i="12"/>
  <c r="E380" i="12"/>
  <c r="F380" i="12"/>
  <c r="G380" i="12"/>
  <c r="H380" i="12"/>
  <c r="I380" i="12"/>
  <c r="J380" i="12"/>
  <c r="K380" i="12"/>
  <c r="L380" i="12"/>
  <c r="M380" i="12"/>
  <c r="N380" i="12"/>
  <c r="O380" i="12"/>
  <c r="P380" i="12"/>
  <c r="R380" i="12"/>
  <c r="D381" i="12"/>
  <c r="E381" i="12"/>
  <c r="F381" i="12"/>
  <c r="G381" i="12"/>
  <c r="H381" i="12"/>
  <c r="I381" i="12"/>
  <c r="J381" i="12"/>
  <c r="K381" i="12"/>
  <c r="L381" i="12"/>
  <c r="M381" i="12"/>
  <c r="N381" i="12"/>
  <c r="O381" i="12"/>
  <c r="P381" i="12"/>
  <c r="R381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R382" i="12"/>
  <c r="D383" i="12"/>
  <c r="E383" i="12"/>
  <c r="F383" i="12"/>
  <c r="G383" i="12"/>
  <c r="H383" i="12"/>
  <c r="I383" i="12"/>
  <c r="J383" i="12"/>
  <c r="K383" i="12"/>
  <c r="L383" i="12"/>
  <c r="M383" i="12"/>
  <c r="N383" i="12"/>
  <c r="O383" i="12"/>
  <c r="P383" i="12"/>
  <c r="R383" i="12"/>
  <c r="D384" i="12"/>
  <c r="E384" i="12"/>
  <c r="F384" i="12"/>
  <c r="G384" i="12"/>
  <c r="H384" i="12"/>
  <c r="I384" i="12"/>
  <c r="J384" i="12"/>
  <c r="K384" i="12"/>
  <c r="L384" i="12"/>
  <c r="M384" i="12"/>
  <c r="N384" i="12"/>
  <c r="O384" i="12"/>
  <c r="P384" i="12"/>
  <c r="R384" i="12"/>
  <c r="D385" i="12"/>
  <c r="E385" i="12"/>
  <c r="F385" i="12"/>
  <c r="G385" i="12"/>
  <c r="H385" i="12"/>
  <c r="I385" i="12"/>
  <c r="J385" i="12"/>
  <c r="K385" i="12"/>
  <c r="L385" i="12"/>
  <c r="M385" i="12"/>
  <c r="N385" i="12"/>
  <c r="O385" i="12"/>
  <c r="P385" i="12"/>
  <c r="R385" i="12"/>
  <c r="D386" i="12"/>
  <c r="E386" i="12"/>
  <c r="F386" i="12"/>
  <c r="G386" i="12"/>
  <c r="H386" i="12"/>
  <c r="I386" i="12"/>
  <c r="J386" i="12"/>
  <c r="K386" i="12"/>
  <c r="L386" i="12"/>
  <c r="M386" i="12"/>
  <c r="N386" i="12"/>
  <c r="O386" i="12"/>
  <c r="P386" i="12"/>
  <c r="R386" i="12"/>
  <c r="D387" i="12"/>
  <c r="E387" i="12"/>
  <c r="F387" i="12"/>
  <c r="G387" i="12"/>
  <c r="H387" i="12"/>
  <c r="I387" i="12"/>
  <c r="J387" i="12"/>
  <c r="K387" i="12"/>
  <c r="L387" i="12"/>
  <c r="M387" i="12"/>
  <c r="N387" i="12"/>
  <c r="O387" i="12"/>
  <c r="P387" i="12"/>
  <c r="R387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R388" i="12"/>
  <c r="D389" i="12"/>
  <c r="E389" i="12"/>
  <c r="F389" i="12"/>
  <c r="G389" i="12"/>
  <c r="H389" i="12"/>
  <c r="I389" i="12"/>
  <c r="J389" i="12"/>
  <c r="K389" i="12"/>
  <c r="L389" i="12"/>
  <c r="M389" i="12"/>
  <c r="N389" i="12"/>
  <c r="O389" i="12"/>
  <c r="P389" i="12"/>
  <c r="R389" i="12"/>
  <c r="D390" i="12"/>
  <c r="E390" i="12"/>
  <c r="F390" i="12"/>
  <c r="G390" i="12"/>
  <c r="H390" i="12"/>
  <c r="I390" i="12"/>
  <c r="J390" i="12"/>
  <c r="K390" i="12"/>
  <c r="L390" i="12"/>
  <c r="M390" i="12"/>
  <c r="N390" i="12"/>
  <c r="O390" i="12"/>
  <c r="P390" i="12"/>
  <c r="R390" i="12"/>
  <c r="D391" i="12"/>
  <c r="E391" i="12"/>
  <c r="F391" i="12"/>
  <c r="G391" i="12"/>
  <c r="H391" i="12"/>
  <c r="I391" i="12"/>
  <c r="J391" i="12"/>
  <c r="K391" i="12"/>
  <c r="L391" i="12"/>
  <c r="M391" i="12"/>
  <c r="N391" i="12"/>
  <c r="O391" i="12"/>
  <c r="P391" i="12"/>
  <c r="R391" i="12"/>
  <c r="D392" i="12"/>
  <c r="E392" i="12"/>
  <c r="F392" i="12"/>
  <c r="G392" i="12"/>
  <c r="H392" i="12"/>
  <c r="I392" i="12"/>
  <c r="J392" i="12"/>
  <c r="K392" i="12"/>
  <c r="L392" i="12"/>
  <c r="M392" i="12"/>
  <c r="N392" i="12"/>
  <c r="O392" i="12"/>
  <c r="P392" i="12"/>
  <c r="R392" i="12"/>
  <c r="D393" i="12"/>
  <c r="E393" i="12"/>
  <c r="F393" i="12"/>
  <c r="G393" i="12"/>
  <c r="H393" i="12"/>
  <c r="I393" i="12"/>
  <c r="J393" i="12"/>
  <c r="K393" i="12"/>
  <c r="L393" i="12"/>
  <c r="M393" i="12"/>
  <c r="N393" i="12"/>
  <c r="O393" i="12"/>
  <c r="P393" i="12"/>
  <c r="R393" i="12"/>
  <c r="D394" i="12"/>
  <c r="E394" i="12"/>
  <c r="F394" i="12"/>
  <c r="G394" i="12"/>
  <c r="H394" i="12"/>
  <c r="I394" i="12"/>
  <c r="J394" i="12"/>
  <c r="K394" i="12"/>
  <c r="L394" i="12"/>
  <c r="M394" i="12"/>
  <c r="N394" i="12"/>
  <c r="O394" i="12"/>
  <c r="P394" i="12"/>
  <c r="R394" i="12"/>
  <c r="D395" i="12"/>
  <c r="E395" i="12"/>
  <c r="F395" i="12"/>
  <c r="G395" i="12"/>
  <c r="H395" i="12"/>
  <c r="I395" i="12"/>
  <c r="J395" i="12"/>
  <c r="K395" i="12"/>
  <c r="L395" i="12"/>
  <c r="M395" i="12"/>
  <c r="N395" i="12"/>
  <c r="O395" i="12"/>
  <c r="P395" i="12"/>
  <c r="R395" i="12"/>
  <c r="D396" i="12"/>
  <c r="E396" i="12"/>
  <c r="F396" i="12"/>
  <c r="G396" i="12"/>
  <c r="H396" i="12"/>
  <c r="I396" i="12"/>
  <c r="J396" i="12"/>
  <c r="K396" i="12"/>
  <c r="L396" i="12"/>
  <c r="M396" i="12"/>
  <c r="N396" i="12"/>
  <c r="O396" i="12"/>
  <c r="P396" i="12"/>
  <c r="R396" i="12"/>
  <c r="D397" i="12"/>
  <c r="E397" i="12"/>
  <c r="F397" i="12"/>
  <c r="G397" i="12"/>
  <c r="H397" i="12"/>
  <c r="I397" i="12"/>
  <c r="J397" i="12"/>
  <c r="K397" i="12"/>
  <c r="L397" i="12"/>
  <c r="M397" i="12"/>
  <c r="N397" i="12"/>
  <c r="O397" i="12"/>
  <c r="P397" i="12"/>
  <c r="R397" i="12"/>
  <c r="D398" i="12"/>
  <c r="E398" i="12"/>
  <c r="F398" i="12"/>
  <c r="G398" i="12"/>
  <c r="H398" i="12"/>
  <c r="I398" i="12"/>
  <c r="J398" i="12"/>
  <c r="K398" i="12"/>
  <c r="L398" i="12"/>
  <c r="M398" i="12"/>
  <c r="N398" i="12"/>
  <c r="O398" i="12"/>
  <c r="P398" i="12"/>
  <c r="R398" i="12"/>
  <c r="D399" i="12"/>
  <c r="E399" i="12"/>
  <c r="F399" i="12"/>
  <c r="G399" i="12"/>
  <c r="H399" i="12"/>
  <c r="I399" i="12"/>
  <c r="J399" i="12"/>
  <c r="K399" i="12"/>
  <c r="L399" i="12"/>
  <c r="M399" i="12"/>
  <c r="N399" i="12"/>
  <c r="O399" i="12"/>
  <c r="P399" i="12"/>
  <c r="R399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P400" i="12"/>
  <c r="R400" i="12"/>
  <c r="D401" i="12"/>
  <c r="E401" i="12"/>
  <c r="F401" i="12"/>
  <c r="G401" i="12"/>
  <c r="H401" i="12"/>
  <c r="I401" i="12"/>
  <c r="J401" i="12"/>
  <c r="K401" i="12"/>
  <c r="L401" i="12"/>
  <c r="M401" i="12"/>
  <c r="N401" i="12"/>
  <c r="O401" i="12"/>
  <c r="P401" i="12"/>
  <c r="R401" i="12"/>
  <c r="D402" i="12"/>
  <c r="E402" i="12"/>
  <c r="F402" i="12"/>
  <c r="G402" i="12"/>
  <c r="H402" i="12"/>
  <c r="I402" i="12"/>
  <c r="J402" i="12"/>
  <c r="K402" i="12"/>
  <c r="L402" i="12"/>
  <c r="M402" i="12"/>
  <c r="N402" i="12"/>
  <c r="O402" i="12"/>
  <c r="P402" i="12"/>
  <c r="R402" i="12"/>
  <c r="D403" i="12"/>
  <c r="E403" i="12"/>
  <c r="F403" i="12"/>
  <c r="G403" i="12"/>
  <c r="H403" i="12"/>
  <c r="I403" i="12"/>
  <c r="J403" i="12"/>
  <c r="K403" i="12"/>
  <c r="L403" i="12"/>
  <c r="M403" i="12"/>
  <c r="N403" i="12"/>
  <c r="O403" i="12"/>
  <c r="P403" i="12"/>
  <c r="R403" i="12"/>
  <c r="D404" i="12"/>
  <c r="E404" i="12"/>
  <c r="F404" i="12"/>
  <c r="G404" i="12"/>
  <c r="H404" i="12"/>
  <c r="I404" i="12"/>
  <c r="J404" i="12"/>
  <c r="K404" i="12"/>
  <c r="L404" i="12"/>
  <c r="M404" i="12"/>
  <c r="N404" i="12"/>
  <c r="O404" i="12"/>
  <c r="P404" i="12"/>
  <c r="R404" i="12"/>
  <c r="D405" i="12"/>
  <c r="E405" i="12"/>
  <c r="F405" i="12"/>
  <c r="G405" i="12"/>
  <c r="H405" i="12"/>
  <c r="I405" i="12"/>
  <c r="J405" i="12"/>
  <c r="K405" i="12"/>
  <c r="L405" i="12"/>
  <c r="M405" i="12"/>
  <c r="N405" i="12"/>
  <c r="O405" i="12"/>
  <c r="P405" i="12"/>
  <c r="R405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R406" i="12"/>
  <c r="D407" i="12"/>
  <c r="E407" i="12"/>
  <c r="F407" i="12"/>
  <c r="G407" i="12"/>
  <c r="H407" i="12"/>
  <c r="I407" i="12"/>
  <c r="J407" i="12"/>
  <c r="K407" i="12"/>
  <c r="L407" i="12"/>
  <c r="M407" i="12"/>
  <c r="N407" i="12"/>
  <c r="O407" i="12"/>
  <c r="P407" i="12"/>
  <c r="R407" i="12"/>
  <c r="D408" i="12"/>
  <c r="E408" i="12"/>
  <c r="F408" i="12"/>
  <c r="G408" i="12"/>
  <c r="H408" i="12"/>
  <c r="I408" i="12"/>
  <c r="J408" i="12"/>
  <c r="K408" i="12"/>
  <c r="L408" i="12"/>
  <c r="M408" i="12"/>
  <c r="N408" i="12"/>
  <c r="O408" i="12"/>
  <c r="P408" i="12"/>
  <c r="R408" i="12"/>
  <c r="D409" i="12"/>
  <c r="E409" i="12"/>
  <c r="F409" i="12"/>
  <c r="G409" i="12"/>
  <c r="H409" i="12"/>
  <c r="I409" i="12"/>
  <c r="J409" i="12"/>
  <c r="K409" i="12"/>
  <c r="L409" i="12"/>
  <c r="M409" i="12"/>
  <c r="N409" i="12"/>
  <c r="O409" i="12"/>
  <c r="P409" i="12"/>
  <c r="R409" i="12"/>
  <c r="D410" i="12"/>
  <c r="E410" i="12"/>
  <c r="F410" i="12"/>
  <c r="G410" i="12"/>
  <c r="H410" i="12"/>
  <c r="I410" i="12"/>
  <c r="J410" i="12"/>
  <c r="K410" i="12"/>
  <c r="L410" i="12"/>
  <c r="M410" i="12"/>
  <c r="N410" i="12"/>
  <c r="O410" i="12"/>
  <c r="P410" i="12"/>
  <c r="R410" i="12"/>
  <c r="D411" i="12"/>
  <c r="E411" i="12"/>
  <c r="F411" i="12"/>
  <c r="G411" i="12"/>
  <c r="H411" i="12"/>
  <c r="I411" i="12"/>
  <c r="J411" i="12"/>
  <c r="K411" i="12"/>
  <c r="L411" i="12"/>
  <c r="M411" i="12"/>
  <c r="N411" i="12"/>
  <c r="O411" i="12"/>
  <c r="P411" i="12"/>
  <c r="R411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R412" i="12"/>
  <c r="D413" i="12"/>
  <c r="E413" i="12"/>
  <c r="F413" i="12"/>
  <c r="G413" i="12"/>
  <c r="H413" i="12"/>
  <c r="I413" i="12"/>
  <c r="J413" i="12"/>
  <c r="K413" i="12"/>
  <c r="L413" i="12"/>
  <c r="M413" i="12"/>
  <c r="N413" i="12"/>
  <c r="O413" i="12"/>
  <c r="P413" i="12"/>
  <c r="R413" i="12"/>
  <c r="D414" i="12"/>
  <c r="E414" i="12"/>
  <c r="F414" i="12"/>
  <c r="G414" i="12"/>
  <c r="H414" i="12"/>
  <c r="I414" i="12"/>
  <c r="J414" i="12"/>
  <c r="K414" i="12"/>
  <c r="L414" i="12"/>
  <c r="M414" i="12"/>
  <c r="N414" i="12"/>
  <c r="O414" i="12"/>
  <c r="P414" i="12"/>
  <c r="R414" i="12"/>
  <c r="D415" i="12"/>
  <c r="E415" i="12"/>
  <c r="F415" i="12"/>
  <c r="G415" i="12"/>
  <c r="H415" i="12"/>
  <c r="I415" i="12"/>
  <c r="J415" i="12"/>
  <c r="K415" i="12"/>
  <c r="L415" i="12"/>
  <c r="M415" i="12"/>
  <c r="N415" i="12"/>
  <c r="O415" i="12"/>
  <c r="P415" i="12"/>
  <c r="R415" i="12"/>
  <c r="D416" i="12"/>
  <c r="E416" i="12"/>
  <c r="F416" i="12"/>
  <c r="G416" i="12"/>
  <c r="H416" i="12"/>
  <c r="I416" i="12"/>
  <c r="J416" i="12"/>
  <c r="K416" i="12"/>
  <c r="L416" i="12"/>
  <c r="M416" i="12"/>
  <c r="N416" i="12"/>
  <c r="O416" i="12"/>
  <c r="P416" i="12"/>
  <c r="R416" i="12"/>
  <c r="D417" i="12"/>
  <c r="E417" i="12"/>
  <c r="F417" i="12"/>
  <c r="G417" i="12"/>
  <c r="H417" i="12"/>
  <c r="I417" i="12"/>
  <c r="J417" i="12"/>
  <c r="K417" i="12"/>
  <c r="L417" i="12"/>
  <c r="M417" i="12"/>
  <c r="N417" i="12"/>
  <c r="O417" i="12"/>
  <c r="P417" i="12"/>
  <c r="R417" i="12"/>
  <c r="D418" i="12"/>
  <c r="E418" i="12"/>
  <c r="F418" i="12"/>
  <c r="G418" i="12"/>
  <c r="H418" i="12"/>
  <c r="I418" i="12"/>
  <c r="J418" i="12"/>
  <c r="K418" i="12"/>
  <c r="L418" i="12"/>
  <c r="M418" i="12"/>
  <c r="N418" i="12"/>
  <c r="O418" i="12"/>
  <c r="P418" i="12"/>
  <c r="R418" i="12"/>
  <c r="D419" i="12"/>
  <c r="E419" i="12"/>
  <c r="F419" i="12"/>
  <c r="G419" i="12"/>
  <c r="H419" i="12"/>
  <c r="I419" i="12"/>
  <c r="J419" i="12"/>
  <c r="K419" i="12"/>
  <c r="L419" i="12"/>
  <c r="M419" i="12"/>
  <c r="N419" i="12"/>
  <c r="O419" i="12"/>
  <c r="P419" i="12"/>
  <c r="R419" i="12"/>
  <c r="D420" i="12"/>
  <c r="E420" i="12"/>
  <c r="F420" i="12"/>
  <c r="G420" i="12"/>
  <c r="H420" i="12"/>
  <c r="I420" i="12"/>
  <c r="J420" i="12"/>
  <c r="K420" i="12"/>
  <c r="L420" i="12"/>
  <c r="M420" i="12"/>
  <c r="N420" i="12"/>
  <c r="O420" i="12"/>
  <c r="P420" i="12"/>
  <c r="R420" i="12"/>
  <c r="D421" i="12"/>
  <c r="E421" i="12"/>
  <c r="F421" i="12"/>
  <c r="G421" i="12"/>
  <c r="H421" i="12"/>
  <c r="I421" i="12"/>
  <c r="J421" i="12"/>
  <c r="K421" i="12"/>
  <c r="L421" i="12"/>
  <c r="M421" i="12"/>
  <c r="N421" i="12"/>
  <c r="O421" i="12"/>
  <c r="P421" i="12"/>
  <c r="R421" i="12"/>
  <c r="D422" i="12"/>
  <c r="E422" i="12"/>
  <c r="F422" i="12"/>
  <c r="G422" i="12"/>
  <c r="H422" i="12"/>
  <c r="I422" i="12"/>
  <c r="J422" i="12"/>
  <c r="K422" i="12"/>
  <c r="L422" i="12"/>
  <c r="M422" i="12"/>
  <c r="N422" i="12"/>
  <c r="O422" i="12"/>
  <c r="P422" i="12"/>
  <c r="R422" i="12"/>
  <c r="D423" i="12"/>
  <c r="E423" i="12"/>
  <c r="F423" i="12"/>
  <c r="G423" i="12"/>
  <c r="H423" i="12"/>
  <c r="I423" i="12"/>
  <c r="J423" i="12"/>
  <c r="K423" i="12"/>
  <c r="L423" i="12"/>
  <c r="M423" i="12"/>
  <c r="N423" i="12"/>
  <c r="O423" i="12"/>
  <c r="P423" i="12"/>
  <c r="R423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P424" i="12"/>
  <c r="R424" i="12"/>
  <c r="D425" i="12"/>
  <c r="E425" i="12"/>
  <c r="F425" i="12"/>
  <c r="G425" i="12"/>
  <c r="H425" i="12"/>
  <c r="I425" i="12"/>
  <c r="J425" i="12"/>
  <c r="K425" i="12"/>
  <c r="L425" i="12"/>
  <c r="M425" i="12"/>
  <c r="N425" i="12"/>
  <c r="O425" i="12"/>
  <c r="P425" i="12"/>
  <c r="R425" i="12"/>
  <c r="D426" i="12"/>
  <c r="E426" i="12"/>
  <c r="F426" i="12"/>
  <c r="G426" i="12"/>
  <c r="H426" i="12"/>
  <c r="I426" i="12"/>
  <c r="J426" i="12"/>
  <c r="K426" i="12"/>
  <c r="L426" i="12"/>
  <c r="M426" i="12"/>
  <c r="N426" i="12"/>
  <c r="O426" i="12"/>
  <c r="P426" i="12"/>
  <c r="R426" i="12"/>
  <c r="D427" i="12"/>
  <c r="E427" i="12"/>
  <c r="F427" i="12"/>
  <c r="G427" i="12"/>
  <c r="H427" i="12"/>
  <c r="I427" i="12"/>
  <c r="J427" i="12"/>
  <c r="K427" i="12"/>
  <c r="L427" i="12"/>
  <c r="M427" i="12"/>
  <c r="N427" i="12"/>
  <c r="O427" i="12"/>
  <c r="P427" i="12"/>
  <c r="R427" i="12"/>
  <c r="D428" i="12"/>
  <c r="E428" i="12"/>
  <c r="F428" i="12"/>
  <c r="G428" i="12"/>
  <c r="H428" i="12"/>
  <c r="I428" i="12"/>
  <c r="J428" i="12"/>
  <c r="K428" i="12"/>
  <c r="L428" i="12"/>
  <c r="M428" i="12"/>
  <c r="N428" i="12"/>
  <c r="O428" i="12"/>
  <c r="P428" i="12"/>
  <c r="R428" i="12"/>
  <c r="D429" i="12"/>
  <c r="E429" i="12"/>
  <c r="F429" i="12"/>
  <c r="G429" i="12"/>
  <c r="H429" i="12"/>
  <c r="I429" i="12"/>
  <c r="J429" i="12"/>
  <c r="K429" i="12"/>
  <c r="L429" i="12"/>
  <c r="M429" i="12"/>
  <c r="N429" i="12"/>
  <c r="O429" i="12"/>
  <c r="P429" i="12"/>
  <c r="R429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R430" i="12"/>
  <c r="D431" i="12"/>
  <c r="E431" i="12"/>
  <c r="F431" i="12"/>
  <c r="G431" i="12"/>
  <c r="H431" i="12"/>
  <c r="I431" i="12"/>
  <c r="J431" i="12"/>
  <c r="K431" i="12"/>
  <c r="L431" i="12"/>
  <c r="M431" i="12"/>
  <c r="N431" i="12"/>
  <c r="O431" i="12"/>
  <c r="P431" i="12"/>
  <c r="R431" i="12"/>
  <c r="D432" i="12"/>
  <c r="E432" i="12"/>
  <c r="F432" i="12"/>
  <c r="G432" i="12"/>
  <c r="H432" i="12"/>
  <c r="I432" i="12"/>
  <c r="J432" i="12"/>
  <c r="K432" i="12"/>
  <c r="L432" i="12"/>
  <c r="M432" i="12"/>
  <c r="N432" i="12"/>
  <c r="O432" i="12"/>
  <c r="P432" i="12"/>
  <c r="R432" i="12"/>
  <c r="D433" i="12"/>
  <c r="E433" i="12"/>
  <c r="F433" i="12"/>
  <c r="G433" i="12"/>
  <c r="H433" i="12"/>
  <c r="I433" i="12"/>
  <c r="J433" i="12"/>
  <c r="K433" i="12"/>
  <c r="L433" i="12"/>
  <c r="M433" i="12"/>
  <c r="N433" i="12"/>
  <c r="O433" i="12"/>
  <c r="P433" i="12"/>
  <c r="R433" i="12"/>
  <c r="D434" i="12"/>
  <c r="E434" i="12"/>
  <c r="F434" i="12"/>
  <c r="G434" i="12"/>
  <c r="H434" i="12"/>
  <c r="I434" i="12"/>
  <c r="J434" i="12"/>
  <c r="K434" i="12"/>
  <c r="L434" i="12"/>
  <c r="M434" i="12"/>
  <c r="N434" i="12"/>
  <c r="O434" i="12"/>
  <c r="P434" i="12"/>
  <c r="R434" i="12"/>
  <c r="D435" i="12"/>
  <c r="E435" i="12"/>
  <c r="F435" i="12"/>
  <c r="G435" i="12"/>
  <c r="H435" i="12"/>
  <c r="I435" i="12"/>
  <c r="J435" i="12"/>
  <c r="K435" i="12"/>
  <c r="L435" i="12"/>
  <c r="M435" i="12"/>
  <c r="N435" i="12"/>
  <c r="O435" i="12"/>
  <c r="P435" i="12"/>
  <c r="R435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R436" i="12"/>
  <c r="D437" i="12"/>
  <c r="E437" i="12"/>
  <c r="F437" i="12"/>
  <c r="G437" i="12"/>
  <c r="H437" i="12"/>
  <c r="I437" i="12"/>
  <c r="J437" i="12"/>
  <c r="K437" i="12"/>
  <c r="L437" i="12"/>
  <c r="M437" i="12"/>
  <c r="N437" i="12"/>
  <c r="O437" i="12"/>
  <c r="P437" i="12"/>
  <c r="R437" i="12"/>
  <c r="D438" i="12"/>
  <c r="E438" i="12"/>
  <c r="F438" i="12"/>
  <c r="G438" i="12"/>
  <c r="H438" i="12"/>
  <c r="I438" i="12"/>
  <c r="J438" i="12"/>
  <c r="K438" i="12"/>
  <c r="L438" i="12"/>
  <c r="M438" i="12"/>
  <c r="N438" i="12"/>
  <c r="O438" i="12"/>
  <c r="P438" i="12"/>
  <c r="R438" i="12"/>
  <c r="D439" i="12"/>
  <c r="E439" i="12"/>
  <c r="F439" i="12"/>
  <c r="G439" i="12"/>
  <c r="H439" i="12"/>
  <c r="I439" i="12"/>
  <c r="J439" i="12"/>
  <c r="K439" i="12"/>
  <c r="L439" i="12"/>
  <c r="M439" i="12"/>
  <c r="N439" i="12"/>
  <c r="O439" i="12"/>
  <c r="P439" i="12"/>
  <c r="R439" i="12"/>
  <c r="D440" i="12"/>
  <c r="E440" i="12"/>
  <c r="F440" i="12"/>
  <c r="G440" i="12"/>
  <c r="H440" i="12"/>
  <c r="I440" i="12"/>
  <c r="J440" i="12"/>
  <c r="K440" i="12"/>
  <c r="L440" i="12"/>
  <c r="M440" i="12"/>
  <c r="N440" i="12"/>
  <c r="O440" i="12"/>
  <c r="P440" i="12"/>
  <c r="R440" i="12"/>
  <c r="D441" i="12"/>
  <c r="E441" i="12"/>
  <c r="F441" i="12"/>
  <c r="G441" i="12"/>
  <c r="H441" i="12"/>
  <c r="I441" i="12"/>
  <c r="J441" i="12"/>
  <c r="K441" i="12"/>
  <c r="L441" i="12"/>
  <c r="M441" i="12"/>
  <c r="N441" i="12"/>
  <c r="O441" i="12"/>
  <c r="P441" i="12"/>
  <c r="R441" i="12"/>
  <c r="D442" i="12"/>
  <c r="E442" i="12"/>
  <c r="F442" i="12"/>
  <c r="G442" i="12"/>
  <c r="H442" i="12"/>
  <c r="I442" i="12"/>
  <c r="J442" i="12"/>
  <c r="K442" i="12"/>
  <c r="L442" i="12"/>
  <c r="M442" i="12"/>
  <c r="N442" i="12"/>
  <c r="O442" i="12"/>
  <c r="P442" i="12"/>
  <c r="R442" i="12"/>
  <c r="D443" i="12"/>
  <c r="E443" i="12"/>
  <c r="F443" i="12"/>
  <c r="G443" i="12"/>
  <c r="H443" i="12"/>
  <c r="I443" i="12"/>
  <c r="J443" i="12"/>
  <c r="K443" i="12"/>
  <c r="L443" i="12"/>
  <c r="M443" i="12"/>
  <c r="N443" i="12"/>
  <c r="O443" i="12"/>
  <c r="P443" i="12"/>
  <c r="R443" i="12"/>
  <c r="D444" i="12"/>
  <c r="E444" i="12"/>
  <c r="F444" i="12"/>
  <c r="G444" i="12"/>
  <c r="H444" i="12"/>
  <c r="I444" i="12"/>
  <c r="J444" i="12"/>
  <c r="K444" i="12"/>
  <c r="L444" i="12"/>
  <c r="M444" i="12"/>
  <c r="N444" i="12"/>
  <c r="O444" i="12"/>
  <c r="P444" i="12"/>
  <c r="R444" i="12"/>
  <c r="D445" i="12"/>
  <c r="E445" i="12"/>
  <c r="F445" i="12"/>
  <c r="G445" i="12"/>
  <c r="H445" i="12"/>
  <c r="I445" i="12"/>
  <c r="J445" i="12"/>
  <c r="K445" i="12"/>
  <c r="L445" i="12"/>
  <c r="M445" i="12"/>
  <c r="N445" i="12"/>
  <c r="O445" i="12"/>
  <c r="P445" i="12"/>
  <c r="R445" i="12"/>
  <c r="D446" i="12"/>
  <c r="E446" i="12"/>
  <c r="F446" i="12"/>
  <c r="G446" i="12"/>
  <c r="H446" i="12"/>
  <c r="I446" i="12"/>
  <c r="J446" i="12"/>
  <c r="K446" i="12"/>
  <c r="L446" i="12"/>
  <c r="M446" i="12"/>
  <c r="N446" i="12"/>
  <c r="O446" i="12"/>
  <c r="P446" i="12"/>
  <c r="R446" i="12"/>
  <c r="D447" i="12"/>
  <c r="E447" i="12"/>
  <c r="F447" i="12"/>
  <c r="G447" i="12"/>
  <c r="H447" i="12"/>
  <c r="I447" i="12"/>
  <c r="J447" i="12"/>
  <c r="K447" i="12"/>
  <c r="L447" i="12"/>
  <c r="M447" i="12"/>
  <c r="N447" i="12"/>
  <c r="O447" i="12"/>
  <c r="P447" i="12"/>
  <c r="R447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P448" i="12"/>
  <c r="R448" i="12"/>
  <c r="D449" i="12"/>
  <c r="E449" i="12"/>
  <c r="F449" i="12"/>
  <c r="G449" i="12"/>
  <c r="H449" i="12"/>
  <c r="I449" i="12"/>
  <c r="J449" i="12"/>
  <c r="K449" i="12"/>
  <c r="L449" i="12"/>
  <c r="M449" i="12"/>
  <c r="N449" i="12"/>
  <c r="O449" i="12"/>
  <c r="P449" i="12"/>
  <c r="R449" i="12"/>
  <c r="D450" i="12"/>
  <c r="E450" i="12"/>
  <c r="F450" i="12"/>
  <c r="G450" i="12"/>
  <c r="H450" i="12"/>
  <c r="I450" i="12"/>
  <c r="J450" i="12"/>
  <c r="K450" i="12"/>
  <c r="L450" i="12"/>
  <c r="M450" i="12"/>
  <c r="N450" i="12"/>
  <c r="O450" i="12"/>
  <c r="P450" i="12"/>
  <c r="R450" i="12"/>
  <c r="D451" i="12"/>
  <c r="E451" i="12"/>
  <c r="F451" i="12"/>
  <c r="G451" i="12"/>
  <c r="H451" i="12"/>
  <c r="I451" i="12"/>
  <c r="J451" i="12"/>
  <c r="K451" i="12"/>
  <c r="L451" i="12"/>
  <c r="M451" i="12"/>
  <c r="N451" i="12"/>
  <c r="O451" i="12"/>
  <c r="P451" i="12"/>
  <c r="R451" i="12"/>
  <c r="D452" i="12"/>
  <c r="E452" i="12"/>
  <c r="F452" i="12"/>
  <c r="G452" i="12"/>
  <c r="H452" i="12"/>
  <c r="I452" i="12"/>
  <c r="J452" i="12"/>
  <c r="K452" i="12"/>
  <c r="L452" i="12"/>
  <c r="M452" i="12"/>
  <c r="N452" i="12"/>
  <c r="O452" i="12"/>
  <c r="P452" i="12"/>
  <c r="R452" i="12"/>
  <c r="D453" i="12"/>
  <c r="E453" i="12"/>
  <c r="F453" i="12"/>
  <c r="G453" i="12"/>
  <c r="H453" i="12"/>
  <c r="I453" i="12"/>
  <c r="J453" i="12"/>
  <c r="K453" i="12"/>
  <c r="L453" i="12"/>
  <c r="M453" i="12"/>
  <c r="N453" i="12"/>
  <c r="O453" i="12"/>
  <c r="P453" i="12"/>
  <c r="R453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R454" i="12"/>
  <c r="D455" i="12"/>
  <c r="E455" i="12"/>
  <c r="F455" i="12"/>
  <c r="G455" i="12"/>
  <c r="H455" i="12"/>
  <c r="I455" i="12"/>
  <c r="J455" i="12"/>
  <c r="K455" i="12"/>
  <c r="L455" i="12"/>
  <c r="M455" i="12"/>
  <c r="N455" i="12"/>
  <c r="O455" i="12"/>
  <c r="P455" i="12"/>
  <c r="R455" i="12"/>
  <c r="D456" i="12"/>
  <c r="E456" i="12"/>
  <c r="F456" i="12"/>
  <c r="G456" i="12"/>
  <c r="H456" i="12"/>
  <c r="I456" i="12"/>
  <c r="J456" i="12"/>
  <c r="K456" i="12"/>
  <c r="L456" i="12"/>
  <c r="M456" i="12"/>
  <c r="N456" i="12"/>
  <c r="O456" i="12"/>
  <c r="P456" i="12"/>
  <c r="R456" i="12"/>
  <c r="D457" i="12"/>
  <c r="E457" i="12"/>
  <c r="F457" i="12"/>
  <c r="G457" i="12"/>
  <c r="H457" i="12"/>
  <c r="I457" i="12"/>
  <c r="J457" i="12"/>
  <c r="K457" i="12"/>
  <c r="L457" i="12"/>
  <c r="M457" i="12"/>
  <c r="N457" i="12"/>
  <c r="O457" i="12"/>
  <c r="P457" i="12"/>
  <c r="R457" i="12"/>
  <c r="D458" i="12"/>
  <c r="E458" i="12"/>
  <c r="F458" i="12"/>
  <c r="G458" i="12"/>
  <c r="H458" i="12"/>
  <c r="I458" i="12"/>
  <c r="J458" i="12"/>
  <c r="K458" i="12"/>
  <c r="L458" i="12"/>
  <c r="M458" i="12"/>
  <c r="N458" i="12"/>
  <c r="O458" i="12"/>
  <c r="P458" i="12"/>
  <c r="R458" i="12"/>
  <c r="D459" i="12"/>
  <c r="E459" i="12"/>
  <c r="F459" i="12"/>
  <c r="G459" i="12"/>
  <c r="H459" i="12"/>
  <c r="I459" i="12"/>
  <c r="J459" i="12"/>
  <c r="K459" i="12"/>
  <c r="L459" i="12"/>
  <c r="M459" i="12"/>
  <c r="N459" i="12"/>
  <c r="O459" i="12"/>
  <c r="P459" i="12"/>
  <c r="R459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R460" i="12"/>
  <c r="D461" i="12"/>
  <c r="E461" i="12"/>
  <c r="F461" i="12"/>
  <c r="G461" i="12"/>
  <c r="H461" i="12"/>
  <c r="I461" i="12"/>
  <c r="J461" i="12"/>
  <c r="K461" i="12"/>
  <c r="L461" i="12"/>
  <c r="M461" i="12"/>
  <c r="N461" i="12"/>
  <c r="O461" i="12"/>
  <c r="P461" i="12"/>
  <c r="R461" i="12"/>
  <c r="D462" i="12"/>
  <c r="E462" i="12"/>
  <c r="F462" i="12"/>
  <c r="G462" i="12"/>
  <c r="H462" i="12"/>
  <c r="I462" i="12"/>
  <c r="J462" i="12"/>
  <c r="K462" i="12"/>
  <c r="L462" i="12"/>
  <c r="M462" i="12"/>
  <c r="N462" i="12"/>
  <c r="O462" i="12"/>
  <c r="P462" i="12"/>
  <c r="R462" i="12"/>
  <c r="D463" i="12"/>
  <c r="E463" i="12"/>
  <c r="F463" i="12"/>
  <c r="G463" i="12"/>
  <c r="H463" i="12"/>
  <c r="I463" i="12"/>
  <c r="J463" i="12"/>
  <c r="K463" i="12"/>
  <c r="L463" i="12"/>
  <c r="M463" i="12"/>
  <c r="N463" i="12"/>
  <c r="O463" i="12"/>
  <c r="P463" i="12"/>
  <c r="R463" i="12"/>
  <c r="D464" i="12"/>
  <c r="E464" i="12"/>
  <c r="F464" i="12"/>
  <c r="G464" i="12"/>
  <c r="H464" i="12"/>
  <c r="I464" i="12"/>
  <c r="J464" i="12"/>
  <c r="K464" i="12"/>
  <c r="L464" i="12"/>
  <c r="M464" i="12"/>
  <c r="N464" i="12"/>
  <c r="O464" i="12"/>
  <c r="P464" i="12"/>
  <c r="R464" i="12"/>
  <c r="D465" i="12"/>
  <c r="E465" i="12"/>
  <c r="F465" i="12"/>
  <c r="G465" i="12"/>
  <c r="H465" i="12"/>
  <c r="I465" i="12"/>
  <c r="J465" i="12"/>
  <c r="K465" i="12"/>
  <c r="L465" i="12"/>
  <c r="M465" i="12"/>
  <c r="N465" i="12"/>
  <c r="O465" i="12"/>
  <c r="P465" i="12"/>
  <c r="R465" i="12"/>
  <c r="D466" i="12"/>
  <c r="E466" i="12"/>
  <c r="F466" i="12"/>
  <c r="G466" i="12"/>
  <c r="H466" i="12"/>
  <c r="I466" i="12"/>
  <c r="J466" i="12"/>
  <c r="K466" i="12"/>
  <c r="L466" i="12"/>
  <c r="M466" i="12"/>
  <c r="N466" i="12"/>
  <c r="O466" i="12"/>
  <c r="P466" i="12"/>
  <c r="R466" i="12"/>
  <c r="D467" i="12"/>
  <c r="E467" i="12"/>
  <c r="F467" i="12"/>
  <c r="G467" i="12"/>
  <c r="H467" i="12"/>
  <c r="I467" i="12"/>
  <c r="J467" i="12"/>
  <c r="K467" i="12"/>
  <c r="L467" i="12"/>
  <c r="M467" i="12"/>
  <c r="N467" i="12"/>
  <c r="O467" i="12"/>
  <c r="P467" i="12"/>
  <c r="R467" i="12"/>
  <c r="D468" i="12"/>
  <c r="E468" i="12"/>
  <c r="F468" i="12"/>
  <c r="G468" i="12"/>
  <c r="H468" i="12"/>
  <c r="I468" i="12"/>
  <c r="J468" i="12"/>
  <c r="K468" i="12"/>
  <c r="L468" i="12"/>
  <c r="M468" i="12"/>
  <c r="N468" i="12"/>
  <c r="O468" i="12"/>
  <c r="P468" i="12"/>
  <c r="R468" i="12"/>
  <c r="D469" i="12"/>
  <c r="E469" i="12"/>
  <c r="F469" i="12"/>
  <c r="G469" i="12"/>
  <c r="H469" i="12"/>
  <c r="I469" i="12"/>
  <c r="J469" i="12"/>
  <c r="K469" i="12"/>
  <c r="L469" i="12"/>
  <c r="M469" i="12"/>
  <c r="N469" i="12"/>
  <c r="O469" i="12"/>
  <c r="P469" i="12"/>
  <c r="R469" i="12"/>
  <c r="D470" i="12"/>
  <c r="E470" i="12"/>
  <c r="F470" i="12"/>
  <c r="G470" i="12"/>
  <c r="H470" i="12"/>
  <c r="I470" i="12"/>
  <c r="J470" i="12"/>
  <c r="K470" i="12"/>
  <c r="L470" i="12"/>
  <c r="M470" i="12"/>
  <c r="N470" i="12"/>
  <c r="O470" i="12"/>
  <c r="P470" i="12"/>
  <c r="R470" i="12"/>
  <c r="D471" i="12"/>
  <c r="E471" i="12"/>
  <c r="F471" i="12"/>
  <c r="G471" i="12"/>
  <c r="H471" i="12"/>
  <c r="I471" i="12"/>
  <c r="J471" i="12"/>
  <c r="K471" i="12"/>
  <c r="L471" i="12"/>
  <c r="M471" i="12"/>
  <c r="N471" i="12"/>
  <c r="O471" i="12"/>
  <c r="P471" i="12"/>
  <c r="R471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P472" i="12"/>
  <c r="R472" i="12"/>
  <c r="D473" i="12"/>
  <c r="E473" i="12"/>
  <c r="F473" i="12"/>
  <c r="G473" i="12"/>
  <c r="H473" i="12"/>
  <c r="I473" i="12"/>
  <c r="J473" i="12"/>
  <c r="K473" i="12"/>
  <c r="L473" i="12"/>
  <c r="M473" i="12"/>
  <c r="N473" i="12"/>
  <c r="O473" i="12"/>
  <c r="P473" i="12"/>
  <c r="R473" i="12"/>
  <c r="D474" i="12"/>
  <c r="E474" i="12"/>
  <c r="F474" i="12"/>
  <c r="G474" i="12"/>
  <c r="H474" i="12"/>
  <c r="I474" i="12"/>
  <c r="J474" i="12"/>
  <c r="K474" i="12"/>
  <c r="L474" i="12"/>
  <c r="M474" i="12"/>
  <c r="N474" i="12"/>
  <c r="O474" i="12"/>
  <c r="P474" i="12"/>
  <c r="R474" i="12"/>
  <c r="D475" i="12"/>
  <c r="E475" i="12"/>
  <c r="F475" i="12"/>
  <c r="G475" i="12"/>
  <c r="H475" i="12"/>
  <c r="I475" i="12"/>
  <c r="J475" i="12"/>
  <c r="K475" i="12"/>
  <c r="L475" i="12"/>
  <c r="M475" i="12"/>
  <c r="N475" i="12"/>
  <c r="O475" i="12"/>
  <c r="P475" i="12"/>
  <c r="R475" i="12"/>
  <c r="D476" i="12"/>
  <c r="E476" i="12"/>
  <c r="F476" i="12"/>
  <c r="G476" i="12"/>
  <c r="H476" i="12"/>
  <c r="I476" i="12"/>
  <c r="J476" i="12"/>
  <c r="K476" i="12"/>
  <c r="L476" i="12"/>
  <c r="M476" i="12"/>
  <c r="N476" i="12"/>
  <c r="O476" i="12"/>
  <c r="P476" i="12"/>
  <c r="R476" i="12"/>
  <c r="D477" i="12"/>
  <c r="E477" i="12"/>
  <c r="F477" i="12"/>
  <c r="G477" i="12"/>
  <c r="H477" i="12"/>
  <c r="I477" i="12"/>
  <c r="J477" i="12"/>
  <c r="K477" i="12"/>
  <c r="L477" i="12"/>
  <c r="M477" i="12"/>
  <c r="N477" i="12"/>
  <c r="O477" i="12"/>
  <c r="P477" i="12"/>
  <c r="R477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R478" i="12"/>
  <c r="D479" i="12"/>
  <c r="E479" i="12"/>
  <c r="F479" i="12"/>
  <c r="G479" i="12"/>
  <c r="H479" i="12"/>
  <c r="I479" i="12"/>
  <c r="J479" i="12"/>
  <c r="K479" i="12"/>
  <c r="L479" i="12"/>
  <c r="M479" i="12"/>
  <c r="N479" i="12"/>
  <c r="O479" i="12"/>
  <c r="P479" i="12"/>
  <c r="R479" i="12"/>
  <c r="D480" i="12"/>
  <c r="E480" i="12"/>
  <c r="F480" i="12"/>
  <c r="G480" i="12"/>
  <c r="H480" i="12"/>
  <c r="I480" i="12"/>
  <c r="J480" i="12"/>
  <c r="K480" i="12"/>
  <c r="L480" i="12"/>
  <c r="M480" i="12"/>
  <c r="N480" i="12"/>
  <c r="O480" i="12"/>
  <c r="P480" i="12"/>
  <c r="R480" i="12"/>
  <c r="D481" i="12"/>
  <c r="E481" i="12"/>
  <c r="F481" i="12"/>
  <c r="G481" i="12"/>
  <c r="H481" i="12"/>
  <c r="I481" i="12"/>
  <c r="J481" i="12"/>
  <c r="K481" i="12"/>
  <c r="L481" i="12"/>
  <c r="M481" i="12"/>
  <c r="N481" i="12"/>
  <c r="O481" i="12"/>
  <c r="P481" i="12"/>
  <c r="R481" i="12"/>
  <c r="D482" i="12"/>
  <c r="E482" i="12"/>
  <c r="F482" i="12"/>
  <c r="G482" i="12"/>
  <c r="H482" i="12"/>
  <c r="I482" i="12"/>
  <c r="J482" i="12"/>
  <c r="K482" i="12"/>
  <c r="L482" i="12"/>
  <c r="M482" i="12"/>
  <c r="N482" i="12"/>
  <c r="O482" i="12"/>
  <c r="P482" i="12"/>
  <c r="R482" i="12"/>
  <c r="D483" i="12"/>
  <c r="E483" i="12"/>
  <c r="F483" i="12"/>
  <c r="G483" i="12"/>
  <c r="H483" i="12"/>
  <c r="I483" i="12"/>
  <c r="J483" i="12"/>
  <c r="K483" i="12"/>
  <c r="L483" i="12"/>
  <c r="M483" i="12"/>
  <c r="N483" i="12"/>
  <c r="O483" i="12"/>
  <c r="P483" i="12"/>
  <c r="R483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R484" i="12"/>
  <c r="D485" i="12"/>
  <c r="E485" i="12"/>
  <c r="F485" i="12"/>
  <c r="G485" i="12"/>
  <c r="H485" i="12"/>
  <c r="I485" i="12"/>
  <c r="J485" i="12"/>
  <c r="K485" i="12"/>
  <c r="L485" i="12"/>
  <c r="M485" i="12"/>
  <c r="N485" i="12"/>
  <c r="O485" i="12"/>
  <c r="P485" i="12"/>
  <c r="R485" i="12"/>
  <c r="D486" i="12"/>
  <c r="E486" i="12"/>
  <c r="F486" i="12"/>
  <c r="G486" i="12"/>
  <c r="H486" i="12"/>
  <c r="I486" i="12"/>
  <c r="J486" i="12"/>
  <c r="K486" i="12"/>
  <c r="L486" i="12"/>
  <c r="M486" i="12"/>
  <c r="N486" i="12"/>
  <c r="O486" i="12"/>
  <c r="P486" i="12"/>
  <c r="R486" i="12"/>
  <c r="D487" i="12"/>
  <c r="E487" i="12"/>
  <c r="F487" i="12"/>
  <c r="G487" i="12"/>
  <c r="H487" i="12"/>
  <c r="I487" i="12"/>
  <c r="J487" i="12"/>
  <c r="K487" i="12"/>
  <c r="L487" i="12"/>
  <c r="M487" i="12"/>
  <c r="N487" i="12"/>
  <c r="O487" i="12"/>
  <c r="P487" i="12"/>
  <c r="R487" i="12"/>
  <c r="D488" i="12"/>
  <c r="E488" i="12"/>
  <c r="F488" i="12"/>
  <c r="G488" i="12"/>
  <c r="H488" i="12"/>
  <c r="I488" i="12"/>
  <c r="J488" i="12"/>
  <c r="K488" i="12"/>
  <c r="L488" i="12"/>
  <c r="M488" i="12"/>
  <c r="N488" i="12"/>
  <c r="O488" i="12"/>
  <c r="P488" i="12"/>
  <c r="R488" i="12"/>
  <c r="D489" i="12"/>
  <c r="E489" i="12"/>
  <c r="F489" i="12"/>
  <c r="G489" i="12"/>
  <c r="H489" i="12"/>
  <c r="I489" i="12"/>
  <c r="J489" i="12"/>
  <c r="K489" i="12"/>
  <c r="L489" i="12"/>
  <c r="M489" i="12"/>
  <c r="N489" i="12"/>
  <c r="O489" i="12"/>
  <c r="P489" i="12"/>
  <c r="R489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R490" i="12"/>
  <c r="D491" i="12"/>
  <c r="E491" i="12"/>
  <c r="F491" i="12"/>
  <c r="G491" i="12"/>
  <c r="H491" i="12"/>
  <c r="I491" i="12"/>
  <c r="J491" i="12"/>
  <c r="K491" i="12"/>
  <c r="L491" i="12"/>
  <c r="M491" i="12"/>
  <c r="N491" i="12"/>
  <c r="O491" i="12"/>
  <c r="P491" i="12"/>
  <c r="R491" i="12"/>
  <c r="D492" i="12"/>
  <c r="E492" i="12"/>
  <c r="F492" i="12"/>
  <c r="G492" i="12"/>
  <c r="H492" i="12"/>
  <c r="I492" i="12"/>
  <c r="J492" i="12"/>
  <c r="K492" i="12"/>
  <c r="L492" i="12"/>
  <c r="M492" i="12"/>
  <c r="N492" i="12"/>
  <c r="O492" i="12"/>
  <c r="P492" i="12"/>
  <c r="R492" i="12"/>
  <c r="D493" i="12"/>
  <c r="E493" i="12"/>
  <c r="F493" i="12"/>
  <c r="G493" i="12"/>
  <c r="H493" i="12"/>
  <c r="I493" i="12"/>
  <c r="J493" i="12"/>
  <c r="K493" i="12"/>
  <c r="L493" i="12"/>
  <c r="M493" i="12"/>
  <c r="N493" i="12"/>
  <c r="O493" i="12"/>
  <c r="P493" i="12"/>
  <c r="R493" i="12"/>
  <c r="D494" i="12"/>
  <c r="E494" i="12"/>
  <c r="F494" i="12"/>
  <c r="G494" i="12"/>
  <c r="H494" i="12"/>
  <c r="I494" i="12"/>
  <c r="J494" i="12"/>
  <c r="K494" i="12"/>
  <c r="L494" i="12"/>
  <c r="M494" i="12"/>
  <c r="N494" i="12"/>
  <c r="O494" i="12"/>
  <c r="P494" i="12"/>
  <c r="R494" i="12"/>
  <c r="D495" i="12"/>
  <c r="E495" i="12"/>
  <c r="F495" i="12"/>
  <c r="G495" i="12"/>
  <c r="H495" i="12"/>
  <c r="I495" i="12"/>
  <c r="J495" i="12"/>
  <c r="K495" i="12"/>
  <c r="L495" i="12"/>
  <c r="M495" i="12"/>
  <c r="N495" i="12"/>
  <c r="O495" i="12"/>
  <c r="P495" i="12"/>
  <c r="R495" i="12"/>
  <c r="D496" i="12"/>
  <c r="E496" i="12"/>
  <c r="F496" i="12"/>
  <c r="G496" i="12"/>
  <c r="H496" i="12"/>
  <c r="I496" i="12"/>
  <c r="J496" i="12"/>
  <c r="K496" i="12"/>
  <c r="L496" i="12"/>
  <c r="M496" i="12"/>
  <c r="N496" i="12"/>
  <c r="O496" i="12"/>
  <c r="P496" i="12"/>
  <c r="R496" i="12"/>
  <c r="D497" i="12"/>
  <c r="E497" i="12"/>
  <c r="F497" i="12"/>
  <c r="G497" i="12"/>
  <c r="H497" i="12"/>
  <c r="I497" i="12"/>
  <c r="J497" i="12"/>
  <c r="K497" i="12"/>
  <c r="L497" i="12"/>
  <c r="M497" i="12"/>
  <c r="N497" i="12"/>
  <c r="O497" i="12"/>
  <c r="P497" i="12"/>
  <c r="R497" i="12"/>
  <c r="D498" i="12"/>
  <c r="E498" i="12"/>
  <c r="F498" i="12"/>
  <c r="G498" i="12"/>
  <c r="H498" i="12"/>
  <c r="I498" i="12"/>
  <c r="J498" i="12"/>
  <c r="K498" i="12"/>
  <c r="L498" i="12"/>
  <c r="M498" i="12"/>
  <c r="N498" i="12"/>
  <c r="O498" i="12"/>
  <c r="P498" i="12"/>
  <c r="R498" i="12"/>
  <c r="D499" i="12"/>
  <c r="E499" i="12"/>
  <c r="F499" i="12"/>
  <c r="G499" i="12"/>
  <c r="H499" i="12"/>
  <c r="I499" i="12"/>
  <c r="J499" i="12"/>
  <c r="K499" i="12"/>
  <c r="L499" i="12"/>
  <c r="M499" i="12"/>
  <c r="N499" i="12"/>
  <c r="O499" i="12"/>
  <c r="P499" i="12"/>
  <c r="R499" i="12"/>
  <c r="D500" i="12"/>
  <c r="E500" i="12"/>
  <c r="F500" i="12"/>
  <c r="G500" i="12"/>
  <c r="H500" i="12"/>
  <c r="I500" i="12"/>
  <c r="J500" i="12"/>
  <c r="K500" i="12"/>
  <c r="L500" i="12"/>
  <c r="M500" i="12"/>
  <c r="N500" i="12"/>
  <c r="O500" i="12"/>
  <c r="P500" i="12"/>
  <c r="R500" i="12"/>
  <c r="R113" i="12"/>
  <c r="E113" i="12"/>
  <c r="F113" i="12"/>
  <c r="G113" i="12"/>
  <c r="H113" i="12"/>
  <c r="I113" i="12"/>
  <c r="J113" i="12"/>
  <c r="K113" i="12"/>
  <c r="M113" i="12"/>
  <c r="P113" i="12"/>
  <c r="D113" i="12"/>
  <c r="R39" i="12"/>
  <c r="R82" i="12"/>
  <c r="R16" i="12"/>
  <c r="R57" i="12"/>
  <c r="R26" i="12"/>
  <c r="R20" i="12"/>
  <c r="R10" i="12"/>
  <c r="R33" i="12"/>
  <c r="R102" i="12"/>
  <c r="R71" i="12"/>
  <c r="R61" i="12"/>
  <c r="R123" i="12"/>
  <c r="R85" i="12"/>
  <c r="R35" i="12"/>
  <c r="R50" i="12"/>
  <c r="R21" i="12"/>
  <c r="R23" i="12"/>
  <c r="R84" i="12"/>
  <c r="R132" i="12"/>
  <c r="R81" i="12"/>
  <c r="R37" i="12"/>
  <c r="R48" i="12"/>
  <c r="R146" i="12"/>
  <c r="R150" i="12"/>
  <c r="R139" i="12"/>
  <c r="R142" i="12"/>
  <c r="R103" i="12"/>
  <c r="R69" i="12"/>
  <c r="R127" i="12"/>
  <c r="R52" i="12"/>
  <c r="R105" i="12"/>
  <c r="R24" i="12"/>
  <c r="R107" i="12"/>
  <c r="R51" i="12"/>
  <c r="R140" i="12"/>
  <c r="R114" i="12"/>
  <c r="R119" i="12"/>
  <c r="R89" i="12"/>
  <c r="R63" i="12"/>
  <c r="R30" i="12"/>
  <c r="R15" i="12"/>
  <c r="R135" i="12"/>
  <c r="R149" i="12"/>
  <c r="R156" i="12"/>
  <c r="R158" i="12"/>
  <c r="R160" i="12"/>
  <c r="R162" i="12"/>
  <c r="R164" i="12"/>
  <c r="R166" i="12"/>
  <c r="R168" i="12"/>
  <c r="R170" i="12"/>
  <c r="R172" i="12"/>
  <c r="R174" i="12"/>
  <c r="R176" i="12"/>
  <c r="R178" i="12"/>
  <c r="R180" i="12"/>
  <c r="R182" i="12"/>
  <c r="R184" i="12"/>
  <c r="R186" i="12"/>
  <c r="R122" i="12"/>
  <c r="R40" i="12"/>
  <c r="R94" i="12"/>
  <c r="R60" i="12"/>
  <c r="R153" i="12"/>
  <c r="R126" i="12"/>
  <c r="R188" i="12"/>
  <c r="R190" i="12"/>
  <c r="R192" i="12"/>
  <c r="R194" i="12"/>
  <c r="R196" i="12"/>
  <c r="R198" i="12"/>
  <c r="R120" i="12"/>
  <c r="R98" i="12"/>
  <c r="R91" i="12"/>
  <c r="R92" i="12"/>
  <c r="R41" i="12"/>
  <c r="R43" i="12"/>
  <c r="R138" i="12"/>
  <c r="R145" i="12"/>
  <c r="R109" i="12"/>
  <c r="R116" i="12"/>
  <c r="R29" i="12"/>
  <c r="R154" i="12"/>
  <c r="R144" i="12"/>
  <c r="R8" i="12"/>
  <c r="R36" i="12"/>
  <c r="R49" i="12"/>
  <c r="R12" i="12"/>
  <c r="R134" i="12"/>
  <c r="R79" i="12"/>
  <c r="R112" i="12"/>
  <c r="R11" i="12"/>
  <c r="R130" i="12"/>
  <c r="R108" i="12"/>
  <c r="R131" i="12"/>
  <c r="R72" i="12"/>
  <c r="R87" i="12"/>
  <c r="R104" i="12"/>
  <c r="R129" i="12"/>
  <c r="R7" i="12"/>
  <c r="R68" i="12"/>
  <c r="R54" i="12"/>
  <c r="R66" i="12"/>
  <c r="R28" i="12"/>
  <c r="R56" i="12"/>
  <c r="R137" i="12"/>
  <c r="R9" i="12"/>
  <c r="R88" i="12"/>
  <c r="R100" i="12"/>
  <c r="R83" i="12"/>
  <c r="R31" i="12"/>
  <c r="R13" i="12"/>
  <c r="R148" i="12"/>
  <c r="R58" i="12"/>
  <c r="R141" i="12"/>
  <c r="R143" i="12"/>
  <c r="R93" i="12"/>
  <c r="R77" i="12"/>
  <c r="R106" i="12"/>
  <c r="R53" i="12"/>
  <c r="R78" i="12"/>
  <c r="R75" i="12"/>
  <c r="R62" i="12"/>
  <c r="R18" i="12"/>
  <c r="R97" i="12"/>
  <c r="R55" i="12"/>
  <c r="R99" i="12"/>
  <c r="R111" i="12"/>
  <c r="R65" i="12"/>
  <c r="R45" i="12"/>
  <c r="R133" i="12"/>
  <c r="R147" i="12"/>
  <c r="R151" i="12"/>
  <c r="R157" i="12"/>
  <c r="R159" i="12"/>
  <c r="R161" i="12"/>
  <c r="R163" i="12"/>
  <c r="R165" i="12"/>
  <c r="R167" i="12"/>
  <c r="R169" i="12"/>
  <c r="R171" i="12"/>
  <c r="R173" i="12"/>
  <c r="R175" i="12"/>
  <c r="R177" i="12"/>
  <c r="R179" i="12"/>
  <c r="R181" i="12"/>
  <c r="R183" i="12"/>
  <c r="R185" i="12"/>
  <c r="R128" i="12"/>
  <c r="R59" i="12"/>
  <c r="R110" i="12"/>
  <c r="R44" i="12"/>
  <c r="R17" i="12"/>
  <c r="R118" i="12"/>
  <c r="R187" i="12"/>
  <c r="R189" i="12"/>
  <c r="R191" i="12"/>
  <c r="R193" i="12"/>
  <c r="R195" i="12"/>
  <c r="R197" i="12"/>
  <c r="R121" i="12"/>
  <c r="R101" i="12"/>
  <c r="R19" i="12"/>
  <c r="R38" i="12"/>
  <c r="R115" i="12"/>
  <c r="R90" i="12"/>
  <c r="R86" i="12"/>
  <c r="R95" i="12"/>
  <c r="R47" i="12"/>
  <c r="R117" i="12"/>
  <c r="R67" i="12"/>
  <c r="R64" i="12"/>
  <c r="R76" i="12"/>
  <c r="R70" i="12"/>
  <c r="R80" i="12"/>
  <c r="R124" i="12"/>
  <c r="R46" i="12"/>
  <c r="R152" i="12"/>
  <c r="R27" i="12"/>
  <c r="R22" i="12"/>
  <c r="R14" i="12"/>
  <c r="R155" i="12"/>
  <c r="R136" i="12"/>
  <c r="R125" i="12"/>
  <c r="R6" i="12"/>
  <c r="R96" i="12"/>
  <c r="R25" i="12"/>
  <c r="R32" i="12"/>
  <c r="R74" i="12"/>
  <c r="R34" i="12"/>
  <c r="R42" i="12"/>
  <c r="R73" i="12"/>
  <c r="D125" i="12"/>
  <c r="E125" i="12"/>
  <c r="F125" i="12"/>
  <c r="G125" i="12"/>
  <c r="H125" i="12"/>
  <c r="I125" i="12"/>
  <c r="J125" i="12"/>
  <c r="K125" i="12"/>
  <c r="M125" i="12"/>
  <c r="P125" i="12"/>
  <c r="D6" i="12"/>
  <c r="E6" i="12"/>
  <c r="F6" i="12"/>
  <c r="G6" i="12"/>
  <c r="H6" i="12"/>
  <c r="I6" i="12"/>
  <c r="J6" i="12"/>
  <c r="K6" i="12"/>
  <c r="M6" i="12"/>
  <c r="P6" i="12"/>
  <c r="D96" i="12"/>
  <c r="E96" i="12"/>
  <c r="F96" i="12"/>
  <c r="G96" i="12"/>
  <c r="H96" i="12"/>
  <c r="I96" i="12"/>
  <c r="J96" i="12"/>
  <c r="K96" i="12"/>
  <c r="M96" i="12"/>
  <c r="P96" i="12"/>
  <c r="D25" i="12"/>
  <c r="E25" i="12"/>
  <c r="F25" i="12"/>
  <c r="G25" i="12"/>
  <c r="H25" i="12"/>
  <c r="I25" i="12"/>
  <c r="J25" i="12"/>
  <c r="K25" i="12"/>
  <c r="M25" i="12"/>
  <c r="P25" i="12"/>
  <c r="D32" i="12"/>
  <c r="E32" i="12"/>
  <c r="F32" i="12"/>
  <c r="G32" i="12"/>
  <c r="H32" i="12"/>
  <c r="I32" i="12"/>
  <c r="J32" i="12"/>
  <c r="K32" i="12"/>
  <c r="M32" i="12"/>
  <c r="P32" i="12"/>
  <c r="D74" i="12"/>
  <c r="E74" i="12"/>
  <c r="F74" i="12"/>
  <c r="G74" i="12"/>
  <c r="H74" i="12"/>
  <c r="I74" i="12"/>
  <c r="J74" i="12"/>
  <c r="K74" i="12"/>
  <c r="L74" i="12"/>
  <c r="M74" i="12"/>
  <c r="P74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D42" i="12"/>
  <c r="E42" i="12"/>
  <c r="F42" i="12"/>
  <c r="G42" i="12"/>
  <c r="H42" i="12"/>
  <c r="I42" i="12"/>
  <c r="J42" i="12"/>
  <c r="K42" i="12"/>
  <c r="M42" i="12"/>
  <c r="P42" i="12"/>
  <c r="D39" i="12"/>
  <c r="E39" i="12"/>
  <c r="F39" i="12"/>
  <c r="G39" i="12"/>
  <c r="H39" i="12"/>
  <c r="I39" i="12"/>
  <c r="J39" i="12"/>
  <c r="K39" i="12"/>
  <c r="M39" i="12"/>
  <c r="P39" i="12"/>
  <c r="D82" i="12"/>
  <c r="E82" i="12"/>
  <c r="F82" i="12"/>
  <c r="G82" i="12"/>
  <c r="H82" i="12"/>
  <c r="I82" i="12"/>
  <c r="J82" i="12"/>
  <c r="K82" i="12"/>
  <c r="M82" i="12"/>
  <c r="P82" i="12"/>
  <c r="D16" i="12"/>
  <c r="E16" i="12"/>
  <c r="F16" i="12"/>
  <c r="G16" i="12"/>
  <c r="H16" i="12"/>
  <c r="I16" i="12"/>
  <c r="J16" i="12"/>
  <c r="K16" i="12"/>
  <c r="M16" i="12"/>
  <c r="P16" i="12"/>
  <c r="D57" i="12"/>
  <c r="E57" i="12"/>
  <c r="F57" i="12"/>
  <c r="G57" i="12"/>
  <c r="H57" i="12"/>
  <c r="I57" i="12"/>
  <c r="J57" i="12"/>
  <c r="K57" i="12"/>
  <c r="M57" i="12"/>
  <c r="P57" i="12"/>
  <c r="D26" i="12"/>
  <c r="E26" i="12"/>
  <c r="F26" i="12"/>
  <c r="G26" i="12"/>
  <c r="H26" i="12"/>
  <c r="I26" i="12"/>
  <c r="J26" i="12"/>
  <c r="K26" i="12"/>
  <c r="M26" i="12"/>
  <c r="P26" i="12"/>
  <c r="D20" i="12"/>
  <c r="E20" i="12"/>
  <c r="F20" i="12"/>
  <c r="G20" i="12"/>
  <c r="H20" i="12"/>
  <c r="I20" i="12"/>
  <c r="J20" i="12"/>
  <c r="K20" i="12"/>
  <c r="M20" i="12"/>
  <c r="P20" i="12"/>
  <c r="D10" i="12"/>
  <c r="E10" i="12"/>
  <c r="F10" i="12"/>
  <c r="G10" i="12"/>
  <c r="H10" i="12"/>
  <c r="I10" i="12"/>
  <c r="J10" i="12"/>
  <c r="K10" i="12"/>
  <c r="M10" i="12"/>
  <c r="P10" i="12"/>
  <c r="D33" i="12"/>
  <c r="E33" i="12"/>
  <c r="F33" i="12"/>
  <c r="G33" i="12"/>
  <c r="H33" i="12"/>
  <c r="I33" i="12"/>
  <c r="J33" i="12"/>
  <c r="K33" i="12"/>
  <c r="M33" i="12"/>
  <c r="P33" i="12"/>
  <c r="D102" i="12"/>
  <c r="E102" i="12"/>
  <c r="F102" i="12"/>
  <c r="G102" i="12"/>
  <c r="H102" i="12"/>
  <c r="I102" i="12"/>
  <c r="J102" i="12"/>
  <c r="K102" i="12"/>
  <c r="M102" i="12"/>
  <c r="P102" i="12"/>
  <c r="D71" i="12"/>
  <c r="E71" i="12"/>
  <c r="F71" i="12"/>
  <c r="G71" i="12"/>
  <c r="H71" i="12"/>
  <c r="I71" i="12"/>
  <c r="J71" i="12"/>
  <c r="K71" i="12"/>
  <c r="M71" i="12"/>
  <c r="P71" i="12"/>
  <c r="D61" i="12"/>
  <c r="E61" i="12"/>
  <c r="F61" i="12"/>
  <c r="G61" i="12"/>
  <c r="H61" i="12"/>
  <c r="I61" i="12"/>
  <c r="J61" i="12"/>
  <c r="K61" i="12"/>
  <c r="M61" i="12"/>
  <c r="P61" i="12"/>
  <c r="D123" i="12"/>
  <c r="E123" i="12"/>
  <c r="F123" i="12"/>
  <c r="G123" i="12"/>
  <c r="H123" i="12"/>
  <c r="I123" i="12"/>
  <c r="J123" i="12"/>
  <c r="K123" i="12"/>
  <c r="M123" i="12"/>
  <c r="P123" i="12"/>
  <c r="D85" i="12"/>
  <c r="E85" i="12"/>
  <c r="F85" i="12"/>
  <c r="G85" i="12"/>
  <c r="H85" i="12"/>
  <c r="I85" i="12"/>
  <c r="J85" i="12"/>
  <c r="K85" i="12"/>
  <c r="L85" i="12"/>
  <c r="M85" i="12"/>
  <c r="N85" i="12"/>
  <c r="O85" i="12"/>
  <c r="P85" i="12"/>
  <c r="D35" i="12"/>
  <c r="E35" i="12"/>
  <c r="F35" i="12"/>
  <c r="G35" i="12"/>
  <c r="H35" i="12"/>
  <c r="I35" i="12"/>
  <c r="J35" i="12"/>
  <c r="K35" i="12"/>
  <c r="M35" i="12"/>
  <c r="P35" i="12"/>
  <c r="D50" i="12"/>
  <c r="E50" i="12"/>
  <c r="F50" i="12"/>
  <c r="G50" i="12"/>
  <c r="H50" i="12"/>
  <c r="I50" i="12"/>
  <c r="J50" i="12"/>
  <c r="K50" i="12"/>
  <c r="M50" i="12"/>
  <c r="P50" i="12"/>
  <c r="D21" i="12"/>
  <c r="E21" i="12"/>
  <c r="F21" i="12"/>
  <c r="G21" i="12"/>
  <c r="H21" i="12"/>
  <c r="I21" i="12"/>
  <c r="J21" i="12"/>
  <c r="K21" i="12"/>
  <c r="M21" i="12"/>
  <c r="P21" i="12"/>
  <c r="D23" i="12"/>
  <c r="E23" i="12"/>
  <c r="F23" i="12"/>
  <c r="G23" i="12"/>
  <c r="H23" i="12"/>
  <c r="I23" i="12"/>
  <c r="J23" i="12"/>
  <c r="K23" i="12"/>
  <c r="M23" i="12"/>
  <c r="P23" i="12"/>
  <c r="D84" i="12"/>
  <c r="E84" i="12"/>
  <c r="F84" i="12"/>
  <c r="G84" i="12"/>
  <c r="H84" i="12"/>
  <c r="I84" i="12"/>
  <c r="J84" i="12"/>
  <c r="K84" i="12"/>
  <c r="L84" i="12"/>
  <c r="M84" i="12"/>
  <c r="P84" i="12"/>
  <c r="D132" i="12"/>
  <c r="E132" i="12"/>
  <c r="F132" i="12"/>
  <c r="G132" i="12"/>
  <c r="H132" i="12"/>
  <c r="I132" i="12"/>
  <c r="J132" i="12"/>
  <c r="K132" i="12"/>
  <c r="M132" i="12"/>
  <c r="P132" i="12"/>
  <c r="D81" i="12"/>
  <c r="E81" i="12"/>
  <c r="F81" i="12"/>
  <c r="G81" i="12"/>
  <c r="H81" i="12"/>
  <c r="I81" i="12"/>
  <c r="J81" i="12"/>
  <c r="K81" i="12"/>
  <c r="L81" i="12"/>
  <c r="M81" i="12"/>
  <c r="N81" i="12"/>
  <c r="O81" i="12"/>
  <c r="P81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D48" i="12"/>
  <c r="E48" i="12"/>
  <c r="F48" i="12"/>
  <c r="G48" i="12"/>
  <c r="H48" i="12"/>
  <c r="I48" i="12"/>
  <c r="J48" i="12"/>
  <c r="K48" i="12"/>
  <c r="M48" i="12"/>
  <c r="P48" i="12"/>
  <c r="D146" i="12"/>
  <c r="E146" i="12"/>
  <c r="F146" i="12"/>
  <c r="G146" i="12"/>
  <c r="H146" i="12"/>
  <c r="I146" i="12"/>
  <c r="J146" i="12"/>
  <c r="K146" i="12"/>
  <c r="M146" i="12"/>
  <c r="P146" i="12"/>
  <c r="D150" i="12"/>
  <c r="E150" i="12"/>
  <c r="F150" i="12"/>
  <c r="G150" i="12"/>
  <c r="H150" i="12"/>
  <c r="I150" i="12"/>
  <c r="J150" i="12"/>
  <c r="K150" i="12"/>
  <c r="M150" i="12"/>
  <c r="P150" i="12"/>
  <c r="D139" i="12"/>
  <c r="E139" i="12"/>
  <c r="F139" i="12"/>
  <c r="G139" i="12"/>
  <c r="H139" i="12"/>
  <c r="I139" i="12"/>
  <c r="J139" i="12"/>
  <c r="K139" i="12"/>
  <c r="M139" i="12"/>
  <c r="P139" i="12"/>
  <c r="D142" i="12"/>
  <c r="E142" i="12"/>
  <c r="F142" i="12"/>
  <c r="G142" i="12"/>
  <c r="H142" i="12"/>
  <c r="I142" i="12"/>
  <c r="J142" i="12"/>
  <c r="K142" i="12"/>
  <c r="M142" i="12"/>
  <c r="P142" i="12"/>
  <c r="D103" i="12"/>
  <c r="E103" i="12"/>
  <c r="F103" i="12"/>
  <c r="G103" i="12"/>
  <c r="H103" i="12"/>
  <c r="I103" i="12"/>
  <c r="J103" i="12"/>
  <c r="K103" i="12"/>
  <c r="L103" i="12"/>
  <c r="M103" i="12"/>
  <c r="P103" i="12"/>
  <c r="D69" i="12"/>
  <c r="E69" i="12"/>
  <c r="F69" i="12"/>
  <c r="G69" i="12"/>
  <c r="H69" i="12"/>
  <c r="I69" i="12"/>
  <c r="J69" i="12"/>
  <c r="K69" i="12"/>
  <c r="M69" i="12"/>
  <c r="P69" i="12"/>
  <c r="D127" i="12"/>
  <c r="E127" i="12"/>
  <c r="F127" i="12"/>
  <c r="G127" i="12"/>
  <c r="H127" i="12"/>
  <c r="I127" i="12"/>
  <c r="J127" i="12"/>
  <c r="K127" i="12"/>
  <c r="M127" i="12"/>
  <c r="P127" i="12"/>
  <c r="D52" i="12"/>
  <c r="E52" i="12"/>
  <c r="F52" i="12"/>
  <c r="G52" i="12"/>
  <c r="H52" i="12"/>
  <c r="I52" i="12"/>
  <c r="J52" i="12"/>
  <c r="K52" i="12"/>
  <c r="M52" i="12"/>
  <c r="P52" i="12"/>
  <c r="D105" i="12"/>
  <c r="E105" i="12"/>
  <c r="F105" i="12"/>
  <c r="G105" i="12"/>
  <c r="H105" i="12"/>
  <c r="I105" i="12"/>
  <c r="J105" i="12"/>
  <c r="K105" i="12"/>
  <c r="M105" i="12"/>
  <c r="P105" i="12"/>
  <c r="D24" i="12"/>
  <c r="E24" i="12"/>
  <c r="F24" i="12"/>
  <c r="G24" i="12"/>
  <c r="H24" i="12"/>
  <c r="I24" i="12"/>
  <c r="J24" i="12"/>
  <c r="K24" i="12"/>
  <c r="M24" i="12"/>
  <c r="P24" i="12"/>
  <c r="D107" i="12"/>
  <c r="E107" i="12"/>
  <c r="F107" i="12"/>
  <c r="G107" i="12"/>
  <c r="H107" i="12"/>
  <c r="I107" i="12"/>
  <c r="J107" i="12"/>
  <c r="K107" i="12"/>
  <c r="L107" i="12"/>
  <c r="M107" i="12"/>
  <c r="P107" i="12"/>
  <c r="D51" i="12"/>
  <c r="E51" i="12"/>
  <c r="F51" i="12"/>
  <c r="G51" i="12"/>
  <c r="H51" i="12"/>
  <c r="I51" i="12"/>
  <c r="J51" i="12"/>
  <c r="K51" i="12"/>
  <c r="M51" i="12"/>
  <c r="P51" i="12"/>
  <c r="D140" i="12"/>
  <c r="E140" i="12"/>
  <c r="F140" i="12"/>
  <c r="G140" i="12"/>
  <c r="H140" i="12"/>
  <c r="I140" i="12"/>
  <c r="J140" i="12"/>
  <c r="K140" i="12"/>
  <c r="M140" i="12"/>
  <c r="P140" i="12"/>
  <c r="D114" i="12"/>
  <c r="E114" i="12"/>
  <c r="F114" i="12"/>
  <c r="G114" i="12"/>
  <c r="H114" i="12"/>
  <c r="I114" i="12"/>
  <c r="J114" i="12"/>
  <c r="K114" i="12"/>
  <c r="M114" i="12"/>
  <c r="P114" i="12"/>
  <c r="D119" i="12"/>
  <c r="E119" i="12"/>
  <c r="F119" i="12"/>
  <c r="G119" i="12"/>
  <c r="H119" i="12"/>
  <c r="I119" i="12"/>
  <c r="J119" i="12"/>
  <c r="K119" i="12"/>
  <c r="M119" i="12"/>
  <c r="P119" i="12"/>
  <c r="D89" i="12"/>
  <c r="E89" i="12"/>
  <c r="F89" i="12"/>
  <c r="G89" i="12"/>
  <c r="H89" i="12"/>
  <c r="I89" i="12"/>
  <c r="J89" i="12"/>
  <c r="K89" i="12"/>
  <c r="M89" i="12"/>
  <c r="P89" i="12"/>
  <c r="D63" i="12"/>
  <c r="E63" i="12"/>
  <c r="F63" i="12"/>
  <c r="G63" i="12"/>
  <c r="H63" i="12"/>
  <c r="I63" i="12"/>
  <c r="J63" i="12"/>
  <c r="K63" i="12"/>
  <c r="M63" i="12"/>
  <c r="P63" i="12"/>
  <c r="D30" i="12"/>
  <c r="E30" i="12"/>
  <c r="F30" i="12"/>
  <c r="G30" i="12"/>
  <c r="H30" i="12"/>
  <c r="I30" i="12"/>
  <c r="J30" i="12"/>
  <c r="K30" i="12"/>
  <c r="M30" i="12"/>
  <c r="P30" i="12"/>
  <c r="D15" i="12"/>
  <c r="E15" i="12"/>
  <c r="F15" i="12"/>
  <c r="G15" i="12"/>
  <c r="H15" i="12"/>
  <c r="I15" i="12"/>
  <c r="J15" i="12"/>
  <c r="K15" i="12"/>
  <c r="M15" i="12"/>
  <c r="P15" i="12"/>
  <c r="D135" i="12"/>
  <c r="E135" i="12"/>
  <c r="F135" i="12"/>
  <c r="G135" i="12"/>
  <c r="H135" i="12"/>
  <c r="I135" i="12"/>
  <c r="J135" i="12"/>
  <c r="K135" i="12"/>
  <c r="M135" i="12"/>
  <c r="P135" i="12"/>
  <c r="D149" i="12"/>
  <c r="E149" i="12"/>
  <c r="F149" i="12"/>
  <c r="G149" i="12"/>
  <c r="H149" i="12"/>
  <c r="I149" i="12"/>
  <c r="J149" i="12"/>
  <c r="K149" i="12"/>
  <c r="M149" i="12"/>
  <c r="P149" i="12"/>
  <c r="D156" i="12"/>
  <c r="E156" i="12"/>
  <c r="F156" i="12"/>
  <c r="G156" i="12"/>
  <c r="H156" i="12"/>
  <c r="I156" i="12"/>
  <c r="J156" i="12"/>
  <c r="K156" i="12"/>
  <c r="M156" i="12"/>
  <c r="P156" i="12"/>
  <c r="D158" i="12"/>
  <c r="E158" i="12"/>
  <c r="F158" i="12"/>
  <c r="G158" i="12"/>
  <c r="H158" i="12"/>
  <c r="I158" i="12"/>
  <c r="J158" i="12"/>
  <c r="K158" i="12"/>
  <c r="M158" i="12"/>
  <c r="P158" i="12"/>
  <c r="D160" i="12"/>
  <c r="E160" i="12"/>
  <c r="F160" i="12"/>
  <c r="G160" i="12"/>
  <c r="H160" i="12"/>
  <c r="I160" i="12"/>
  <c r="J160" i="12"/>
  <c r="K160" i="12"/>
  <c r="M160" i="12"/>
  <c r="P160" i="12"/>
  <c r="D162" i="12"/>
  <c r="E162" i="12"/>
  <c r="F162" i="12"/>
  <c r="G162" i="12"/>
  <c r="H162" i="12"/>
  <c r="I162" i="12"/>
  <c r="J162" i="12"/>
  <c r="K162" i="12"/>
  <c r="M162" i="12"/>
  <c r="P162" i="12"/>
  <c r="D164" i="12"/>
  <c r="E164" i="12"/>
  <c r="F164" i="12"/>
  <c r="G164" i="12"/>
  <c r="H164" i="12"/>
  <c r="I164" i="12"/>
  <c r="J164" i="12"/>
  <c r="K164" i="12"/>
  <c r="M164" i="12"/>
  <c r="P164" i="12"/>
  <c r="D166" i="12"/>
  <c r="E166" i="12"/>
  <c r="F166" i="12"/>
  <c r="G166" i="12"/>
  <c r="H166" i="12"/>
  <c r="I166" i="12"/>
  <c r="J166" i="12"/>
  <c r="K166" i="12"/>
  <c r="M166" i="12"/>
  <c r="P166" i="12"/>
  <c r="D168" i="12"/>
  <c r="E168" i="12"/>
  <c r="F168" i="12"/>
  <c r="G168" i="12"/>
  <c r="H168" i="12"/>
  <c r="I168" i="12"/>
  <c r="J168" i="12"/>
  <c r="K168" i="12"/>
  <c r="M168" i="12"/>
  <c r="P168" i="12"/>
  <c r="D170" i="12"/>
  <c r="E170" i="12"/>
  <c r="F170" i="12"/>
  <c r="G170" i="12"/>
  <c r="H170" i="12"/>
  <c r="I170" i="12"/>
  <c r="J170" i="12"/>
  <c r="K170" i="12"/>
  <c r="M170" i="12"/>
  <c r="P170" i="12"/>
  <c r="D172" i="12"/>
  <c r="E172" i="12"/>
  <c r="F172" i="12"/>
  <c r="G172" i="12"/>
  <c r="H172" i="12"/>
  <c r="I172" i="12"/>
  <c r="J172" i="12"/>
  <c r="K172" i="12"/>
  <c r="M172" i="12"/>
  <c r="P172" i="12"/>
  <c r="D174" i="12"/>
  <c r="E174" i="12"/>
  <c r="F174" i="12"/>
  <c r="G174" i="12"/>
  <c r="H174" i="12"/>
  <c r="I174" i="12"/>
  <c r="J174" i="12"/>
  <c r="K174" i="12"/>
  <c r="M174" i="12"/>
  <c r="P174" i="12"/>
  <c r="D176" i="12"/>
  <c r="E176" i="12"/>
  <c r="F176" i="12"/>
  <c r="G176" i="12"/>
  <c r="H176" i="12"/>
  <c r="I176" i="12"/>
  <c r="J176" i="12"/>
  <c r="K176" i="12"/>
  <c r="M176" i="12"/>
  <c r="P176" i="12"/>
  <c r="D178" i="12"/>
  <c r="E178" i="12"/>
  <c r="F178" i="12"/>
  <c r="G178" i="12"/>
  <c r="H178" i="12"/>
  <c r="I178" i="12"/>
  <c r="J178" i="12"/>
  <c r="K178" i="12"/>
  <c r="M178" i="12"/>
  <c r="P178" i="12"/>
  <c r="D180" i="12"/>
  <c r="E180" i="12"/>
  <c r="F180" i="12"/>
  <c r="G180" i="12"/>
  <c r="H180" i="12"/>
  <c r="I180" i="12"/>
  <c r="J180" i="12"/>
  <c r="K180" i="12"/>
  <c r="M180" i="12"/>
  <c r="P180" i="12"/>
  <c r="D182" i="12"/>
  <c r="E182" i="12"/>
  <c r="F182" i="12"/>
  <c r="G182" i="12"/>
  <c r="H182" i="12"/>
  <c r="I182" i="12"/>
  <c r="J182" i="12"/>
  <c r="K182" i="12"/>
  <c r="M182" i="12"/>
  <c r="P182" i="12"/>
  <c r="D184" i="12"/>
  <c r="E184" i="12"/>
  <c r="F184" i="12"/>
  <c r="G184" i="12"/>
  <c r="H184" i="12"/>
  <c r="I184" i="12"/>
  <c r="J184" i="12"/>
  <c r="K184" i="12"/>
  <c r="M184" i="12"/>
  <c r="P184" i="12"/>
  <c r="D186" i="12"/>
  <c r="E186" i="12"/>
  <c r="F186" i="12"/>
  <c r="G186" i="12"/>
  <c r="H186" i="12"/>
  <c r="I186" i="12"/>
  <c r="J186" i="12"/>
  <c r="K186" i="12"/>
  <c r="L186" i="12"/>
  <c r="M186" i="12"/>
  <c r="N186" i="12"/>
  <c r="O186" i="12"/>
  <c r="P186" i="12"/>
  <c r="D122" i="12"/>
  <c r="E122" i="12"/>
  <c r="F122" i="12"/>
  <c r="G122" i="12"/>
  <c r="H122" i="12"/>
  <c r="I122" i="12"/>
  <c r="J122" i="12"/>
  <c r="K122" i="12"/>
  <c r="M122" i="12"/>
  <c r="P122" i="12"/>
  <c r="D40" i="12"/>
  <c r="E40" i="12"/>
  <c r="F40" i="12"/>
  <c r="G40" i="12"/>
  <c r="H40" i="12"/>
  <c r="I40" i="12"/>
  <c r="J40" i="12"/>
  <c r="K40" i="12"/>
  <c r="M40" i="12"/>
  <c r="P40" i="12"/>
  <c r="D94" i="12"/>
  <c r="E94" i="12"/>
  <c r="F94" i="12"/>
  <c r="G94" i="12"/>
  <c r="H94" i="12"/>
  <c r="I94" i="12"/>
  <c r="J94" i="12"/>
  <c r="K94" i="12"/>
  <c r="M94" i="12"/>
  <c r="P94" i="12"/>
  <c r="D60" i="12"/>
  <c r="E60" i="12"/>
  <c r="F60" i="12"/>
  <c r="G60" i="12"/>
  <c r="H60" i="12"/>
  <c r="I60" i="12"/>
  <c r="J60" i="12"/>
  <c r="K60" i="12"/>
  <c r="M60" i="12"/>
  <c r="P60" i="12"/>
  <c r="D153" i="12"/>
  <c r="E153" i="12"/>
  <c r="F153" i="12"/>
  <c r="G153" i="12"/>
  <c r="H153" i="12"/>
  <c r="I153" i="12"/>
  <c r="J153" i="12"/>
  <c r="K153" i="12"/>
  <c r="M153" i="12"/>
  <c r="P153" i="12"/>
  <c r="D126" i="12"/>
  <c r="E126" i="12"/>
  <c r="F126" i="12"/>
  <c r="G126" i="12"/>
  <c r="H126" i="12"/>
  <c r="I126" i="12"/>
  <c r="J126" i="12"/>
  <c r="K126" i="12"/>
  <c r="M126" i="12"/>
  <c r="P126" i="12"/>
  <c r="D188" i="12"/>
  <c r="E188" i="12"/>
  <c r="F188" i="12"/>
  <c r="G188" i="12"/>
  <c r="H188" i="12"/>
  <c r="I188" i="12"/>
  <c r="J188" i="12"/>
  <c r="K188" i="12"/>
  <c r="M188" i="12"/>
  <c r="P188" i="12"/>
  <c r="D190" i="12"/>
  <c r="E190" i="12"/>
  <c r="F190" i="12"/>
  <c r="G190" i="12"/>
  <c r="H190" i="12"/>
  <c r="I190" i="12"/>
  <c r="J190" i="12"/>
  <c r="K190" i="12"/>
  <c r="M190" i="12"/>
  <c r="P190" i="12"/>
  <c r="D192" i="12"/>
  <c r="E192" i="12"/>
  <c r="F192" i="12"/>
  <c r="G192" i="12"/>
  <c r="H192" i="12"/>
  <c r="I192" i="12"/>
  <c r="J192" i="12"/>
  <c r="K192" i="12"/>
  <c r="M192" i="12"/>
  <c r="P192" i="12"/>
  <c r="D194" i="12"/>
  <c r="E194" i="12"/>
  <c r="F194" i="12"/>
  <c r="G194" i="12"/>
  <c r="H194" i="12"/>
  <c r="I194" i="12"/>
  <c r="J194" i="12"/>
  <c r="K194" i="12"/>
  <c r="M194" i="12"/>
  <c r="P194" i="12"/>
  <c r="D196" i="12"/>
  <c r="E196" i="12"/>
  <c r="F196" i="12"/>
  <c r="G196" i="12"/>
  <c r="H196" i="12"/>
  <c r="I196" i="12"/>
  <c r="J196" i="12"/>
  <c r="K196" i="12"/>
  <c r="M196" i="12"/>
  <c r="P196" i="12"/>
  <c r="D198" i="12"/>
  <c r="E198" i="12"/>
  <c r="F198" i="12"/>
  <c r="G198" i="12"/>
  <c r="H198" i="12"/>
  <c r="I198" i="12"/>
  <c r="J198" i="12"/>
  <c r="K198" i="12"/>
  <c r="M198" i="12"/>
  <c r="P198" i="12"/>
  <c r="D120" i="12"/>
  <c r="E120" i="12"/>
  <c r="F120" i="12"/>
  <c r="G120" i="12"/>
  <c r="H120" i="12"/>
  <c r="I120" i="12"/>
  <c r="J120" i="12"/>
  <c r="K120" i="12"/>
  <c r="M120" i="12"/>
  <c r="P120" i="12"/>
  <c r="D98" i="12"/>
  <c r="E98" i="12"/>
  <c r="F98" i="12"/>
  <c r="G98" i="12"/>
  <c r="H98" i="12"/>
  <c r="I98" i="12"/>
  <c r="J98" i="12"/>
  <c r="K98" i="12"/>
  <c r="M98" i="12"/>
  <c r="P98" i="12"/>
  <c r="D91" i="12"/>
  <c r="E91" i="12"/>
  <c r="F91" i="12"/>
  <c r="G91" i="12"/>
  <c r="H91" i="12"/>
  <c r="I91" i="12"/>
  <c r="J91" i="12"/>
  <c r="K91" i="12"/>
  <c r="M91" i="12"/>
  <c r="P91" i="12"/>
  <c r="D92" i="12"/>
  <c r="E92" i="12"/>
  <c r="F92" i="12"/>
  <c r="G92" i="12"/>
  <c r="H92" i="12"/>
  <c r="I92" i="12"/>
  <c r="J92" i="12"/>
  <c r="K92" i="12"/>
  <c r="M92" i="12"/>
  <c r="P92" i="12"/>
  <c r="D41" i="12"/>
  <c r="E41" i="12"/>
  <c r="F41" i="12"/>
  <c r="G41" i="12"/>
  <c r="H41" i="12"/>
  <c r="I41" i="12"/>
  <c r="J41" i="12"/>
  <c r="K41" i="12"/>
  <c r="M41" i="12"/>
  <c r="P41" i="12"/>
  <c r="D43" i="12"/>
  <c r="E43" i="12"/>
  <c r="F43" i="12"/>
  <c r="G43" i="12"/>
  <c r="H43" i="12"/>
  <c r="I43" i="12"/>
  <c r="J43" i="12"/>
  <c r="K43" i="12"/>
  <c r="L43" i="12"/>
  <c r="M43" i="12"/>
  <c r="P43" i="12"/>
  <c r="D138" i="12"/>
  <c r="E138" i="12"/>
  <c r="F138" i="12"/>
  <c r="G138" i="12"/>
  <c r="H138" i="12"/>
  <c r="I138" i="12"/>
  <c r="J138" i="12"/>
  <c r="K138" i="12"/>
  <c r="M138" i="12"/>
  <c r="P138" i="12"/>
  <c r="D145" i="12"/>
  <c r="E145" i="12"/>
  <c r="F145" i="12"/>
  <c r="G145" i="12"/>
  <c r="H145" i="12"/>
  <c r="I145" i="12"/>
  <c r="J145" i="12"/>
  <c r="K145" i="12"/>
  <c r="M145" i="12"/>
  <c r="P145" i="12"/>
  <c r="D109" i="12"/>
  <c r="E109" i="12"/>
  <c r="F109" i="12"/>
  <c r="G109" i="12"/>
  <c r="H109" i="12"/>
  <c r="I109" i="12"/>
  <c r="J109" i="12"/>
  <c r="K109" i="12"/>
  <c r="M109" i="12"/>
  <c r="P109" i="12"/>
  <c r="D116" i="12"/>
  <c r="E116" i="12"/>
  <c r="F116" i="12"/>
  <c r="G116" i="12"/>
  <c r="H116" i="12"/>
  <c r="I116" i="12"/>
  <c r="J116" i="12"/>
  <c r="K116" i="12"/>
  <c r="M116" i="12"/>
  <c r="P116" i="12"/>
  <c r="D29" i="12"/>
  <c r="E29" i="12"/>
  <c r="F29" i="12"/>
  <c r="G29" i="12"/>
  <c r="H29" i="12"/>
  <c r="I29" i="12"/>
  <c r="J29" i="12"/>
  <c r="K29" i="12"/>
  <c r="M29" i="12"/>
  <c r="P29" i="12"/>
  <c r="D154" i="12"/>
  <c r="E154" i="12"/>
  <c r="F154" i="12"/>
  <c r="G154" i="12"/>
  <c r="H154" i="12"/>
  <c r="I154" i="12"/>
  <c r="J154" i="12"/>
  <c r="K154" i="12"/>
  <c r="M154" i="12"/>
  <c r="P154" i="12"/>
  <c r="D144" i="12"/>
  <c r="E144" i="12"/>
  <c r="F144" i="12"/>
  <c r="G144" i="12"/>
  <c r="H144" i="12"/>
  <c r="I144" i="12"/>
  <c r="J144" i="12"/>
  <c r="K144" i="12"/>
  <c r="M144" i="12"/>
  <c r="P144" i="12"/>
  <c r="D8" i="12"/>
  <c r="E8" i="12"/>
  <c r="F8" i="12"/>
  <c r="G8" i="12"/>
  <c r="H8" i="12"/>
  <c r="I8" i="12"/>
  <c r="J8" i="12"/>
  <c r="K8" i="12"/>
  <c r="M8" i="12"/>
  <c r="P8" i="12"/>
  <c r="D36" i="12"/>
  <c r="E36" i="12"/>
  <c r="F36" i="12"/>
  <c r="G36" i="12"/>
  <c r="H36" i="12"/>
  <c r="I36" i="12"/>
  <c r="J36" i="12"/>
  <c r="K36" i="12"/>
  <c r="M36" i="12"/>
  <c r="P36" i="12"/>
  <c r="D49" i="12"/>
  <c r="E49" i="12"/>
  <c r="F49" i="12"/>
  <c r="G49" i="12"/>
  <c r="H49" i="12"/>
  <c r="I49" i="12"/>
  <c r="J49" i="12"/>
  <c r="K49" i="12"/>
  <c r="M49" i="12"/>
  <c r="P49" i="12"/>
  <c r="D12" i="12"/>
  <c r="E12" i="12"/>
  <c r="F12" i="12"/>
  <c r="G12" i="12"/>
  <c r="H12" i="12"/>
  <c r="I12" i="12"/>
  <c r="J12" i="12"/>
  <c r="K12" i="12"/>
  <c r="L12" i="12"/>
  <c r="M12" i="12"/>
  <c r="O12" i="12"/>
  <c r="P12" i="12"/>
  <c r="D134" i="12"/>
  <c r="E134" i="12"/>
  <c r="F134" i="12"/>
  <c r="G134" i="12"/>
  <c r="H134" i="12"/>
  <c r="I134" i="12"/>
  <c r="J134" i="12"/>
  <c r="K134" i="12"/>
  <c r="M134" i="12"/>
  <c r="P134" i="12"/>
  <c r="D79" i="12"/>
  <c r="E79" i="12"/>
  <c r="F79" i="12"/>
  <c r="G79" i="12"/>
  <c r="H79" i="12"/>
  <c r="I79" i="12"/>
  <c r="J79" i="12"/>
  <c r="K79" i="12"/>
  <c r="M79" i="12"/>
  <c r="P79" i="12"/>
  <c r="D112" i="12"/>
  <c r="E112" i="12"/>
  <c r="F112" i="12"/>
  <c r="G112" i="12"/>
  <c r="H112" i="12"/>
  <c r="I112" i="12"/>
  <c r="J112" i="12"/>
  <c r="K112" i="12"/>
  <c r="M112" i="12"/>
  <c r="P112" i="12"/>
  <c r="D11" i="12"/>
  <c r="E11" i="12"/>
  <c r="F11" i="12"/>
  <c r="G11" i="12"/>
  <c r="H11" i="12"/>
  <c r="I11" i="12"/>
  <c r="J11" i="12"/>
  <c r="K11" i="12"/>
  <c r="M11" i="12"/>
  <c r="P11" i="12"/>
  <c r="D130" i="12"/>
  <c r="E130" i="12"/>
  <c r="F130" i="12"/>
  <c r="G130" i="12"/>
  <c r="H130" i="12"/>
  <c r="I130" i="12"/>
  <c r="J130" i="12"/>
  <c r="K130" i="12"/>
  <c r="M130" i="12"/>
  <c r="P130" i="12"/>
  <c r="D108" i="12"/>
  <c r="E108" i="12"/>
  <c r="F108" i="12"/>
  <c r="G108" i="12"/>
  <c r="H108" i="12"/>
  <c r="I108" i="12"/>
  <c r="J108" i="12"/>
  <c r="K108" i="12"/>
  <c r="M108" i="12"/>
  <c r="P108" i="12"/>
  <c r="D131" i="12"/>
  <c r="E131" i="12"/>
  <c r="F131" i="12"/>
  <c r="G131" i="12"/>
  <c r="H131" i="12"/>
  <c r="I131" i="12"/>
  <c r="J131" i="12"/>
  <c r="K131" i="12"/>
  <c r="M131" i="12"/>
  <c r="P131" i="12"/>
  <c r="D72" i="12"/>
  <c r="E72" i="12"/>
  <c r="F72" i="12"/>
  <c r="G72" i="12"/>
  <c r="H72" i="12"/>
  <c r="I72" i="12"/>
  <c r="J72" i="12"/>
  <c r="K72" i="12"/>
  <c r="M72" i="12"/>
  <c r="P72" i="12"/>
  <c r="D87" i="12"/>
  <c r="E87" i="12"/>
  <c r="F87" i="12"/>
  <c r="G87" i="12"/>
  <c r="H87" i="12"/>
  <c r="I87" i="12"/>
  <c r="J87" i="12"/>
  <c r="K87" i="12"/>
  <c r="M87" i="12"/>
  <c r="P87" i="12"/>
  <c r="D104" i="12"/>
  <c r="E104" i="12"/>
  <c r="F104" i="12"/>
  <c r="G104" i="12"/>
  <c r="H104" i="12"/>
  <c r="I104" i="12"/>
  <c r="J104" i="12"/>
  <c r="K104" i="12"/>
  <c r="M104" i="12"/>
  <c r="P104" i="12"/>
  <c r="D129" i="12"/>
  <c r="E129" i="12"/>
  <c r="F129" i="12"/>
  <c r="G129" i="12"/>
  <c r="H129" i="12"/>
  <c r="I129" i="12"/>
  <c r="J129" i="12"/>
  <c r="K129" i="12"/>
  <c r="M129" i="12"/>
  <c r="P129" i="12"/>
  <c r="D7" i="12"/>
  <c r="E7" i="12"/>
  <c r="F7" i="12"/>
  <c r="G7" i="12"/>
  <c r="H7" i="12"/>
  <c r="I7" i="12"/>
  <c r="J7" i="12"/>
  <c r="K7" i="12"/>
  <c r="M7" i="12"/>
  <c r="P7" i="12"/>
  <c r="D68" i="12"/>
  <c r="E68" i="12"/>
  <c r="F68" i="12"/>
  <c r="G68" i="12"/>
  <c r="H68" i="12"/>
  <c r="I68" i="12"/>
  <c r="J68" i="12"/>
  <c r="K68" i="12"/>
  <c r="M68" i="12"/>
  <c r="P68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P54" i="12"/>
  <c r="D66" i="12"/>
  <c r="E66" i="12"/>
  <c r="F66" i="12"/>
  <c r="G66" i="12"/>
  <c r="H66" i="12"/>
  <c r="I66" i="12"/>
  <c r="J66" i="12"/>
  <c r="K66" i="12"/>
  <c r="L66" i="12"/>
  <c r="M66" i="12"/>
  <c r="N66" i="12"/>
  <c r="O66" i="12"/>
  <c r="P66" i="12"/>
  <c r="D28" i="12"/>
  <c r="E28" i="12"/>
  <c r="F28" i="12"/>
  <c r="G28" i="12"/>
  <c r="H28" i="12"/>
  <c r="I28" i="12"/>
  <c r="J28" i="12"/>
  <c r="K28" i="12"/>
  <c r="M28" i="12"/>
  <c r="P28" i="12"/>
  <c r="D56" i="12"/>
  <c r="E56" i="12"/>
  <c r="F56" i="12"/>
  <c r="G56" i="12"/>
  <c r="H56" i="12"/>
  <c r="I56" i="12"/>
  <c r="J56" i="12"/>
  <c r="K56" i="12"/>
  <c r="M56" i="12"/>
  <c r="P56" i="12"/>
  <c r="D137" i="12"/>
  <c r="E137" i="12"/>
  <c r="F137" i="12"/>
  <c r="G137" i="12"/>
  <c r="H137" i="12"/>
  <c r="I137" i="12"/>
  <c r="J137" i="12"/>
  <c r="K137" i="12"/>
  <c r="M137" i="12"/>
  <c r="P137" i="12"/>
  <c r="D9" i="12"/>
  <c r="E9" i="12"/>
  <c r="F9" i="12"/>
  <c r="G9" i="12"/>
  <c r="H9" i="12"/>
  <c r="I9" i="12"/>
  <c r="J9" i="12"/>
  <c r="K9" i="12"/>
  <c r="L9" i="12"/>
  <c r="M9" i="12"/>
  <c r="P9" i="12"/>
  <c r="D88" i="12"/>
  <c r="E88" i="12"/>
  <c r="F88" i="12"/>
  <c r="G88" i="12"/>
  <c r="H88" i="12"/>
  <c r="I88" i="12"/>
  <c r="J88" i="12"/>
  <c r="K88" i="12"/>
  <c r="L88" i="12"/>
  <c r="M88" i="12"/>
  <c r="P88" i="12"/>
  <c r="D100" i="12"/>
  <c r="E100" i="12"/>
  <c r="F100" i="12"/>
  <c r="G100" i="12"/>
  <c r="H100" i="12"/>
  <c r="I100" i="12"/>
  <c r="J100" i="12"/>
  <c r="K100" i="12"/>
  <c r="M100" i="12"/>
  <c r="P100" i="12"/>
  <c r="D83" i="12"/>
  <c r="E83" i="12"/>
  <c r="F83" i="12"/>
  <c r="G83" i="12"/>
  <c r="H83" i="12"/>
  <c r="I83" i="12"/>
  <c r="J83" i="12"/>
  <c r="K83" i="12"/>
  <c r="L83" i="12"/>
  <c r="M83" i="12"/>
  <c r="N83" i="12"/>
  <c r="O83" i="12"/>
  <c r="P83" i="12"/>
  <c r="D31" i="12"/>
  <c r="E31" i="12"/>
  <c r="F31" i="12"/>
  <c r="G31" i="12"/>
  <c r="H31" i="12"/>
  <c r="I31" i="12"/>
  <c r="J31" i="12"/>
  <c r="K31" i="12"/>
  <c r="L31" i="12"/>
  <c r="M31" i="12"/>
  <c r="N31" i="12"/>
  <c r="O31" i="12"/>
  <c r="P31" i="12"/>
  <c r="D13" i="12"/>
  <c r="E13" i="12"/>
  <c r="F13" i="12"/>
  <c r="G13" i="12"/>
  <c r="H13" i="12"/>
  <c r="I13" i="12"/>
  <c r="J13" i="12"/>
  <c r="K13" i="12"/>
  <c r="M13" i="12"/>
  <c r="P13" i="12"/>
  <c r="D148" i="12"/>
  <c r="E148" i="12"/>
  <c r="F148" i="12"/>
  <c r="G148" i="12"/>
  <c r="H148" i="12"/>
  <c r="I148" i="12"/>
  <c r="J148" i="12"/>
  <c r="K148" i="12"/>
  <c r="M148" i="12"/>
  <c r="P148" i="12"/>
  <c r="D58" i="12"/>
  <c r="E58" i="12"/>
  <c r="F58" i="12"/>
  <c r="G58" i="12"/>
  <c r="H58" i="12"/>
  <c r="I58" i="12"/>
  <c r="J58" i="12"/>
  <c r="K58" i="12"/>
  <c r="M58" i="12"/>
  <c r="P58" i="12"/>
  <c r="D141" i="12"/>
  <c r="E141" i="12"/>
  <c r="F141" i="12"/>
  <c r="G141" i="12"/>
  <c r="H141" i="12"/>
  <c r="I141" i="12"/>
  <c r="J141" i="12"/>
  <c r="K141" i="12"/>
  <c r="M141" i="12"/>
  <c r="P141" i="12"/>
  <c r="D143" i="12"/>
  <c r="E143" i="12"/>
  <c r="F143" i="12"/>
  <c r="G143" i="12"/>
  <c r="H143" i="12"/>
  <c r="I143" i="12"/>
  <c r="J143" i="12"/>
  <c r="K143" i="12"/>
  <c r="M143" i="12"/>
  <c r="P143" i="12"/>
  <c r="D93" i="12"/>
  <c r="E93" i="12"/>
  <c r="F93" i="12"/>
  <c r="G93" i="12"/>
  <c r="H93" i="12"/>
  <c r="I93" i="12"/>
  <c r="J93" i="12"/>
  <c r="K93" i="12"/>
  <c r="M93" i="12"/>
  <c r="P93" i="12"/>
  <c r="D77" i="12"/>
  <c r="E77" i="12"/>
  <c r="F77" i="12"/>
  <c r="G77" i="12"/>
  <c r="H77" i="12"/>
  <c r="I77" i="12"/>
  <c r="J77" i="12"/>
  <c r="K77" i="12"/>
  <c r="M77" i="12"/>
  <c r="P77" i="12"/>
  <c r="D106" i="12"/>
  <c r="E106" i="12"/>
  <c r="F106" i="12"/>
  <c r="G106" i="12"/>
  <c r="H106" i="12"/>
  <c r="I106" i="12"/>
  <c r="J106" i="12"/>
  <c r="K106" i="12"/>
  <c r="M106" i="12"/>
  <c r="P106" i="12"/>
  <c r="D53" i="12"/>
  <c r="E53" i="12"/>
  <c r="F53" i="12"/>
  <c r="G53" i="12"/>
  <c r="H53" i="12"/>
  <c r="I53" i="12"/>
  <c r="J53" i="12"/>
  <c r="K53" i="12"/>
  <c r="M53" i="12"/>
  <c r="P53" i="12"/>
  <c r="D78" i="12"/>
  <c r="E78" i="12"/>
  <c r="F78" i="12"/>
  <c r="G78" i="12"/>
  <c r="H78" i="12"/>
  <c r="I78" i="12"/>
  <c r="J78" i="12"/>
  <c r="K78" i="12"/>
  <c r="M78" i="12"/>
  <c r="P78" i="12"/>
  <c r="D75" i="12"/>
  <c r="E75" i="12"/>
  <c r="F75" i="12"/>
  <c r="G75" i="12"/>
  <c r="H75" i="12"/>
  <c r="I75" i="12"/>
  <c r="J75" i="12"/>
  <c r="K75" i="12"/>
  <c r="L75" i="12"/>
  <c r="M75" i="12"/>
  <c r="P75" i="12"/>
  <c r="D62" i="12"/>
  <c r="E62" i="12"/>
  <c r="F62" i="12"/>
  <c r="G62" i="12"/>
  <c r="H62" i="12"/>
  <c r="I62" i="12"/>
  <c r="J62" i="12"/>
  <c r="K62" i="12"/>
  <c r="M62" i="12"/>
  <c r="P62" i="12"/>
  <c r="D18" i="12"/>
  <c r="E18" i="12"/>
  <c r="F18" i="12"/>
  <c r="G18" i="12"/>
  <c r="H18" i="12"/>
  <c r="I18" i="12"/>
  <c r="J18" i="12"/>
  <c r="K18" i="12"/>
  <c r="M18" i="12"/>
  <c r="P18" i="12"/>
  <c r="D97" i="12"/>
  <c r="E97" i="12"/>
  <c r="F97" i="12"/>
  <c r="G97" i="12"/>
  <c r="H97" i="12"/>
  <c r="I97" i="12"/>
  <c r="J97" i="12"/>
  <c r="K97" i="12"/>
  <c r="M97" i="12"/>
  <c r="P97" i="12"/>
  <c r="D55" i="12"/>
  <c r="E55" i="12"/>
  <c r="F55" i="12"/>
  <c r="G55" i="12"/>
  <c r="H55" i="12"/>
  <c r="I55" i="12"/>
  <c r="J55" i="12"/>
  <c r="K55" i="12"/>
  <c r="M55" i="12"/>
  <c r="P55" i="12"/>
  <c r="D99" i="12"/>
  <c r="E99" i="12"/>
  <c r="F99" i="12"/>
  <c r="G99" i="12"/>
  <c r="H99" i="12"/>
  <c r="I99" i="12"/>
  <c r="J99" i="12"/>
  <c r="K99" i="12"/>
  <c r="M99" i="12"/>
  <c r="P99" i="12"/>
  <c r="D111" i="12"/>
  <c r="E111" i="12"/>
  <c r="F111" i="12"/>
  <c r="G111" i="12"/>
  <c r="H111" i="12"/>
  <c r="I111" i="12"/>
  <c r="J111" i="12"/>
  <c r="K111" i="12"/>
  <c r="M111" i="12"/>
  <c r="P111" i="12"/>
  <c r="D65" i="12"/>
  <c r="E65" i="12"/>
  <c r="F65" i="12"/>
  <c r="G65" i="12"/>
  <c r="H65" i="12"/>
  <c r="I65" i="12"/>
  <c r="J65" i="12"/>
  <c r="K65" i="12"/>
  <c r="L65" i="12"/>
  <c r="M65" i="12"/>
  <c r="N65" i="12"/>
  <c r="O65" i="12"/>
  <c r="P6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P45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P133" i="12"/>
  <c r="D147" i="12"/>
  <c r="E147" i="12"/>
  <c r="F147" i="12"/>
  <c r="G147" i="12"/>
  <c r="H147" i="12"/>
  <c r="I147" i="12"/>
  <c r="J147" i="12"/>
  <c r="K147" i="12"/>
  <c r="L147" i="12"/>
  <c r="M147" i="12"/>
  <c r="N147" i="12"/>
  <c r="O147" i="12"/>
  <c r="P147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D157" i="12"/>
  <c r="E157" i="12"/>
  <c r="F157" i="12"/>
  <c r="G157" i="12"/>
  <c r="H157" i="12"/>
  <c r="I157" i="12"/>
  <c r="J157" i="12"/>
  <c r="K157" i="12"/>
  <c r="L157" i="12"/>
  <c r="M157" i="12"/>
  <c r="N157" i="12"/>
  <c r="O157" i="12"/>
  <c r="P157" i="12"/>
  <c r="D159" i="12"/>
  <c r="E159" i="12"/>
  <c r="F159" i="12"/>
  <c r="G159" i="12"/>
  <c r="H159" i="12"/>
  <c r="I159" i="12"/>
  <c r="J159" i="12"/>
  <c r="K159" i="12"/>
  <c r="L159" i="12"/>
  <c r="M159" i="12"/>
  <c r="N159" i="12"/>
  <c r="O159" i="12"/>
  <c r="P159" i="12"/>
  <c r="D161" i="12"/>
  <c r="E161" i="12"/>
  <c r="F161" i="12"/>
  <c r="G161" i="12"/>
  <c r="H161" i="12"/>
  <c r="I161" i="12"/>
  <c r="J161" i="12"/>
  <c r="K161" i="12"/>
  <c r="L161" i="12"/>
  <c r="M161" i="12"/>
  <c r="N161" i="12"/>
  <c r="O161" i="12"/>
  <c r="P161" i="12"/>
  <c r="D163" i="12"/>
  <c r="E163" i="12"/>
  <c r="F163" i="12"/>
  <c r="G163" i="12"/>
  <c r="H163" i="12"/>
  <c r="I163" i="12"/>
  <c r="J163" i="12"/>
  <c r="K163" i="12"/>
  <c r="L163" i="12"/>
  <c r="M163" i="12"/>
  <c r="N163" i="12"/>
  <c r="O163" i="12"/>
  <c r="P163" i="12"/>
  <c r="D165" i="12"/>
  <c r="E165" i="12"/>
  <c r="F165" i="12"/>
  <c r="G165" i="12"/>
  <c r="H165" i="12"/>
  <c r="I165" i="12"/>
  <c r="J165" i="12"/>
  <c r="K165" i="12"/>
  <c r="L165" i="12"/>
  <c r="M165" i="12"/>
  <c r="N165" i="12"/>
  <c r="O165" i="12"/>
  <c r="P165" i="12"/>
  <c r="D167" i="12"/>
  <c r="E167" i="12"/>
  <c r="F167" i="12"/>
  <c r="G167" i="12"/>
  <c r="H167" i="12"/>
  <c r="I167" i="12"/>
  <c r="J167" i="12"/>
  <c r="K167" i="12"/>
  <c r="L167" i="12"/>
  <c r="M167" i="12"/>
  <c r="N167" i="12"/>
  <c r="O167" i="12"/>
  <c r="P167" i="12"/>
  <c r="D169" i="12"/>
  <c r="E169" i="12"/>
  <c r="F169" i="12"/>
  <c r="G169" i="12"/>
  <c r="H169" i="12"/>
  <c r="I169" i="12"/>
  <c r="J169" i="12"/>
  <c r="K169" i="12"/>
  <c r="L169" i="12"/>
  <c r="M169" i="12"/>
  <c r="N169" i="12"/>
  <c r="O169" i="12"/>
  <c r="P169" i="12"/>
  <c r="D171" i="12"/>
  <c r="E171" i="12"/>
  <c r="F171" i="12"/>
  <c r="G171" i="12"/>
  <c r="H171" i="12"/>
  <c r="I171" i="12"/>
  <c r="J171" i="12"/>
  <c r="K171" i="12"/>
  <c r="L171" i="12"/>
  <c r="M171" i="12"/>
  <c r="N171" i="12"/>
  <c r="O171" i="12"/>
  <c r="P171" i="12"/>
  <c r="D173" i="12"/>
  <c r="E173" i="12"/>
  <c r="F173" i="12"/>
  <c r="G173" i="12"/>
  <c r="H173" i="12"/>
  <c r="I173" i="12"/>
  <c r="J173" i="12"/>
  <c r="K173" i="12"/>
  <c r="L173" i="12"/>
  <c r="M173" i="12"/>
  <c r="N173" i="12"/>
  <c r="O173" i="12"/>
  <c r="P173" i="12"/>
  <c r="D175" i="12"/>
  <c r="E175" i="12"/>
  <c r="F175" i="12"/>
  <c r="G175" i="12"/>
  <c r="H175" i="12"/>
  <c r="I175" i="12"/>
  <c r="J175" i="12"/>
  <c r="K175" i="12"/>
  <c r="L175" i="12"/>
  <c r="M175" i="12"/>
  <c r="N175" i="12"/>
  <c r="O175" i="12"/>
  <c r="P175" i="12"/>
  <c r="D177" i="12"/>
  <c r="E177" i="12"/>
  <c r="F177" i="12"/>
  <c r="G177" i="12"/>
  <c r="H177" i="12"/>
  <c r="I177" i="12"/>
  <c r="J177" i="12"/>
  <c r="K177" i="12"/>
  <c r="L177" i="12"/>
  <c r="M177" i="12"/>
  <c r="N177" i="12"/>
  <c r="O177" i="12"/>
  <c r="P177" i="12"/>
  <c r="D179" i="12"/>
  <c r="E179" i="12"/>
  <c r="F179" i="12"/>
  <c r="G179" i="12"/>
  <c r="H179" i="12"/>
  <c r="I179" i="12"/>
  <c r="J179" i="12"/>
  <c r="K179" i="12"/>
  <c r="L179" i="12"/>
  <c r="M179" i="12"/>
  <c r="N179" i="12"/>
  <c r="O179" i="12"/>
  <c r="P179" i="12"/>
  <c r="D181" i="12"/>
  <c r="E181" i="12"/>
  <c r="F181" i="12"/>
  <c r="G181" i="12"/>
  <c r="H181" i="12"/>
  <c r="I181" i="12"/>
  <c r="J181" i="12"/>
  <c r="K181" i="12"/>
  <c r="L181" i="12"/>
  <c r="M181" i="12"/>
  <c r="N181" i="12"/>
  <c r="O181" i="12"/>
  <c r="P181" i="12"/>
  <c r="D183" i="12"/>
  <c r="E183" i="12"/>
  <c r="F183" i="12"/>
  <c r="G183" i="12"/>
  <c r="H183" i="12"/>
  <c r="I183" i="12"/>
  <c r="J183" i="12"/>
  <c r="K183" i="12"/>
  <c r="L183" i="12"/>
  <c r="M183" i="12"/>
  <c r="N183" i="12"/>
  <c r="O183" i="12"/>
  <c r="P183" i="12"/>
  <c r="D185" i="12"/>
  <c r="E185" i="12"/>
  <c r="F185" i="12"/>
  <c r="G185" i="12"/>
  <c r="H185" i="12"/>
  <c r="I185" i="12"/>
  <c r="J185" i="12"/>
  <c r="K185" i="12"/>
  <c r="L185" i="12"/>
  <c r="M185" i="12"/>
  <c r="N185" i="12"/>
  <c r="O185" i="12"/>
  <c r="P185" i="12"/>
  <c r="D128" i="12"/>
  <c r="E128" i="12"/>
  <c r="F128" i="12"/>
  <c r="G128" i="12"/>
  <c r="H128" i="12"/>
  <c r="I128" i="12"/>
  <c r="J128" i="12"/>
  <c r="K128" i="12"/>
  <c r="M128" i="12"/>
  <c r="P128" i="12"/>
  <c r="D59" i="12"/>
  <c r="E59" i="12"/>
  <c r="F59" i="12"/>
  <c r="G59" i="12"/>
  <c r="H59" i="12"/>
  <c r="I59" i="12"/>
  <c r="J59" i="12"/>
  <c r="K59" i="12"/>
  <c r="M59" i="12"/>
  <c r="P59" i="12"/>
  <c r="D110" i="12"/>
  <c r="E110" i="12"/>
  <c r="F110" i="12"/>
  <c r="G110" i="12"/>
  <c r="H110" i="12"/>
  <c r="I110" i="12"/>
  <c r="J110" i="12"/>
  <c r="K110" i="12"/>
  <c r="M110" i="12"/>
  <c r="P110" i="12"/>
  <c r="D44" i="12"/>
  <c r="E44" i="12"/>
  <c r="F44" i="12"/>
  <c r="G44" i="12"/>
  <c r="H44" i="12"/>
  <c r="I44" i="12"/>
  <c r="J44" i="12"/>
  <c r="K44" i="12"/>
  <c r="M44" i="12"/>
  <c r="P44" i="12"/>
  <c r="D17" i="12"/>
  <c r="E17" i="12"/>
  <c r="F17" i="12"/>
  <c r="G17" i="12"/>
  <c r="H17" i="12"/>
  <c r="I17" i="12"/>
  <c r="J17" i="12"/>
  <c r="K17" i="12"/>
  <c r="M17" i="12"/>
  <c r="P17" i="12"/>
  <c r="D118" i="12"/>
  <c r="E118" i="12"/>
  <c r="F118" i="12"/>
  <c r="G118" i="12"/>
  <c r="H118" i="12"/>
  <c r="I118" i="12"/>
  <c r="J118" i="12"/>
  <c r="K118" i="12"/>
  <c r="M118" i="12"/>
  <c r="P118" i="12"/>
  <c r="D187" i="12"/>
  <c r="E187" i="12"/>
  <c r="F187" i="12"/>
  <c r="G187" i="12"/>
  <c r="H187" i="12"/>
  <c r="I187" i="12"/>
  <c r="J187" i="12"/>
  <c r="K187" i="12"/>
  <c r="L187" i="12"/>
  <c r="M187" i="12"/>
  <c r="N187" i="12"/>
  <c r="O187" i="12"/>
  <c r="P187" i="12"/>
  <c r="D189" i="12"/>
  <c r="E189" i="12"/>
  <c r="F189" i="12"/>
  <c r="G189" i="12"/>
  <c r="H189" i="12"/>
  <c r="I189" i="12"/>
  <c r="J189" i="12"/>
  <c r="K189" i="12"/>
  <c r="L189" i="12"/>
  <c r="M189" i="12"/>
  <c r="N189" i="12"/>
  <c r="O189" i="12"/>
  <c r="P189" i="12"/>
  <c r="D191" i="12"/>
  <c r="E191" i="12"/>
  <c r="F191" i="12"/>
  <c r="G191" i="12"/>
  <c r="H191" i="12"/>
  <c r="I191" i="12"/>
  <c r="J191" i="12"/>
  <c r="K191" i="12"/>
  <c r="L191" i="12"/>
  <c r="M191" i="12"/>
  <c r="N191" i="12"/>
  <c r="O191" i="12"/>
  <c r="P191" i="12"/>
  <c r="D193" i="12"/>
  <c r="E193" i="12"/>
  <c r="F193" i="12"/>
  <c r="G193" i="12"/>
  <c r="H193" i="12"/>
  <c r="I193" i="12"/>
  <c r="J193" i="12"/>
  <c r="K193" i="12"/>
  <c r="L193" i="12"/>
  <c r="M193" i="12"/>
  <c r="N193" i="12"/>
  <c r="O193" i="12"/>
  <c r="P193" i="12"/>
  <c r="D195" i="12"/>
  <c r="E195" i="12"/>
  <c r="F195" i="12"/>
  <c r="G195" i="12"/>
  <c r="H195" i="12"/>
  <c r="I195" i="12"/>
  <c r="J195" i="12"/>
  <c r="K195" i="12"/>
  <c r="L195" i="12"/>
  <c r="M195" i="12"/>
  <c r="N195" i="12"/>
  <c r="O195" i="12"/>
  <c r="P195" i="12"/>
  <c r="D197" i="12"/>
  <c r="E197" i="12"/>
  <c r="F197" i="12"/>
  <c r="G197" i="12"/>
  <c r="H197" i="12"/>
  <c r="I197" i="12"/>
  <c r="J197" i="12"/>
  <c r="K197" i="12"/>
  <c r="L197" i="12"/>
  <c r="M197" i="12"/>
  <c r="N197" i="12"/>
  <c r="O197" i="12"/>
  <c r="P197" i="12"/>
  <c r="D121" i="12"/>
  <c r="E121" i="12"/>
  <c r="F121" i="12"/>
  <c r="G121" i="12"/>
  <c r="H121" i="12"/>
  <c r="I121" i="12"/>
  <c r="J121" i="12"/>
  <c r="K121" i="12"/>
  <c r="M121" i="12"/>
  <c r="P121" i="12"/>
  <c r="D101" i="12"/>
  <c r="E101" i="12"/>
  <c r="F101" i="12"/>
  <c r="G101" i="12"/>
  <c r="H101" i="12"/>
  <c r="I101" i="12"/>
  <c r="J101" i="12"/>
  <c r="K101" i="12"/>
  <c r="M101" i="12"/>
  <c r="P101" i="12"/>
  <c r="D19" i="12"/>
  <c r="E19" i="12"/>
  <c r="F19" i="12"/>
  <c r="G19" i="12"/>
  <c r="H19" i="12"/>
  <c r="I19" i="12"/>
  <c r="J19" i="12"/>
  <c r="K19" i="12"/>
  <c r="M19" i="12"/>
  <c r="P19" i="12"/>
  <c r="D38" i="12"/>
  <c r="E38" i="12"/>
  <c r="F38" i="12"/>
  <c r="G38" i="12"/>
  <c r="H38" i="12"/>
  <c r="I38" i="12"/>
  <c r="J38" i="12"/>
  <c r="K38" i="12"/>
  <c r="M38" i="12"/>
  <c r="P38" i="12"/>
  <c r="D115" i="12"/>
  <c r="E115" i="12"/>
  <c r="F115" i="12"/>
  <c r="G115" i="12"/>
  <c r="H115" i="12"/>
  <c r="I115" i="12"/>
  <c r="J115" i="12"/>
  <c r="K115" i="12"/>
  <c r="M115" i="12"/>
  <c r="P115" i="12"/>
  <c r="D90" i="12"/>
  <c r="E90" i="12"/>
  <c r="F90" i="12"/>
  <c r="G90" i="12"/>
  <c r="H90" i="12"/>
  <c r="I90" i="12"/>
  <c r="J90" i="12"/>
  <c r="K90" i="12"/>
  <c r="M90" i="12"/>
  <c r="P90" i="12"/>
  <c r="D86" i="12"/>
  <c r="E86" i="12"/>
  <c r="F86" i="12"/>
  <c r="G86" i="12"/>
  <c r="H86" i="12"/>
  <c r="I86" i="12"/>
  <c r="J86" i="12"/>
  <c r="K86" i="12"/>
  <c r="M86" i="12"/>
  <c r="P86" i="12"/>
  <c r="D95" i="12"/>
  <c r="E95" i="12"/>
  <c r="F95" i="12"/>
  <c r="G95" i="12"/>
  <c r="H95" i="12"/>
  <c r="I95" i="12"/>
  <c r="J95" i="12"/>
  <c r="K95" i="12"/>
  <c r="M95" i="12"/>
  <c r="P95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D117" i="12"/>
  <c r="E117" i="12"/>
  <c r="F117" i="12"/>
  <c r="G117" i="12"/>
  <c r="H117" i="12"/>
  <c r="I117" i="12"/>
  <c r="J117" i="12"/>
  <c r="K117" i="12"/>
  <c r="M117" i="12"/>
  <c r="P117" i="12"/>
  <c r="D67" i="12"/>
  <c r="E67" i="12"/>
  <c r="F67" i="12"/>
  <c r="G67" i="12"/>
  <c r="H67" i="12"/>
  <c r="I67" i="12"/>
  <c r="J67" i="12"/>
  <c r="K67" i="12"/>
  <c r="L67" i="12"/>
  <c r="M67" i="12"/>
  <c r="P67" i="12"/>
  <c r="D64" i="12"/>
  <c r="E64" i="12"/>
  <c r="F64" i="12"/>
  <c r="G64" i="12"/>
  <c r="H64" i="12"/>
  <c r="I64" i="12"/>
  <c r="J64" i="12"/>
  <c r="K64" i="12"/>
  <c r="L64" i="12"/>
  <c r="M64" i="12"/>
  <c r="P64" i="12"/>
  <c r="D76" i="12"/>
  <c r="E76" i="12"/>
  <c r="F76" i="12"/>
  <c r="G76" i="12"/>
  <c r="H76" i="12"/>
  <c r="I76" i="12"/>
  <c r="J76" i="12"/>
  <c r="K76" i="12"/>
  <c r="M76" i="12"/>
  <c r="P76" i="12"/>
  <c r="D70" i="12"/>
  <c r="E70" i="12"/>
  <c r="F70" i="12"/>
  <c r="G70" i="12"/>
  <c r="H70" i="12"/>
  <c r="I70" i="12"/>
  <c r="J70" i="12"/>
  <c r="K70" i="12"/>
  <c r="M70" i="12"/>
  <c r="P70" i="12"/>
  <c r="D80" i="12"/>
  <c r="E80" i="12"/>
  <c r="F80" i="12"/>
  <c r="G80" i="12"/>
  <c r="H80" i="12"/>
  <c r="I80" i="12"/>
  <c r="J80" i="12"/>
  <c r="K80" i="12"/>
  <c r="M80" i="12"/>
  <c r="P80" i="12"/>
  <c r="D124" i="12"/>
  <c r="E124" i="12"/>
  <c r="F124" i="12"/>
  <c r="G124" i="12"/>
  <c r="H124" i="12"/>
  <c r="I124" i="12"/>
  <c r="J124" i="12"/>
  <c r="K124" i="12"/>
  <c r="M124" i="12"/>
  <c r="P124" i="12"/>
  <c r="D46" i="12"/>
  <c r="E46" i="12"/>
  <c r="F46" i="12"/>
  <c r="G46" i="12"/>
  <c r="H46" i="12"/>
  <c r="I46" i="12"/>
  <c r="J46" i="12"/>
  <c r="K46" i="12"/>
  <c r="M46" i="12"/>
  <c r="P46" i="12"/>
  <c r="D152" i="12"/>
  <c r="E152" i="12"/>
  <c r="F152" i="12"/>
  <c r="G152" i="12"/>
  <c r="H152" i="12"/>
  <c r="I152" i="12"/>
  <c r="J152" i="12"/>
  <c r="K152" i="12"/>
  <c r="M152" i="12"/>
  <c r="P152" i="12"/>
  <c r="D27" i="12"/>
  <c r="E27" i="12"/>
  <c r="F27" i="12"/>
  <c r="G27" i="12"/>
  <c r="H27" i="12"/>
  <c r="I27" i="12"/>
  <c r="J27" i="12"/>
  <c r="K27" i="12"/>
  <c r="M27" i="12"/>
  <c r="P27" i="12"/>
  <c r="D22" i="12"/>
  <c r="E22" i="12"/>
  <c r="F22" i="12"/>
  <c r="G22" i="12"/>
  <c r="H22" i="12"/>
  <c r="I22" i="12"/>
  <c r="J22" i="12"/>
  <c r="K22" i="12"/>
  <c r="M22" i="12"/>
  <c r="P22" i="12"/>
  <c r="D14" i="12"/>
  <c r="E14" i="12"/>
  <c r="F14" i="12"/>
  <c r="G14" i="12"/>
  <c r="H14" i="12"/>
  <c r="I14" i="12"/>
  <c r="J14" i="12"/>
  <c r="K14" i="12"/>
  <c r="M14" i="12"/>
  <c r="P14" i="12"/>
  <c r="D155" i="12"/>
  <c r="E155" i="12"/>
  <c r="F155" i="12"/>
  <c r="G155" i="12"/>
  <c r="H155" i="12"/>
  <c r="I155" i="12"/>
  <c r="J155" i="12"/>
  <c r="K155" i="12"/>
  <c r="M155" i="12"/>
  <c r="P155" i="12"/>
  <c r="D136" i="12"/>
  <c r="E136" i="12"/>
  <c r="F136" i="12"/>
  <c r="G136" i="12"/>
  <c r="H136" i="12"/>
  <c r="I136" i="12"/>
  <c r="J136" i="12"/>
  <c r="K136" i="12"/>
  <c r="M136" i="12"/>
  <c r="P136" i="12"/>
  <c r="P73" i="12"/>
  <c r="M73" i="12"/>
  <c r="E73" i="12"/>
  <c r="F73" i="12"/>
  <c r="G73" i="12"/>
  <c r="H73" i="12"/>
  <c r="I73" i="12"/>
  <c r="J73" i="12"/>
  <c r="K73" i="12"/>
  <c r="D73" i="12"/>
  <c r="CF4" i="1"/>
  <c r="T1" i="1"/>
  <c r="E3" i="12" s="1"/>
  <c r="O103" i="12"/>
  <c r="O9" i="12"/>
  <c r="O76" i="12"/>
  <c r="O198" i="12"/>
  <c r="O50" i="12"/>
  <c r="O49" i="12"/>
  <c r="O32" i="12"/>
  <c r="O8" i="12"/>
  <c r="O150" i="12"/>
  <c r="O148" i="12"/>
  <c r="O146" i="12"/>
  <c r="O53" i="12"/>
  <c r="O77" i="12"/>
  <c r="O69" i="12"/>
  <c r="O93" i="12"/>
  <c r="O48" i="12"/>
  <c r="O117" i="12"/>
  <c r="O111" i="12"/>
  <c r="O108" i="12"/>
  <c r="O136" i="12"/>
  <c r="O88" i="12"/>
  <c r="O67" i="12"/>
  <c r="O73" i="12"/>
  <c r="N103" i="12"/>
  <c r="N9" i="12"/>
  <c r="N115" i="12"/>
  <c r="N198" i="12"/>
  <c r="N50" i="12"/>
  <c r="N49" i="12"/>
  <c r="N32" i="12"/>
  <c r="N8" i="12"/>
  <c r="N150" i="12"/>
  <c r="N148" i="12"/>
  <c r="N146" i="12"/>
  <c r="N144" i="12"/>
  <c r="N142" i="12"/>
  <c r="N53" i="12"/>
  <c r="N77" i="12"/>
  <c r="N69" i="12"/>
  <c r="N93" i="12"/>
  <c r="N48" i="12"/>
  <c r="N117" i="12"/>
  <c r="N111" i="12"/>
  <c r="N108" i="12"/>
  <c r="N136" i="12"/>
  <c r="N64" i="12"/>
  <c r="N88" i="12"/>
  <c r="N67" i="12"/>
  <c r="N73" i="12"/>
  <c r="B4" i="1"/>
  <c r="C4" i="1"/>
  <c r="D4" i="1"/>
  <c r="E4" i="1"/>
  <c r="H4" i="1"/>
  <c r="J4" i="1"/>
  <c r="K4" i="1"/>
  <c r="L4" i="1"/>
  <c r="M4" i="1"/>
  <c r="N4" i="1"/>
  <c r="O4" i="1"/>
  <c r="P4" i="1"/>
  <c r="Q4" i="1"/>
  <c r="R4" i="1"/>
  <c r="U4" i="1"/>
  <c r="V4" i="1"/>
  <c r="Y4" i="1"/>
  <c r="Z4" i="1"/>
  <c r="AA4" i="1"/>
  <c r="AB4" i="1"/>
  <c r="AC4" i="1"/>
  <c r="AD4" i="1"/>
  <c r="AE4" i="1"/>
  <c r="AF4" i="1"/>
  <c r="AG4" i="1"/>
  <c r="AH4" i="1"/>
  <c r="AI4" i="1"/>
  <c r="A4" i="1"/>
  <c r="O64" i="12"/>
  <c r="L50" i="12"/>
  <c r="L49" i="12"/>
  <c r="L32" i="12"/>
  <c r="L25" i="12"/>
  <c r="L8" i="12"/>
  <c r="L146" i="12"/>
  <c r="L13" i="12"/>
  <c r="L139" i="12"/>
  <c r="L91" i="12"/>
  <c r="L106" i="12"/>
  <c r="L69" i="12"/>
  <c r="L93" i="12"/>
  <c r="L115" i="12"/>
  <c r="L116" i="12"/>
  <c r="L138" i="12"/>
  <c r="L136" i="12"/>
  <c r="L73" i="12"/>
  <c r="G4" i="1"/>
  <c r="L1" i="1"/>
  <c r="J1" i="1"/>
  <c r="K1" i="1"/>
  <c r="N84" i="12"/>
  <c r="N74" i="12"/>
  <c r="O113" i="12"/>
  <c r="O127" i="12"/>
  <c r="O101" i="12"/>
  <c r="O6" i="12"/>
  <c r="O38" i="12"/>
  <c r="O141" i="12"/>
  <c r="O132" i="12"/>
  <c r="O144" i="12"/>
  <c r="O99" i="12"/>
  <c r="O25" i="12"/>
  <c r="L23" i="12"/>
  <c r="L142" i="12"/>
  <c r="L21" i="12"/>
  <c r="L36" i="12"/>
  <c r="N92" i="12"/>
  <c r="N139" i="12"/>
  <c r="N123" i="12"/>
  <c r="N13" i="12"/>
  <c r="O92" i="12"/>
  <c r="O139" i="12"/>
  <c r="O123" i="12"/>
  <c r="O13" i="12"/>
  <c r="O131" i="12"/>
  <c r="L19" i="12"/>
  <c r="L58" i="12"/>
  <c r="L145" i="12"/>
  <c r="L148" i="12"/>
  <c r="L154" i="12"/>
  <c r="L96" i="12"/>
  <c r="N113" i="12"/>
  <c r="N127" i="12"/>
  <c r="N101" i="12"/>
  <c r="N6" i="12"/>
  <c r="N38" i="12"/>
  <c r="N141" i="12"/>
  <c r="N99" i="12"/>
  <c r="N25" i="12"/>
  <c r="L78" i="12"/>
  <c r="L77" i="12"/>
  <c r="L98" i="12"/>
  <c r="L53" i="12"/>
  <c r="L46" i="12"/>
  <c r="L150" i="12"/>
  <c r="N56" i="12"/>
  <c r="N106" i="12"/>
  <c r="N21" i="12"/>
  <c r="N36" i="12"/>
  <c r="O84" i="12"/>
  <c r="O74" i="12"/>
  <c r="O56" i="12"/>
  <c r="O106" i="12"/>
  <c r="O23" i="12"/>
  <c r="O142" i="12"/>
  <c r="O21" i="12"/>
  <c r="O36" i="12"/>
  <c r="L121" i="12"/>
  <c r="L52" i="12"/>
  <c r="L44" i="12"/>
  <c r="L143" i="12"/>
  <c r="L76" i="12"/>
  <c r="L48" i="12"/>
  <c r="L113" i="12"/>
  <c r="L127" i="12"/>
  <c r="L101" i="12"/>
  <c r="L6" i="12"/>
  <c r="L38" i="12"/>
  <c r="L141" i="12"/>
  <c r="L132" i="12"/>
  <c r="L144" i="12"/>
  <c r="N121" i="12"/>
  <c r="N52" i="12"/>
  <c r="N19" i="12"/>
  <c r="N58" i="12"/>
  <c r="N44" i="12"/>
  <c r="N143" i="12"/>
  <c r="N154" i="12"/>
  <c r="N96" i="12"/>
  <c r="O121" i="12"/>
  <c r="O52" i="12"/>
  <c r="O19" i="12"/>
  <c r="O58" i="12"/>
  <c r="O44" i="12"/>
  <c r="O143" i="12"/>
  <c r="O154" i="12"/>
  <c r="O96" i="12"/>
  <c r="N129" i="12"/>
  <c r="N29" i="12"/>
  <c r="L102" i="12"/>
  <c r="L137" i="12"/>
  <c r="L24" i="12"/>
  <c r="N125" i="12"/>
  <c r="N132" i="12"/>
  <c r="N76" i="12"/>
  <c r="N102" i="12"/>
  <c r="N137" i="12"/>
  <c r="O102" i="12"/>
  <c r="O137" i="12"/>
  <c r="L120" i="12"/>
  <c r="L56" i="12"/>
  <c r="O129" i="12"/>
  <c r="O29" i="12"/>
  <c r="L92" i="12"/>
  <c r="L17" i="12"/>
  <c r="L123" i="12"/>
  <c r="L131" i="12"/>
  <c r="L129" i="12"/>
  <c r="L29" i="12"/>
  <c r="N94" i="12"/>
  <c r="N23" i="12"/>
  <c r="N131" i="12"/>
  <c r="O115" i="12"/>
  <c r="O125" i="12"/>
  <c r="O116" i="12"/>
  <c r="L125" i="12"/>
  <c r="N116" i="12"/>
  <c r="L80" i="12"/>
  <c r="L26" i="12"/>
  <c r="L95" i="12"/>
  <c r="L108" i="12"/>
  <c r="L18" i="12"/>
  <c r="L118" i="12"/>
  <c r="L126" i="12"/>
  <c r="L99" i="12"/>
  <c r="L198" i="12"/>
  <c r="L55" i="12"/>
  <c r="N124" i="12"/>
  <c r="N100" i="12"/>
  <c r="O124" i="12"/>
  <c r="O100" i="12"/>
  <c r="N46" i="12"/>
  <c r="L97" i="12"/>
  <c r="L41" i="12"/>
  <c r="L124" i="12"/>
  <c r="L100" i="12"/>
  <c r="L109" i="12"/>
  <c r="L111" i="12"/>
  <c r="L90" i="12"/>
  <c r="L86" i="12"/>
  <c r="L51" i="12"/>
  <c r="L117" i="12"/>
  <c r="N90" i="12"/>
  <c r="N86" i="12"/>
  <c r="N80" i="12"/>
  <c r="N26" i="12"/>
  <c r="O86" i="12"/>
  <c r="O90" i="12"/>
  <c r="O80" i="12"/>
  <c r="O26" i="12"/>
  <c r="L62" i="12"/>
  <c r="O145" i="12"/>
  <c r="N97" i="12"/>
  <c r="N55" i="12"/>
  <c r="N95" i="12"/>
  <c r="O118" i="12"/>
  <c r="O97" i="12"/>
  <c r="N17" i="12"/>
  <c r="N107" i="12"/>
  <c r="N109" i="12"/>
  <c r="O107" i="12"/>
  <c r="N145" i="12"/>
  <c r="N118" i="12"/>
  <c r="O126" i="12"/>
  <c r="O55" i="12"/>
  <c r="O17" i="12"/>
  <c r="O109" i="12"/>
  <c r="L105" i="12"/>
  <c r="L70" i="12"/>
  <c r="L140" i="12"/>
  <c r="L152" i="12"/>
  <c r="L63" i="12"/>
  <c r="L155" i="12"/>
  <c r="L149" i="12"/>
  <c r="L134" i="12"/>
  <c r="L162" i="12"/>
  <c r="L112" i="12"/>
  <c r="L170" i="12"/>
  <c r="L130" i="12"/>
  <c r="L178" i="12"/>
  <c r="L71" i="12"/>
  <c r="L194" i="12"/>
  <c r="L33" i="12"/>
  <c r="N119" i="12"/>
  <c r="N22" i="12"/>
  <c r="N15" i="12"/>
  <c r="N40" i="12"/>
  <c r="N158" i="12"/>
  <c r="N79" i="12"/>
  <c r="N166" i="12"/>
  <c r="N11" i="12"/>
  <c r="N174" i="12"/>
  <c r="N128" i="12"/>
  <c r="N182" i="12"/>
  <c r="N61" i="12"/>
  <c r="N60" i="12"/>
  <c r="N35" i="12"/>
  <c r="N190" i="12"/>
  <c r="N10" i="12"/>
  <c r="N98" i="12"/>
  <c r="N24" i="12"/>
  <c r="O20" i="12"/>
  <c r="O94" i="12"/>
  <c r="O119" i="12"/>
  <c r="O22" i="12"/>
  <c r="O15" i="12"/>
  <c r="O40" i="12"/>
  <c r="O158" i="12"/>
  <c r="O79" i="12"/>
  <c r="O166" i="12"/>
  <c r="O11" i="12"/>
  <c r="O174" i="12"/>
  <c r="O128" i="12"/>
  <c r="O182" i="12"/>
  <c r="O61" i="12"/>
  <c r="O60" i="12"/>
  <c r="O35" i="12"/>
  <c r="O190" i="12"/>
  <c r="O10" i="12"/>
  <c r="O98" i="12"/>
  <c r="O24" i="12"/>
  <c r="O43" i="12"/>
  <c r="O51" i="12"/>
  <c r="L114" i="12"/>
  <c r="L27" i="12"/>
  <c r="L30" i="12"/>
  <c r="L59" i="12"/>
  <c r="L156" i="12"/>
  <c r="L42" i="12"/>
  <c r="L164" i="12"/>
  <c r="L82" i="12"/>
  <c r="L172" i="12"/>
  <c r="L57" i="12"/>
  <c r="L180" i="12"/>
  <c r="L7" i="12"/>
  <c r="L188" i="12"/>
  <c r="L72" i="12"/>
  <c r="L196" i="12"/>
  <c r="L104" i="12"/>
  <c r="N89" i="12"/>
  <c r="N14" i="12"/>
  <c r="N135" i="12"/>
  <c r="N110" i="12"/>
  <c r="N160" i="12"/>
  <c r="N39" i="12"/>
  <c r="N168" i="12"/>
  <c r="N16" i="12"/>
  <c r="N176" i="12"/>
  <c r="N122" i="12"/>
  <c r="N184" i="12"/>
  <c r="N68" i="12"/>
  <c r="N153" i="12"/>
  <c r="N28" i="12"/>
  <c r="N192" i="12"/>
  <c r="N87" i="12"/>
  <c r="N91" i="12"/>
  <c r="N75" i="12"/>
  <c r="N41" i="12"/>
  <c r="N62" i="12"/>
  <c r="O89" i="12"/>
  <c r="O14" i="12"/>
  <c r="O135" i="12"/>
  <c r="O110" i="12"/>
  <c r="O160" i="12"/>
  <c r="O39" i="12"/>
  <c r="O168" i="12"/>
  <c r="O16" i="12"/>
  <c r="O176" i="12"/>
  <c r="O122" i="12"/>
  <c r="O184" i="12"/>
  <c r="O68" i="12"/>
  <c r="O153" i="12"/>
  <c r="O28" i="12"/>
  <c r="O192" i="12"/>
  <c r="O87" i="12"/>
  <c r="O91" i="12"/>
  <c r="O75" i="12"/>
  <c r="O138" i="12"/>
  <c r="O18" i="12"/>
  <c r="L119" i="12"/>
  <c r="L22" i="12"/>
  <c r="L15" i="12"/>
  <c r="L40" i="12"/>
  <c r="L158" i="12"/>
  <c r="L79" i="12"/>
  <c r="L166" i="12"/>
  <c r="L11" i="12"/>
  <c r="L174" i="12"/>
  <c r="L128" i="12"/>
  <c r="L182" i="12"/>
  <c r="L61" i="12"/>
  <c r="L60" i="12"/>
  <c r="L35" i="12"/>
  <c r="L190" i="12"/>
  <c r="L10" i="12"/>
  <c r="L20" i="12"/>
  <c r="L94" i="12"/>
  <c r="N105" i="12"/>
  <c r="N70" i="12"/>
  <c r="N140" i="12"/>
  <c r="N152" i="12"/>
  <c r="N63" i="12"/>
  <c r="N155" i="12"/>
  <c r="N149" i="12"/>
  <c r="N134" i="12"/>
  <c r="N162" i="12"/>
  <c r="N112" i="12"/>
  <c r="N170" i="12"/>
  <c r="N130" i="12"/>
  <c r="N178" i="12"/>
  <c r="N71" i="12"/>
  <c r="N126" i="12"/>
  <c r="N20" i="12"/>
  <c r="N194" i="12"/>
  <c r="N33" i="12"/>
  <c r="N43" i="12"/>
  <c r="N51" i="12"/>
  <c r="O105" i="12"/>
  <c r="O70" i="12"/>
  <c r="O152" i="12"/>
  <c r="O63" i="12"/>
  <c r="O155" i="12"/>
  <c r="O149" i="12"/>
  <c r="O134" i="12"/>
  <c r="O162" i="12"/>
  <c r="O112" i="12"/>
  <c r="O170" i="12"/>
  <c r="O130" i="12"/>
  <c r="O178" i="12"/>
  <c r="O71" i="12"/>
  <c r="O194" i="12"/>
  <c r="O33" i="12"/>
  <c r="L89" i="12"/>
  <c r="L14" i="12"/>
  <c r="L135" i="12"/>
  <c r="L110" i="12"/>
  <c r="L160" i="12"/>
  <c r="L39" i="12"/>
  <c r="L168" i="12"/>
  <c r="L16" i="12"/>
  <c r="L176" i="12"/>
  <c r="L122" i="12"/>
  <c r="L184" i="12"/>
  <c r="L68" i="12"/>
  <c r="L153" i="12"/>
  <c r="L28" i="12"/>
  <c r="L192" i="12"/>
  <c r="L87" i="12"/>
  <c r="N114" i="12"/>
  <c r="N27" i="12"/>
  <c r="N30" i="12"/>
  <c r="N59" i="12"/>
  <c r="N156" i="12"/>
  <c r="N42" i="12"/>
  <c r="N164" i="12"/>
  <c r="N82" i="12"/>
  <c r="N172" i="12"/>
  <c r="N57" i="12"/>
  <c r="N180" i="12"/>
  <c r="N7" i="12"/>
  <c r="N188" i="12"/>
  <c r="N72" i="12"/>
  <c r="N196" i="12"/>
  <c r="N104" i="12"/>
  <c r="N120" i="12"/>
  <c r="N78" i="12"/>
  <c r="N138" i="12"/>
  <c r="N18" i="12"/>
  <c r="O114" i="12"/>
  <c r="O27" i="12"/>
  <c r="O30" i="12"/>
  <c r="O59" i="12"/>
  <c r="O156" i="12"/>
  <c r="O42" i="12"/>
  <c r="O164" i="12"/>
  <c r="O82" i="12"/>
  <c r="O172" i="12"/>
  <c r="O57" i="12"/>
  <c r="O180" i="12"/>
  <c r="O7" i="12"/>
  <c r="O188" i="12"/>
  <c r="O72" i="12"/>
  <c r="O196" i="12"/>
  <c r="O104" i="12"/>
  <c r="O120" i="12"/>
  <c r="O78" i="12"/>
  <c r="O41" i="12"/>
  <c r="O62" i="12"/>
  <c r="T4" i="1"/>
  <c r="S4" i="1"/>
  <c r="F4" i="1"/>
  <c r="O140" i="12"/>
  <c r="I4" i="1"/>
  <c r="O46" i="12"/>
  <c r="O95" i="12"/>
  <c r="W4" i="1" l="1"/>
  <c r="X4" i="1"/>
  <c r="B7" i="20"/>
  <c r="B8" i="20"/>
  <c r="C7" i="20"/>
  <c r="C8" i="20"/>
  <c r="Q7" i="20"/>
  <c r="Q8" i="20"/>
  <c r="U1" i="1"/>
  <c r="F3" i="12" s="1"/>
  <c r="N1" i="1"/>
  <c r="M1" i="1"/>
  <c r="Q20" i="20"/>
  <c r="Q17" i="20"/>
  <c r="Q15" i="20"/>
  <c r="Q13" i="20"/>
  <c r="Q11" i="20"/>
  <c r="Q9" i="20"/>
  <c r="Q6" i="20"/>
  <c r="Q41" i="20"/>
  <c r="Q39" i="20"/>
  <c r="Q37" i="20"/>
  <c r="Q35" i="20"/>
  <c r="Q32" i="20"/>
  <c r="Q30" i="20"/>
  <c r="Q28" i="20"/>
  <c r="Q26" i="20"/>
  <c r="Q24" i="20"/>
  <c r="Q22" i="20"/>
  <c r="Q19" i="20"/>
  <c r="Q4" i="20"/>
  <c r="Q33" i="20"/>
  <c r="Q18" i="20"/>
  <c r="Q16" i="20"/>
  <c r="Q14" i="20"/>
  <c r="Q12" i="20"/>
  <c r="Q10" i="20"/>
  <c r="Q5" i="20"/>
  <c r="Q42" i="20"/>
  <c r="Q2" i="20" s="1"/>
  <c r="Q40" i="20"/>
  <c r="Q38" i="20"/>
  <c r="Q36" i="20"/>
  <c r="Q34" i="20"/>
  <c r="Q31" i="20"/>
  <c r="Q29" i="20"/>
  <c r="Q27" i="20"/>
  <c r="Q25" i="20"/>
  <c r="Q23" i="20"/>
  <c r="Q21" i="20"/>
  <c r="B42" i="20"/>
  <c r="B40" i="20"/>
  <c r="B38" i="20"/>
  <c r="B36" i="20"/>
  <c r="B34" i="20"/>
  <c r="B31" i="20"/>
  <c r="B29" i="20"/>
  <c r="B27" i="20"/>
  <c r="B25" i="20"/>
  <c r="B23" i="20"/>
  <c r="B21" i="20"/>
  <c r="B20" i="20"/>
  <c r="AF20" i="20" s="1"/>
  <c r="B17" i="20"/>
  <c r="B15" i="20"/>
  <c r="AF15" i="20" s="1"/>
  <c r="B13" i="20"/>
  <c r="AF13" i="20" s="1"/>
  <c r="B11" i="20"/>
  <c r="AF11" i="20" s="1"/>
  <c r="B6" i="20"/>
  <c r="AF6" i="20" s="1"/>
  <c r="B41" i="20"/>
  <c r="AF41" i="20" s="1"/>
  <c r="B39" i="20"/>
  <c r="B37" i="20"/>
  <c r="AF37" i="20" s="1"/>
  <c r="B35" i="20"/>
  <c r="B32" i="20"/>
  <c r="B30" i="20"/>
  <c r="B28" i="20"/>
  <c r="AF28" i="20" s="1"/>
  <c r="B26" i="20"/>
  <c r="B24" i="20"/>
  <c r="AF24" i="20" s="1"/>
  <c r="B22" i="20"/>
  <c r="B19" i="20"/>
  <c r="AF19" i="20" s="1"/>
  <c r="B12" i="20"/>
  <c r="AF12" i="20" s="1"/>
  <c r="B5" i="20"/>
  <c r="AF5" i="20" s="1"/>
  <c r="B9" i="20"/>
  <c r="AF9" i="20" s="1"/>
  <c r="B33" i="20"/>
  <c r="B18" i="20"/>
  <c r="B16" i="20"/>
  <c r="AF16" i="20" s="1"/>
  <c r="B14" i="20"/>
  <c r="AF14" i="20" s="1"/>
  <c r="B10" i="20"/>
  <c r="B4" i="20"/>
  <c r="AF4" i="20" s="1"/>
  <c r="C20" i="20"/>
  <c r="AN19" i="20"/>
  <c r="AP18" i="20"/>
  <c r="C17" i="20"/>
  <c r="C15" i="20"/>
  <c r="C13" i="20"/>
  <c r="C11" i="20"/>
  <c r="C9" i="20"/>
  <c r="C6" i="20"/>
  <c r="C41" i="20"/>
  <c r="C39" i="20"/>
  <c r="C37" i="20"/>
  <c r="C35" i="20"/>
  <c r="C32" i="20"/>
  <c r="C30" i="20"/>
  <c r="C28" i="20"/>
  <c r="C26" i="20"/>
  <c r="C24" i="20"/>
  <c r="C22" i="20"/>
  <c r="AR20" i="20"/>
  <c r="C19" i="20"/>
  <c r="AN18" i="20"/>
  <c r="C33" i="20"/>
  <c r="AP20" i="20"/>
  <c r="AR19" i="20"/>
  <c r="C18" i="20"/>
  <c r="C16" i="20"/>
  <c r="C14" i="20"/>
  <c r="C12" i="20"/>
  <c r="C10" i="20"/>
  <c r="C5" i="20"/>
  <c r="C4" i="20"/>
  <c r="C42" i="20"/>
  <c r="C40" i="20"/>
  <c r="C38" i="20"/>
  <c r="C36" i="20"/>
  <c r="C34" i="20"/>
  <c r="C31" i="20"/>
  <c r="C29" i="20"/>
  <c r="C27" i="20"/>
  <c r="C25" i="20"/>
  <c r="C23" i="20"/>
  <c r="C21" i="20"/>
  <c r="AN20" i="20"/>
  <c r="AP19" i="20"/>
  <c r="AR18" i="20"/>
  <c r="G85" i="20"/>
  <c r="G81" i="20"/>
  <c r="G108" i="20"/>
  <c r="G106" i="20"/>
  <c r="G104" i="20"/>
  <c r="G102" i="20"/>
  <c r="G100" i="20"/>
  <c r="G98" i="20"/>
  <c r="G96" i="20"/>
  <c r="G94" i="20"/>
  <c r="G92" i="20"/>
  <c r="G90" i="20"/>
  <c r="G88" i="20"/>
  <c r="G86" i="20"/>
  <c r="G82" i="20"/>
  <c r="G83" i="20"/>
  <c r="G107" i="20"/>
  <c r="G105" i="20"/>
  <c r="G103" i="20"/>
  <c r="G101" i="20"/>
  <c r="G99" i="20"/>
  <c r="G97" i="20"/>
  <c r="G95" i="20"/>
  <c r="G93" i="20"/>
  <c r="G91" i="20"/>
  <c r="G89" i="20"/>
  <c r="G87" i="20"/>
  <c r="G84" i="20"/>
  <c r="G80" i="20"/>
  <c r="AF7" i="20" l="1"/>
  <c r="AF32" i="20"/>
  <c r="AF33" i="20"/>
  <c r="AF27" i="20"/>
  <c r="AF36" i="20"/>
  <c r="AF18" i="20"/>
  <c r="AF10" i="20"/>
  <c r="AF22" i="20"/>
  <c r="AF30" i="20"/>
  <c r="AF39" i="20"/>
  <c r="AF21" i="20"/>
  <c r="AF29" i="20"/>
  <c r="AF38" i="20"/>
  <c r="AF26" i="20"/>
  <c r="AF35" i="20"/>
  <c r="AF25" i="20"/>
  <c r="AF34" i="20"/>
  <c r="AF23" i="20"/>
  <c r="AF31" i="20"/>
  <c r="AF40" i="20"/>
  <c r="AG8" i="20"/>
  <c r="U8" i="20"/>
  <c r="T8" i="20"/>
  <c r="AF8" i="20"/>
  <c r="AF17" i="20"/>
  <c r="AG21" i="20"/>
  <c r="AG29" i="20"/>
  <c r="AG38" i="20"/>
  <c r="AG5" i="20"/>
  <c r="AG14" i="20"/>
  <c r="AG28" i="20"/>
  <c r="AG37" i="20"/>
  <c r="AG9" i="20"/>
  <c r="AG17" i="20"/>
  <c r="AG23" i="20"/>
  <c r="AG31" i="20"/>
  <c r="AG40" i="20"/>
  <c r="AG7" i="20"/>
  <c r="AG16" i="20"/>
  <c r="AG33" i="20"/>
  <c r="AG22" i="20"/>
  <c r="AG30" i="20"/>
  <c r="AG39" i="20"/>
  <c r="AG11" i="20"/>
  <c r="AF42" i="20"/>
  <c r="B2" i="20"/>
  <c r="E25" i="20" s="1"/>
  <c r="T11" i="20"/>
  <c r="AP79" i="20" s="1"/>
  <c r="T4" i="20"/>
  <c r="U4" i="20"/>
  <c r="U9" i="20"/>
  <c r="U14" i="20"/>
  <c r="U5" i="20"/>
  <c r="U18" i="20"/>
  <c r="T37" i="20"/>
  <c r="U33" i="20"/>
  <c r="T36" i="20"/>
  <c r="T32" i="20"/>
  <c r="T28" i="20"/>
  <c r="T17" i="20"/>
  <c r="T13" i="20"/>
  <c r="T15" i="20"/>
  <c r="AP82" i="20" s="1"/>
  <c r="T25" i="20"/>
  <c r="U32" i="20"/>
  <c r="T39" i="20"/>
  <c r="U42" i="20"/>
  <c r="U6" i="20"/>
  <c r="T14" i="20"/>
  <c r="AP81" i="20" s="1"/>
  <c r="U12" i="20"/>
  <c r="T7" i="20"/>
  <c r="U15" i="20"/>
  <c r="T19" i="20"/>
  <c r="T9" i="20"/>
  <c r="U34" i="20"/>
  <c r="T24" i="20"/>
  <c r="U29" i="20"/>
  <c r="T20" i="20"/>
  <c r="T23" i="20"/>
  <c r="U23" i="20"/>
  <c r="T34" i="20"/>
  <c r="U35" i="20"/>
  <c r="T41" i="20"/>
  <c r="U36" i="20"/>
  <c r="T38" i="20"/>
  <c r="U39" i="20"/>
  <c r="T26" i="20"/>
  <c r="U27" i="20"/>
  <c r="T31" i="20"/>
  <c r="U40" i="20"/>
  <c r="T42" i="20"/>
  <c r="U28" i="20"/>
  <c r="T30" i="20"/>
  <c r="T27" i="20"/>
  <c r="T5" i="20"/>
  <c r="T6" i="20"/>
  <c r="U11" i="20"/>
  <c r="T16" i="20"/>
  <c r="T10" i="20"/>
  <c r="U17" i="20"/>
  <c r="U24" i="20"/>
  <c r="U41" i="20"/>
  <c r="T33" i="20"/>
  <c r="U21" i="20"/>
  <c r="U25" i="20"/>
  <c r="U19" i="20"/>
  <c r="U20" i="20"/>
  <c r="U16" i="20"/>
  <c r="T29" i="20"/>
  <c r="U30" i="20"/>
  <c r="U26" i="20"/>
  <c r="U31" i="20"/>
  <c r="T35" i="20"/>
  <c r="T12" i="20"/>
  <c r="AP80" i="20" s="1"/>
  <c r="U10" i="20"/>
  <c r="U13" i="20"/>
  <c r="T22" i="20"/>
  <c r="U7" i="20"/>
  <c r="U22" i="20"/>
  <c r="U38" i="20"/>
  <c r="T40" i="20"/>
  <c r="T18" i="20"/>
  <c r="T21" i="20"/>
  <c r="U37" i="20"/>
  <c r="AG25" i="20"/>
  <c r="AG34" i="20"/>
  <c r="AG42" i="20"/>
  <c r="AG10" i="20"/>
  <c r="AG18" i="20"/>
  <c r="AG24" i="20"/>
  <c r="AG32" i="20"/>
  <c r="AG41" i="20"/>
  <c r="AG13" i="20"/>
  <c r="AG27" i="20"/>
  <c r="AG36" i="20"/>
  <c r="AG4" i="20"/>
  <c r="AG12" i="20"/>
  <c r="AG19" i="20"/>
  <c r="AG26" i="20"/>
  <c r="AG35" i="20"/>
  <c r="AG6" i="20"/>
  <c r="AG15" i="20"/>
  <c r="AG20" i="20"/>
  <c r="E10" i="20" l="1"/>
  <c r="E29" i="20"/>
  <c r="F8" i="20"/>
  <c r="E8" i="20"/>
  <c r="E27" i="20"/>
  <c r="E19" i="20"/>
  <c r="E24" i="20"/>
  <c r="E41" i="20"/>
  <c r="E15" i="20"/>
  <c r="AN82" i="20" s="1"/>
  <c r="E13" i="20"/>
  <c r="E32" i="20"/>
  <c r="E18" i="20"/>
  <c r="E42" i="20"/>
  <c r="Y42" i="20" s="1"/>
  <c r="E35" i="20"/>
  <c r="E4" i="20"/>
  <c r="E20" i="20"/>
  <c r="E6" i="20"/>
  <c r="E26" i="20"/>
  <c r="E12" i="20"/>
  <c r="AN80" i="20" s="1"/>
  <c r="E36" i="20"/>
  <c r="E34" i="20"/>
  <c r="E31" i="20"/>
  <c r="E9" i="20"/>
  <c r="E28" i="20"/>
  <c r="E14" i="20"/>
  <c r="AN81" i="20" s="1"/>
  <c r="E38" i="20"/>
  <c r="E21" i="20"/>
  <c r="E22" i="20"/>
  <c r="E40" i="20"/>
  <c r="E23" i="20"/>
  <c r="E39" i="20"/>
  <c r="E16" i="20"/>
  <c r="E17" i="20"/>
  <c r="E37" i="20"/>
  <c r="E5" i="20"/>
  <c r="AF2" i="20"/>
  <c r="AK7" i="20" s="1"/>
  <c r="F15" i="20"/>
  <c r="F42" i="20"/>
  <c r="F35" i="20"/>
  <c r="F41" i="20"/>
  <c r="F23" i="20"/>
  <c r="F26" i="20"/>
  <c r="F9" i="20"/>
  <c r="F18" i="20"/>
  <c r="F19" i="20"/>
  <c r="F36" i="20"/>
  <c r="F33" i="20"/>
  <c r="F37" i="20"/>
  <c r="F4" i="20"/>
  <c r="F16" i="20"/>
  <c r="F34" i="20"/>
  <c r="F10" i="20"/>
  <c r="F14" i="20"/>
  <c r="F27" i="20"/>
  <c r="F7" i="20"/>
  <c r="F17" i="20"/>
  <c r="F39" i="20"/>
  <c r="F31" i="20"/>
  <c r="F25" i="20"/>
  <c r="F30" i="20"/>
  <c r="F38" i="20"/>
  <c r="F11" i="20"/>
  <c r="F21" i="20"/>
  <c r="F40" i="20"/>
  <c r="F28" i="20"/>
  <c r="F20" i="20"/>
  <c r="F29" i="20"/>
  <c r="F22" i="20"/>
  <c r="F12" i="20"/>
  <c r="F32" i="20"/>
  <c r="F6" i="20"/>
  <c r="F5" i="20"/>
  <c r="F13" i="20"/>
  <c r="F24" i="20"/>
  <c r="E11" i="20"/>
  <c r="AN79" i="20" s="1"/>
  <c r="E30" i="20"/>
  <c r="E33" i="20"/>
  <c r="E7" i="20"/>
  <c r="AJ13" i="20" l="1"/>
  <c r="AJ8" i="20"/>
  <c r="AJ11" i="20"/>
  <c r="AJ7" i="20"/>
  <c r="AI8" i="20"/>
  <c r="AJ12" i="20"/>
  <c r="AS80" i="20" s="1"/>
  <c r="AJ9" i="20"/>
  <c r="AJ14" i="20"/>
  <c r="AS81" i="20" s="1"/>
  <c r="AJ15" i="20"/>
  <c r="AS82" i="20" s="1"/>
  <c r="AJ10" i="20"/>
  <c r="AJ16" i="20"/>
  <c r="AJ35" i="20"/>
  <c r="AK6" i="20"/>
  <c r="AJ17" i="20"/>
  <c r="AJ29" i="20"/>
  <c r="AJ31" i="20"/>
  <c r="AJ37" i="20"/>
  <c r="AJ40" i="20"/>
  <c r="AJ32" i="20"/>
  <c r="AJ25" i="20"/>
  <c r="AJ42" i="20"/>
  <c r="AJ22" i="20"/>
  <c r="AJ18" i="20"/>
  <c r="AJ27" i="20"/>
  <c r="AJ28" i="20"/>
  <c r="AI42" i="20"/>
  <c r="AJ36" i="20"/>
  <c r="AJ20" i="20"/>
  <c r="AJ23" i="20"/>
  <c r="AJ21" i="20"/>
  <c r="AJ19" i="20"/>
  <c r="AJ33" i="20"/>
  <c r="AJ34" i="20"/>
  <c r="AJ38" i="20"/>
  <c r="AJ39" i="20"/>
  <c r="AJ30" i="20"/>
  <c r="AJ24" i="20"/>
  <c r="AK4" i="20"/>
  <c r="AK5" i="20"/>
  <c r="AL17" i="20"/>
  <c r="AP7" i="20"/>
  <c r="AN9" i="20"/>
  <c r="AO10" i="20"/>
  <c r="AN11" i="20"/>
  <c r="AO9" i="20"/>
  <c r="AN7" i="20"/>
  <c r="AO7" i="20"/>
  <c r="AN10" i="20"/>
  <c r="AO11" i="20"/>
  <c r="AI7" i="20"/>
  <c r="AI15" i="20"/>
  <c r="AI12" i="20"/>
  <c r="AI17" i="20"/>
  <c r="AI14" i="20"/>
  <c r="AI37" i="20"/>
  <c r="AI36" i="20"/>
  <c r="AI22" i="20"/>
  <c r="AI21" i="20"/>
  <c r="AI39" i="20"/>
  <c r="AI24" i="20"/>
  <c r="AI23" i="20"/>
  <c r="AI26" i="20"/>
  <c r="AI25" i="20"/>
  <c r="AI9" i="20"/>
  <c r="AI11" i="20"/>
  <c r="AI30" i="20"/>
  <c r="AI29" i="20"/>
  <c r="AI38" i="20"/>
  <c r="AI4" i="20"/>
  <c r="AI32" i="20"/>
  <c r="AI31" i="20"/>
  <c r="AI10" i="20"/>
  <c r="AI35" i="20"/>
  <c r="AI34" i="20"/>
  <c r="AI19" i="20"/>
  <c r="AI20" i="20"/>
  <c r="AI16" i="20"/>
  <c r="AI18" i="20"/>
  <c r="AI41" i="20"/>
  <c r="AI40" i="20"/>
  <c r="AI33" i="20"/>
  <c r="AI6" i="20"/>
  <c r="AI28" i="20"/>
  <c r="AI27" i="20"/>
  <c r="AI5" i="20"/>
  <c r="AI13" i="20"/>
  <c r="AJ26" i="20"/>
  <c r="AS79" i="20"/>
  <c r="AJ41" i="20"/>
  <c r="AQ20" i="20" l="1"/>
  <c r="AS18" i="20"/>
  <c r="AO20" i="20"/>
  <c r="AS20" i="20"/>
  <c r="AQ18" i="20"/>
  <c r="AS19" i="20"/>
  <c r="AO18" i="20"/>
  <c r="AQ19" i="20"/>
  <c r="AO19" i="20"/>
</calcChain>
</file>

<file path=xl/comments1.xml><?xml version="1.0" encoding="utf-8"?>
<comments xmlns="http://schemas.openxmlformats.org/spreadsheetml/2006/main">
  <authors>
    <author>作者</author>
  </authors>
  <commentList>
    <comment ref="F1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2.7L use
</t>
        </r>
      </text>
    </comment>
  </commentList>
</comments>
</file>

<file path=xl/sharedStrings.xml><?xml version="1.0" encoding="utf-8"?>
<sst xmlns="http://schemas.openxmlformats.org/spreadsheetml/2006/main" count="7870" uniqueCount="1576">
  <si>
    <t>BET</t>
    <phoneticPr fontId="3" type="noConversion"/>
  </si>
  <si>
    <t>Sourced supplier
选点供应商</t>
  </si>
  <si>
    <t>CR</t>
    <phoneticPr fontId="3" type="noConversion"/>
  </si>
  <si>
    <t>PPAP1 date in SP</t>
    <phoneticPr fontId="3" type="noConversion"/>
  </si>
  <si>
    <t>PPAP1 date in WERS</t>
    <phoneticPr fontId="3" type="noConversion"/>
  </si>
  <si>
    <r>
      <t xml:space="preserve">Reason Category
</t>
    </r>
    <r>
      <rPr>
        <b/>
        <sz val="10"/>
        <rFont val="宋体"/>
        <family val="3"/>
        <charset val="134"/>
      </rPr>
      <t>原因分类</t>
    </r>
    <phoneticPr fontId="52" type="noConversion"/>
  </si>
  <si>
    <t>AA</t>
  </si>
  <si>
    <t>AAW</t>
  </si>
  <si>
    <t>BAW</t>
  </si>
  <si>
    <t>BA</t>
  </si>
  <si>
    <r>
      <t xml:space="preserve">Pre-fix
</t>
    </r>
    <r>
      <rPr>
        <b/>
        <sz val="10"/>
        <rFont val="宋体"/>
        <family val="3"/>
        <charset val="134"/>
      </rPr>
      <t>前缀</t>
    </r>
    <phoneticPr fontId="59" type="noConversion"/>
  </si>
  <si>
    <r>
      <t xml:space="preserve">Base
</t>
    </r>
    <r>
      <rPr>
        <b/>
        <sz val="10"/>
        <rFont val="宋体"/>
        <family val="3"/>
        <charset val="134"/>
      </rPr>
      <t>中缀</t>
    </r>
    <phoneticPr fontId="59" type="noConversion"/>
  </si>
  <si>
    <r>
      <t xml:space="preserve">Suffix
</t>
    </r>
    <r>
      <rPr>
        <b/>
        <sz val="10"/>
        <rFont val="宋体"/>
        <family val="3"/>
        <charset val="134"/>
      </rPr>
      <t>后缀</t>
    </r>
    <phoneticPr fontId="3" type="noConversion"/>
  </si>
  <si>
    <t>CA</t>
  </si>
  <si>
    <t>PP/J1 support plan</t>
    <phoneticPr fontId="3" type="noConversion"/>
  </si>
  <si>
    <t>OTG PPAP1</t>
    <phoneticPr fontId="60" type="noConversion"/>
  </si>
  <si>
    <r>
      <t xml:space="preserve">Part </t>
    </r>
    <r>
      <rPr>
        <b/>
        <sz val="10"/>
        <rFont val="宋体"/>
        <family val="3"/>
        <charset val="134"/>
      </rPr>
      <t xml:space="preserve">Chinese </t>
    </r>
    <r>
      <rPr>
        <b/>
        <sz val="10"/>
        <rFont val="宋体"/>
        <family val="3"/>
        <charset val="134"/>
      </rPr>
      <t>Name
零件中文名</t>
    </r>
    <phoneticPr fontId="3" type="noConversion"/>
  </si>
  <si>
    <r>
      <t xml:space="preserve">Part English </t>
    </r>
    <r>
      <rPr>
        <b/>
        <sz val="10"/>
        <rFont val="宋体"/>
        <family val="3"/>
        <charset val="134"/>
      </rPr>
      <t>Name
零件英文名</t>
    </r>
    <phoneticPr fontId="3" type="noConversion"/>
  </si>
  <si>
    <t>PV Start Actual</t>
    <phoneticPr fontId="60" type="noConversion"/>
  </si>
  <si>
    <t xml:space="preserve">Risk Flag </t>
    <phoneticPr fontId="3" type="noConversion"/>
  </si>
  <si>
    <r>
      <t xml:space="preserve">Item
</t>
    </r>
    <r>
      <rPr>
        <b/>
        <sz val="10"/>
        <rFont val="宋体"/>
        <family val="3"/>
        <charset val="134"/>
      </rPr>
      <t>序号</t>
    </r>
    <phoneticPr fontId="3" type="noConversion"/>
  </si>
  <si>
    <t>PMT</t>
    <phoneticPr fontId="3" type="noConversion"/>
  </si>
  <si>
    <t>PV Complete Actual</t>
    <phoneticPr fontId="60" type="noConversion"/>
  </si>
  <si>
    <t>PV Test Requirement
(Y/N)</t>
    <phoneticPr fontId="59" type="noConversion"/>
  </si>
  <si>
    <t>PV Lead Time
(Week)</t>
    <phoneticPr fontId="59" type="noConversion"/>
  </si>
  <si>
    <t>PVP&amp;R Sign-off Date</t>
    <phoneticPr fontId="3" type="noConversion"/>
  </si>
  <si>
    <t>Basic Info.</t>
    <phoneticPr fontId="3" type="noConversion"/>
  </si>
  <si>
    <t xml:space="preserve">PVP&amp;R Sign-off </t>
    <phoneticPr fontId="3" type="noConversion"/>
  </si>
  <si>
    <t>PV Complete Forecast</t>
    <phoneticPr fontId="60" type="noConversion"/>
  </si>
  <si>
    <r>
      <t xml:space="preserve">Commodity Name
</t>
    </r>
    <r>
      <rPr>
        <b/>
        <sz val="10"/>
        <rFont val="宋体"/>
        <family val="3"/>
        <charset val="134"/>
      </rPr>
      <t>产品名</t>
    </r>
    <phoneticPr fontId="3" type="noConversion"/>
  </si>
  <si>
    <t>Remark1</t>
    <phoneticPr fontId="3" type="noConversion"/>
  </si>
  <si>
    <t>Remark2</t>
    <phoneticPr fontId="3" type="noConversion"/>
  </si>
  <si>
    <t>Remark3</t>
    <phoneticPr fontId="3" type="noConversion"/>
  </si>
  <si>
    <t>Remark4</t>
    <phoneticPr fontId="3" type="noConversion"/>
  </si>
  <si>
    <t>PV Completed (Forecast)</t>
    <phoneticPr fontId="61" type="noConversion"/>
  </si>
  <si>
    <t>PV Completed (Actual)</t>
    <phoneticPr fontId="61" type="noConversion"/>
  </si>
  <si>
    <t>Completion Percentage (Forecast)</t>
    <phoneticPr fontId="61" type="noConversion"/>
  </si>
  <si>
    <t>Completion Percentage (Actual)</t>
    <phoneticPr fontId="61" type="noConversion"/>
  </si>
  <si>
    <t>PV Completed (Plan)</t>
    <phoneticPr fontId="61" type="noConversion"/>
  </si>
  <si>
    <t>BIW</t>
    <phoneticPr fontId="61" type="noConversion"/>
  </si>
  <si>
    <t>BIT</t>
    <phoneticPr fontId="61" type="noConversion"/>
  </si>
  <si>
    <t>CHS</t>
    <phoneticPr fontId="61" type="noConversion"/>
  </si>
  <si>
    <t>PT</t>
    <phoneticPr fontId="61" type="noConversion"/>
  </si>
  <si>
    <t>ELC</t>
    <phoneticPr fontId="61" type="noConversion"/>
  </si>
  <si>
    <t>Total</t>
    <phoneticPr fontId="61" type="noConversion"/>
  </si>
  <si>
    <r>
      <t>CFMA PD engineer
CFMA</t>
    </r>
    <r>
      <rPr>
        <b/>
        <sz val="10"/>
        <rFont val="宋体"/>
        <family val="3"/>
        <charset val="134"/>
      </rPr>
      <t>产品工程师</t>
    </r>
    <phoneticPr fontId="60" type="noConversion"/>
  </si>
  <si>
    <t>Double Checked</t>
    <phoneticPr fontId="3" type="noConversion"/>
  </si>
  <si>
    <t>TT Start:</t>
    <phoneticPr fontId="3" type="noConversion"/>
  </si>
  <si>
    <t>Post TT PV Completion</t>
    <phoneticPr fontId="3" type="noConversion"/>
  </si>
  <si>
    <t>Post PP PV Completion</t>
    <phoneticPr fontId="3" type="noConversion"/>
  </si>
  <si>
    <t>CHS</t>
    <phoneticPr fontId="3" type="noConversion"/>
  </si>
  <si>
    <t>Completion Percentage By Wks</t>
    <phoneticPr fontId="61" type="noConversion"/>
  </si>
  <si>
    <r>
      <t xml:space="preserve">Commodity sys No.
</t>
    </r>
    <r>
      <rPr>
        <b/>
        <sz val="10"/>
        <rFont val="宋体"/>
        <family val="3"/>
        <charset val="134"/>
      </rPr>
      <t>系统号</t>
    </r>
    <phoneticPr fontId="3" type="noConversion"/>
  </si>
  <si>
    <t>BET</t>
    <phoneticPr fontId="61" type="noConversion"/>
  </si>
  <si>
    <t>PV Start Forecast</t>
    <phoneticPr fontId="60" type="noConversion"/>
  </si>
  <si>
    <t xml:space="preserve"> </t>
    <phoneticPr fontId="61" type="noConversion"/>
  </si>
  <si>
    <t>2B373</t>
  </si>
  <si>
    <t>18K001</t>
  </si>
  <si>
    <t>Y</t>
  </si>
  <si>
    <t>PVStartTracking</t>
  </si>
  <si>
    <t>PVCompleteTracking</t>
  </si>
  <si>
    <t>Y</t>
    <phoneticPr fontId="3" type="noConversion"/>
  </si>
  <si>
    <t>PV Completed (Plan)</t>
    <phoneticPr fontId="61" type="noConversion"/>
  </si>
  <si>
    <t>EESE</t>
  </si>
  <si>
    <t>E09</t>
  </si>
  <si>
    <t>EA</t>
  </si>
  <si>
    <t>PA</t>
  </si>
  <si>
    <t>PVStartPlan
(Jul/Revised)</t>
    <phoneticPr fontId="3" type="noConversion"/>
  </si>
  <si>
    <t>PVCompletePlan
(Jul/Revised)</t>
    <phoneticPr fontId="3" type="noConversion"/>
  </si>
  <si>
    <t>Date</t>
    <phoneticPr fontId="68" type="noConversion"/>
  </si>
  <si>
    <t>Plan</t>
    <phoneticPr fontId="68" type="noConversion"/>
  </si>
  <si>
    <t>Actual</t>
    <phoneticPr fontId="68" type="noConversion"/>
  </si>
  <si>
    <t>Option No.</t>
  </si>
  <si>
    <t>PV Start Tracking</t>
  </si>
  <si>
    <t>PV Complete Tracking</t>
  </si>
  <si>
    <t xml:space="preserve">Column No. </t>
  </si>
  <si>
    <t>Selection</t>
  </si>
  <si>
    <t>PV-001</t>
  </si>
  <si>
    <t>PV-002</t>
  </si>
  <si>
    <t>PV-003</t>
  </si>
  <si>
    <t>PV-004</t>
  </si>
  <si>
    <t>PV-005</t>
  </si>
  <si>
    <t>PV-006</t>
  </si>
  <si>
    <t>PV-007</t>
  </si>
  <si>
    <t>PV-008</t>
  </si>
  <si>
    <t>PV-009</t>
  </si>
  <si>
    <t>PV-010</t>
  </si>
  <si>
    <t>PV-011</t>
  </si>
  <si>
    <t>PV-012</t>
  </si>
  <si>
    <t>PV-013</t>
  </si>
  <si>
    <t>PV-014</t>
  </si>
  <si>
    <t>PV-015</t>
  </si>
  <si>
    <t>PV-016</t>
  </si>
  <si>
    <t>PV-017</t>
  </si>
  <si>
    <t>PV-018</t>
  </si>
  <si>
    <t>PV-019</t>
  </si>
  <si>
    <t>PV-020</t>
  </si>
  <si>
    <t>PV-102</t>
  </si>
  <si>
    <t>PV-103</t>
  </si>
  <si>
    <t>PV-104</t>
  </si>
  <si>
    <t>PV-105</t>
  </si>
  <si>
    <t>PV-106</t>
  </si>
  <si>
    <t>PV-107</t>
  </si>
  <si>
    <t>PV-108</t>
  </si>
  <si>
    <t>PV-110</t>
  </si>
  <si>
    <t>PV-111</t>
  </si>
  <si>
    <t>PV-112</t>
  </si>
  <si>
    <t>PV-113</t>
  </si>
  <si>
    <t>PV-114</t>
  </si>
  <si>
    <t>PV-115</t>
  </si>
  <si>
    <t>PV-116</t>
  </si>
  <si>
    <t>PV-117</t>
  </si>
  <si>
    <t>PV-118</t>
  </si>
  <si>
    <t>PV-119</t>
  </si>
  <si>
    <t>PV-120</t>
  </si>
  <si>
    <t>PV-121</t>
  </si>
  <si>
    <t>PV-122</t>
  </si>
  <si>
    <t>PV-123</t>
  </si>
  <si>
    <t>PV-124</t>
  </si>
  <si>
    <t>PV-125</t>
  </si>
  <si>
    <t>PV-126</t>
  </si>
  <si>
    <t>PV-127</t>
  </si>
  <si>
    <t>PV-128</t>
  </si>
  <si>
    <t>PV-129</t>
  </si>
  <si>
    <t>PV-130</t>
  </si>
  <si>
    <t>PV-131</t>
  </si>
  <si>
    <t>PV-132</t>
  </si>
  <si>
    <t>PV-133</t>
  </si>
  <si>
    <t>PV-134</t>
  </si>
  <si>
    <t>PV-135</t>
  </si>
  <si>
    <t>PV-136</t>
  </si>
  <si>
    <t>PV-137</t>
  </si>
  <si>
    <t>PV-138</t>
  </si>
  <si>
    <t>PV-139</t>
  </si>
  <si>
    <t>PV-140</t>
  </si>
  <si>
    <t>PV-141</t>
  </si>
  <si>
    <t>PV-142</t>
  </si>
  <si>
    <t>PV-143</t>
  </si>
  <si>
    <t>PV-144</t>
  </si>
  <si>
    <t>PV-145</t>
  </si>
  <si>
    <t>PV-146</t>
  </si>
  <si>
    <t>PV-147</t>
  </si>
  <si>
    <t>PV-148</t>
  </si>
  <si>
    <t>PV-149</t>
  </si>
  <si>
    <t>PV-150</t>
  </si>
  <si>
    <t>PV-151</t>
  </si>
  <si>
    <t>PV-152</t>
  </si>
  <si>
    <t>PV-153</t>
  </si>
  <si>
    <t>PV-154</t>
  </si>
  <si>
    <t>PV-155</t>
  </si>
  <si>
    <t>PV-156</t>
  </si>
  <si>
    <t>PV-157</t>
  </si>
  <si>
    <t>PV-158</t>
  </si>
  <si>
    <t>PV-159</t>
  </si>
  <si>
    <t>PV-160</t>
  </si>
  <si>
    <t>PV-161</t>
  </si>
  <si>
    <t>PV-162</t>
  </si>
  <si>
    <t>PV-163</t>
  </si>
  <si>
    <t>PV-164</t>
  </si>
  <si>
    <t>PV-165</t>
  </si>
  <si>
    <t>PV-166</t>
  </si>
  <si>
    <t>PV-167</t>
  </si>
  <si>
    <t>PV-168</t>
  </si>
  <si>
    <t>PV-169</t>
  </si>
  <si>
    <t>PV-170</t>
  </si>
  <si>
    <t>PV-171</t>
  </si>
  <si>
    <t>PV-172</t>
  </si>
  <si>
    <t>PV-173</t>
  </si>
  <si>
    <t>PV-174</t>
  </si>
  <si>
    <r>
      <t xml:space="preserve">No.
</t>
    </r>
    <r>
      <rPr>
        <b/>
        <sz val="8"/>
        <rFont val="宋体"/>
        <family val="3"/>
        <charset val="134"/>
      </rPr>
      <t>序号</t>
    </r>
  </si>
  <si>
    <t>系统号</t>
  </si>
  <si>
    <t>PD</t>
    <phoneticPr fontId="5" type="noConversion"/>
  </si>
  <si>
    <t>能否按计划启动？需要团队支持的问题？</t>
  </si>
  <si>
    <t>Remarks</t>
  </si>
  <si>
    <t>产品名称</t>
  </si>
  <si>
    <t>Pre-fix
前缀</t>
  </si>
  <si>
    <t>Base
中缀</t>
  </si>
  <si>
    <t>Suffix
后缀</t>
  </si>
  <si>
    <t>Part Chinese Name
零件中文名</t>
  </si>
  <si>
    <t>PV Test 
Requirement
(Y/N)</t>
  </si>
  <si>
    <t>PV Lead 
Time
(Week)</t>
  </si>
  <si>
    <t>PV Start</t>
  </si>
  <si>
    <t>PV Complete</t>
  </si>
  <si>
    <t>PVP&amp;R Signoff</t>
  </si>
  <si>
    <t>CAF 
PD PMT</t>
  </si>
  <si>
    <t>Email To:</t>
  </si>
  <si>
    <t>Email CC:</t>
  </si>
  <si>
    <t xml:space="preserve">Please Add/Modify/Delete Email Distribution List in Yellow Highlighted Cells : </t>
  </si>
  <si>
    <t>Sender</t>
  </si>
  <si>
    <t>Title</t>
  </si>
  <si>
    <t>Company</t>
  </si>
  <si>
    <t xml:space="preserve">Changan Ford Automobile Co., Ltd </t>
  </si>
  <si>
    <t>File Name/Email Subject</t>
  </si>
  <si>
    <t>基准日</t>
  </si>
  <si>
    <t>Free Text</t>
  </si>
  <si>
    <t>每周五</t>
  </si>
  <si>
    <t>Forecast</t>
    <phoneticPr fontId="68" type="noConversion"/>
  </si>
  <si>
    <t>Total</t>
    <phoneticPr fontId="52" type="noConversion"/>
  </si>
  <si>
    <t>TT MRD</t>
    <phoneticPr fontId="52" type="noConversion"/>
  </si>
  <si>
    <t>PP</t>
    <phoneticPr fontId="52" type="noConversion"/>
  </si>
  <si>
    <t>JOB1</t>
    <phoneticPr fontId="52" type="noConversion"/>
  </si>
  <si>
    <t>date</t>
    <phoneticPr fontId="52" type="noConversion"/>
  </si>
  <si>
    <t>quantity</t>
    <phoneticPr fontId="52" type="noConversion"/>
  </si>
  <si>
    <t>%</t>
    <phoneticPr fontId="52" type="noConversion"/>
  </si>
  <si>
    <t>current</t>
    <phoneticPr fontId="52" type="noConversion"/>
  </si>
  <si>
    <t>4 weeks ahead</t>
    <phoneticPr fontId="52" type="noConversion"/>
  </si>
  <si>
    <t>8 weeks ahead</t>
    <phoneticPr fontId="52" type="noConversion"/>
  </si>
  <si>
    <t>SYS No.</t>
    <phoneticPr fontId="3" type="noConversion"/>
  </si>
  <si>
    <t>Commodity</t>
    <phoneticPr fontId="3" type="noConversion"/>
  </si>
  <si>
    <t>PMT</t>
    <phoneticPr fontId="3" type="noConversion"/>
  </si>
  <si>
    <t>Pre-fix</t>
    <phoneticPr fontId="52" type="noConversion"/>
  </si>
  <si>
    <t>Base</t>
    <phoneticPr fontId="52" type="noConversion"/>
  </si>
  <si>
    <t>Suffix</t>
    <phoneticPr fontId="3" type="noConversion"/>
  </si>
  <si>
    <t>Change Content</t>
    <phoneticPr fontId="52" type="noConversion"/>
  </si>
  <si>
    <t>Change Category</t>
    <phoneticPr fontId="3" type="noConversion"/>
  </si>
  <si>
    <t>origin plan</t>
    <phoneticPr fontId="3" type="noConversion"/>
  </si>
  <si>
    <t>Update Date</t>
    <phoneticPr fontId="52" type="noConversion"/>
  </si>
  <si>
    <t>AAW</t>
    <phoneticPr fontId="3" type="noConversion"/>
  </si>
  <si>
    <t>BAW</t>
    <phoneticPr fontId="3" type="noConversion"/>
  </si>
  <si>
    <t>CAW</t>
    <phoneticPr fontId="3" type="noConversion"/>
  </si>
  <si>
    <t>DAW</t>
    <phoneticPr fontId="3" type="noConversion"/>
  </si>
  <si>
    <t>EAW</t>
    <phoneticPr fontId="3" type="noConversion"/>
  </si>
  <si>
    <t>FAW</t>
    <phoneticPr fontId="3" type="noConversion"/>
  </si>
  <si>
    <t>GAW</t>
    <phoneticPr fontId="3" type="noConversion"/>
  </si>
  <si>
    <t>HAW</t>
    <phoneticPr fontId="3" type="noConversion"/>
  </si>
  <si>
    <t>JAW</t>
    <phoneticPr fontId="3" type="noConversion"/>
  </si>
  <si>
    <t>KAW</t>
    <phoneticPr fontId="3" type="noConversion"/>
  </si>
  <si>
    <t>LAW</t>
    <phoneticPr fontId="3" type="noConversion"/>
  </si>
  <si>
    <t>ET22</t>
    <phoneticPr fontId="3" type="noConversion"/>
  </si>
  <si>
    <t>AA</t>
    <phoneticPr fontId="3" type="noConversion"/>
  </si>
  <si>
    <t>EESE</t>
    <phoneticPr fontId="3" type="noConversion"/>
  </si>
  <si>
    <t>BIW</t>
    <phoneticPr fontId="3" type="noConversion"/>
  </si>
  <si>
    <t>Y</t>
    <phoneticPr fontId="3" type="noConversion"/>
  </si>
  <si>
    <t>至信</t>
    <phoneticPr fontId="3" type="noConversion"/>
  </si>
  <si>
    <t>CHS</t>
    <phoneticPr fontId="3" type="noConversion"/>
  </si>
  <si>
    <t>ABW</t>
    <phoneticPr fontId="3" type="noConversion"/>
  </si>
  <si>
    <t>仪表</t>
    <phoneticPr fontId="3" type="noConversion"/>
  </si>
  <si>
    <t>CA</t>
    <phoneticPr fontId="3" type="noConversion"/>
  </si>
  <si>
    <t>E023</t>
    <phoneticPr fontId="3" type="noConversion"/>
  </si>
  <si>
    <t>E04</t>
    <phoneticPr fontId="3" type="noConversion"/>
  </si>
  <si>
    <t>E20-1</t>
    <phoneticPr fontId="3" type="noConversion"/>
  </si>
  <si>
    <t>ET12-2</t>
    <phoneticPr fontId="3" type="noConversion"/>
  </si>
  <si>
    <t>ET24</t>
    <phoneticPr fontId="3" type="noConversion"/>
  </si>
  <si>
    <t>AGS</t>
    <phoneticPr fontId="3" type="noConversion"/>
  </si>
  <si>
    <t>ET3</t>
    <phoneticPr fontId="3" type="noConversion"/>
  </si>
  <si>
    <t>ET9</t>
    <phoneticPr fontId="3" type="noConversion"/>
  </si>
  <si>
    <t>backup</t>
    <phoneticPr fontId="52" type="noConversion"/>
  </si>
  <si>
    <t>PP MRD</t>
    <phoneticPr fontId="61" type="noConversion"/>
  </si>
  <si>
    <t>AA</t>
    <phoneticPr fontId="3" type="noConversion"/>
  </si>
  <si>
    <t>Li Tianyang</t>
    <phoneticPr fontId="3" type="noConversion"/>
  </si>
  <si>
    <t>Yu Jia</t>
    <phoneticPr fontId="3" type="noConversion"/>
  </si>
  <si>
    <t>BIW</t>
    <phoneticPr fontId="61" type="noConversion"/>
  </si>
  <si>
    <t>BET</t>
    <phoneticPr fontId="61" type="noConversion"/>
  </si>
  <si>
    <t>BIT</t>
    <phoneticPr fontId="61" type="noConversion"/>
  </si>
  <si>
    <t>CHS</t>
    <phoneticPr fontId="61" type="noConversion"/>
  </si>
  <si>
    <t>PT</t>
    <phoneticPr fontId="61" type="noConversion"/>
  </si>
  <si>
    <t>EESE</t>
    <phoneticPr fontId="61" type="noConversion"/>
  </si>
  <si>
    <r>
      <t>Actual
/</t>
    </r>
    <r>
      <rPr>
        <b/>
        <sz val="9"/>
        <rFont val="宋体"/>
        <family val="3"/>
        <charset val="134"/>
      </rPr>
      <t>实际完成</t>
    </r>
    <phoneticPr fontId="61" type="noConversion"/>
  </si>
  <si>
    <r>
      <t>Plan
/</t>
    </r>
    <r>
      <rPr>
        <b/>
        <sz val="9"/>
        <rFont val="宋体"/>
        <family val="3"/>
        <charset val="134"/>
      </rPr>
      <t>原计划</t>
    </r>
    <phoneticPr fontId="61" type="noConversion"/>
  </si>
  <si>
    <r>
      <t>Forecast
/</t>
    </r>
    <r>
      <rPr>
        <b/>
        <sz val="9"/>
        <rFont val="宋体"/>
        <family val="3"/>
        <charset val="134"/>
      </rPr>
      <t>调整计划</t>
    </r>
    <phoneticPr fontId="61" type="noConversion"/>
  </si>
  <si>
    <t>total</t>
    <phoneticPr fontId="61" type="noConversion"/>
  </si>
  <si>
    <t>E022</t>
    <phoneticPr fontId="3" type="noConversion"/>
  </si>
  <si>
    <t>Nov.</t>
    <phoneticPr fontId="61" type="noConversion"/>
  </si>
  <si>
    <t>W1 (11/3)</t>
    <phoneticPr fontId="52" type="noConversion"/>
  </si>
  <si>
    <t>W2 (11/10)</t>
    <phoneticPr fontId="52" type="noConversion"/>
  </si>
  <si>
    <t>W8 (11/17)</t>
    <phoneticPr fontId="52" type="noConversion"/>
  </si>
  <si>
    <t>W4 (11/24)</t>
    <phoneticPr fontId="52" type="noConversion"/>
  </si>
  <si>
    <r>
      <t>Forecast
/</t>
    </r>
    <r>
      <rPr>
        <b/>
        <sz val="9"/>
        <rFont val="宋体"/>
        <family val="3"/>
        <charset val="134"/>
      </rPr>
      <t>计划</t>
    </r>
    <phoneticPr fontId="61" type="noConversion"/>
  </si>
  <si>
    <t>TT MRD</t>
    <phoneticPr fontId="3" type="noConversion"/>
  </si>
  <si>
    <t>PP Start:</t>
    <phoneticPr fontId="3" type="noConversion"/>
  </si>
  <si>
    <t>AC Compressor</t>
  </si>
  <si>
    <t>B017</t>
    <phoneticPr fontId="3" type="noConversion"/>
  </si>
  <si>
    <t>前保钢梁辊压</t>
    <phoneticPr fontId="3" type="noConversion"/>
  </si>
  <si>
    <t>KK7B</t>
    <phoneticPr fontId="52" type="noConversion"/>
  </si>
  <si>
    <t>R10922</t>
    <phoneticPr fontId="52" type="noConversion"/>
  </si>
  <si>
    <t>CB</t>
    <phoneticPr fontId="52" type="noConversion"/>
  </si>
  <si>
    <r>
      <rPr>
        <sz val="9"/>
        <rFont val="Ford Light"/>
      </rPr>
      <t>前防撞梁总成</t>
    </r>
  </si>
  <si>
    <t>MBR ASY FRT CS</t>
    <phoneticPr fontId="52" type="noConversion"/>
  </si>
  <si>
    <t>Zeng Ke</t>
    <phoneticPr fontId="3" type="noConversion"/>
  </si>
  <si>
    <t>昆山顺普</t>
    <phoneticPr fontId="3" type="noConversion"/>
  </si>
  <si>
    <t>2018.5.15</t>
    <phoneticPr fontId="3" type="noConversion"/>
  </si>
  <si>
    <t>保险杠横梁</t>
    <phoneticPr fontId="3" type="noConversion"/>
  </si>
  <si>
    <t>KK7B</t>
    <phoneticPr fontId="3" type="noConversion"/>
  </si>
  <si>
    <t>17970</t>
    <phoneticPr fontId="52" type="noConversion"/>
  </si>
  <si>
    <r>
      <rPr>
        <sz val="9"/>
        <rFont val="Ford Light"/>
      </rPr>
      <t>后防撞梁总成</t>
    </r>
  </si>
  <si>
    <t>REAR BMPR BEAM ASY</t>
    <phoneticPr fontId="52" type="noConversion"/>
  </si>
  <si>
    <t>凌云</t>
    <phoneticPr fontId="3" type="noConversion"/>
  </si>
  <si>
    <t>B012-2</t>
    <phoneticPr fontId="3" type="noConversion"/>
  </si>
  <si>
    <r>
      <t>外购大中冲焊件-沿用杭州星乔瑞</t>
    </r>
    <r>
      <rPr>
        <sz val="11"/>
        <color indexed="8"/>
        <rFont val="SimSun"/>
        <charset val="134"/>
      </rPr>
      <t xml:space="preserve"> </t>
    </r>
    <phoneticPr fontId="3" type="noConversion"/>
  </si>
  <si>
    <t>K2GB</t>
  </si>
  <si>
    <t>R10124</t>
    <phoneticPr fontId="52" type="noConversion"/>
  </si>
  <si>
    <t>后纵梁总成</t>
    <phoneticPr fontId="52" type="noConversion"/>
  </si>
  <si>
    <t>MBR ASY FLR SD RR</t>
    <phoneticPr fontId="52" type="noConversion"/>
  </si>
  <si>
    <t>卡斯玛星乔瑞</t>
    <phoneticPr fontId="3" type="noConversion"/>
  </si>
  <si>
    <t>R10125</t>
    <phoneticPr fontId="52" type="noConversion"/>
  </si>
  <si>
    <t>MBR ASY FLR SD RR LH</t>
    <phoneticPr fontId="52" type="noConversion"/>
  </si>
  <si>
    <t>B012-1</t>
    <phoneticPr fontId="3" type="noConversion"/>
  </si>
  <si>
    <r>
      <rPr>
        <sz val="9"/>
        <rFont val="DengXian"/>
        <family val="1"/>
      </rPr>
      <t>外购大中冲焊件</t>
    </r>
    <r>
      <rPr>
        <sz val="9"/>
        <rFont val="Arial"/>
        <family val="2"/>
      </rPr>
      <t>-</t>
    </r>
    <r>
      <rPr>
        <sz val="9"/>
        <rFont val="DengXian"/>
        <family val="1"/>
      </rPr>
      <t>沿用杭州宝伟</t>
    </r>
    <phoneticPr fontId="3" type="noConversion"/>
  </si>
  <si>
    <t>K2GB</t>
    <phoneticPr fontId="52" type="noConversion"/>
  </si>
  <si>
    <t>R10009</t>
    <phoneticPr fontId="52" type="noConversion"/>
  </si>
  <si>
    <t>DA</t>
    <phoneticPr fontId="52" type="noConversion"/>
  </si>
  <si>
    <r>
      <rPr>
        <sz val="9"/>
        <rFont val="宋体"/>
        <family val="3"/>
        <charset val="134"/>
      </rPr>
      <t>前纵梁内板总成</t>
    </r>
    <r>
      <rPr>
        <sz val="9"/>
        <color indexed="8"/>
        <rFont val="Arial"/>
        <family val="2"/>
      </rPr>
      <t xml:space="preserve">  </t>
    </r>
    <r>
      <rPr>
        <sz val="9"/>
        <rFont val="宋体"/>
        <family val="3"/>
        <charset val="134"/>
      </rPr>
      <t>左</t>
    </r>
    <phoneticPr fontId="3" type="noConversion"/>
  </si>
  <si>
    <t>MBR ASY FRT SD INR LH</t>
  </si>
  <si>
    <t>HZ Baowei</t>
    <phoneticPr fontId="3" type="noConversion"/>
  </si>
  <si>
    <t>R10009</t>
  </si>
  <si>
    <t>HZ Baowei</t>
  </si>
  <si>
    <t>B012-3</t>
    <phoneticPr fontId="3" type="noConversion"/>
  </si>
  <si>
    <r>
      <rPr>
        <sz val="9"/>
        <rFont val="DengXian"/>
        <family val="1"/>
      </rPr>
      <t>外购大中冲焊件</t>
    </r>
    <r>
      <rPr>
        <sz val="9"/>
        <rFont val="Arial"/>
        <family val="2"/>
      </rPr>
      <t>-</t>
    </r>
    <r>
      <rPr>
        <sz val="9"/>
        <rFont val="DengXian"/>
        <family val="1"/>
      </rPr>
      <t>沿用杭州至信</t>
    </r>
    <phoneticPr fontId="3" type="noConversion"/>
  </si>
  <si>
    <t xml:space="preserve">K2GB </t>
    <phoneticPr fontId="3" type="noConversion"/>
  </si>
  <si>
    <t>14B406</t>
    <phoneticPr fontId="3" type="noConversion"/>
  </si>
  <si>
    <r>
      <rPr>
        <sz val="9"/>
        <rFont val="Ford Light"/>
      </rPr>
      <t>气囊安装支架总成</t>
    </r>
    <phoneticPr fontId="3" type="noConversion"/>
  </si>
  <si>
    <t>BRKT ASY-AIR BAG MTNG LWR</t>
    <phoneticPr fontId="3" type="noConversion"/>
  </si>
  <si>
    <t>ZX</t>
    <phoneticPr fontId="3" type="noConversion"/>
  </si>
  <si>
    <t>K2GB</t>
    <phoneticPr fontId="3" type="noConversion"/>
  </si>
  <si>
    <t>R101W22</t>
    <phoneticPr fontId="3" type="noConversion"/>
  </si>
  <si>
    <r>
      <rPr>
        <sz val="9"/>
        <rFont val="宋体"/>
        <family val="3"/>
        <charset val="134"/>
      </rPr>
      <t>前地板加强件总成</t>
    </r>
    <phoneticPr fontId="3" type="noConversion"/>
  </si>
  <si>
    <t>REINF ASY-FLR SD INR FRT</t>
    <phoneticPr fontId="3" type="noConversion"/>
  </si>
  <si>
    <t>B012-3</t>
    <phoneticPr fontId="3" type="noConversion"/>
  </si>
  <si>
    <t>R10474</t>
    <phoneticPr fontId="3" type="noConversion"/>
  </si>
  <si>
    <t>GA</t>
    <phoneticPr fontId="3" type="noConversion"/>
  </si>
  <si>
    <r>
      <rPr>
        <sz val="9"/>
        <rFont val="Ford Light"/>
      </rPr>
      <t>前地板纵梁延伸件总成</t>
    </r>
    <phoneticPr fontId="3" type="noConversion"/>
  </si>
  <si>
    <t>REINF ASY FRT S/M EXT</t>
    <phoneticPr fontId="3" type="noConversion"/>
  </si>
  <si>
    <t>BA</t>
    <phoneticPr fontId="3" type="noConversion"/>
  </si>
  <si>
    <t>REINF ASM FRT SM EXT</t>
    <phoneticPr fontId="3" type="noConversion"/>
  </si>
  <si>
    <t>ZX</t>
    <phoneticPr fontId="3" type="noConversion"/>
  </si>
  <si>
    <t>R10475</t>
    <phoneticPr fontId="3" type="noConversion"/>
  </si>
  <si>
    <t>REINF ASY FRT S/M EXT</t>
    <phoneticPr fontId="3" type="noConversion"/>
  </si>
  <si>
    <t>B130-1</t>
  </si>
  <si>
    <t>金属支架和小冲压件</t>
  </si>
  <si>
    <t>E1GB</t>
    <phoneticPr fontId="3" type="noConversion"/>
  </si>
  <si>
    <t>4K237</t>
    <phoneticPr fontId="3" type="noConversion"/>
  </si>
  <si>
    <t>前地板传动轴支架总成（左）</t>
    <phoneticPr fontId="3" type="noConversion"/>
  </si>
  <si>
    <t>MBR ASY DRV/SHT CTR BRG SUPT</t>
    <phoneticPr fontId="3" type="noConversion"/>
  </si>
  <si>
    <t>GXL</t>
    <phoneticPr fontId="3" type="noConversion"/>
  </si>
  <si>
    <t>2018.5.15</t>
    <phoneticPr fontId="3" type="noConversion"/>
  </si>
  <si>
    <t>4K238</t>
    <phoneticPr fontId="3" type="noConversion"/>
  </si>
  <si>
    <t>前地板传动轴支架总成（右）</t>
    <phoneticPr fontId="3" type="noConversion"/>
  </si>
  <si>
    <t>14B058</t>
    <phoneticPr fontId="3" type="noConversion"/>
  </si>
  <si>
    <r>
      <t>RCM</t>
    </r>
    <r>
      <rPr>
        <sz val="9"/>
        <rFont val="DengXian"/>
        <family val="1"/>
      </rPr>
      <t>安装支架</t>
    </r>
    <phoneticPr fontId="3" type="noConversion"/>
  </si>
  <si>
    <t>BRKT AIR BAG MNTR</t>
    <phoneticPr fontId="3" type="noConversion"/>
  </si>
  <si>
    <t>B012-8</t>
    <phoneticPr fontId="3" type="noConversion"/>
  </si>
  <si>
    <t>前后盖小冲压件</t>
    <phoneticPr fontId="3" type="noConversion"/>
  </si>
  <si>
    <t>R16A762</t>
    <phoneticPr fontId="3" type="noConversion"/>
  </si>
  <si>
    <t>引擎盖内板锁扣安装加强件总成</t>
    <phoneticPr fontId="3" type="noConversion"/>
  </si>
  <si>
    <t>REINF ASY HOD INR PNL @ LK</t>
    <phoneticPr fontId="52" type="noConversion"/>
  </si>
  <si>
    <t>Tong Zhongping</t>
    <phoneticPr fontId="3" type="noConversion"/>
  </si>
  <si>
    <t>2018.5.10</t>
    <phoneticPr fontId="3" type="noConversion"/>
  </si>
  <si>
    <t>KT4B</t>
  </si>
  <si>
    <t>R16A680</t>
  </si>
  <si>
    <t>引擎盖内板加强件</t>
    <phoneticPr fontId="3" type="noConversion"/>
  </si>
  <si>
    <t>REINF HOD INR PNL CTR</t>
    <phoneticPr fontId="52" type="noConversion"/>
  </si>
  <si>
    <t>R40208</t>
    <phoneticPr fontId="3" type="noConversion"/>
  </si>
  <si>
    <t>AB</t>
    <phoneticPr fontId="3" type="noConversion"/>
  </si>
  <si>
    <r>
      <rPr>
        <sz val="9"/>
        <rFont val="宋体"/>
        <family val="3"/>
        <charset val="134"/>
      </rPr>
      <t>背门内板支架总成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右</t>
    </r>
    <phoneticPr fontId="3" type="noConversion"/>
  </si>
  <si>
    <t>EXT LFT/GT I/S PNL</t>
  </si>
  <si>
    <t>R40209</t>
    <phoneticPr fontId="3" type="noConversion"/>
  </si>
  <si>
    <t>背门内板支架总成  左</t>
    <phoneticPr fontId="52" type="noConversion"/>
  </si>
  <si>
    <t>KK7B</t>
  </si>
  <si>
    <t>R40615</t>
    <phoneticPr fontId="3" type="noConversion"/>
  </si>
  <si>
    <t>AA</t>
    <phoneticPr fontId="52" type="noConversion"/>
  </si>
  <si>
    <r>
      <rPr>
        <sz val="9"/>
        <rFont val="宋体"/>
        <family val="3"/>
        <charset val="134"/>
      </rPr>
      <t>锁扣加强件</t>
    </r>
    <phoneticPr fontId="3" type="noConversion"/>
  </si>
  <si>
    <t>REINF ASY L/C DR I/S PNL @ LK LH</t>
    <phoneticPr fontId="3" type="noConversion"/>
  </si>
  <si>
    <t>Headlamp</t>
    <phoneticPr fontId="3" type="noConversion"/>
  </si>
  <si>
    <t>13W029</t>
    <phoneticPr fontId="3" type="noConversion"/>
  </si>
  <si>
    <r>
      <t xml:space="preserve"> </t>
    </r>
    <r>
      <rPr>
        <sz val="10"/>
        <color indexed="8"/>
        <rFont val="宋体"/>
        <family val="3"/>
        <charset val="134"/>
      </rPr>
      <t>Y</t>
    </r>
    <phoneticPr fontId="3" type="noConversion"/>
  </si>
  <si>
    <t>头灯</t>
    <phoneticPr fontId="3" type="noConversion"/>
  </si>
  <si>
    <t>Pan Lin</t>
    <phoneticPr fontId="3" type="noConversion"/>
  </si>
  <si>
    <t>湖北法雷奥车灯</t>
    <phoneticPr fontId="3" type="noConversion"/>
  </si>
  <si>
    <t>13W030</t>
    <phoneticPr fontId="3" type="noConversion"/>
  </si>
  <si>
    <t>ET15-1</t>
    <phoneticPr fontId="3" type="noConversion"/>
  </si>
  <si>
    <t>Belly Pan - China</t>
    <phoneticPr fontId="3" type="noConversion"/>
  </si>
  <si>
    <t>R8B384</t>
    <phoneticPr fontId="3" type="noConversion"/>
  </si>
  <si>
    <t>前保下导风板</t>
    <phoneticPr fontId="3" type="noConversion"/>
  </si>
  <si>
    <t>He Dandan</t>
    <phoneticPr fontId="3" type="noConversion"/>
  </si>
  <si>
    <t>光能荣能</t>
    <phoneticPr fontId="3" type="noConversion"/>
  </si>
  <si>
    <t>Tail Lamp</t>
    <phoneticPr fontId="3" type="noConversion"/>
  </si>
  <si>
    <t>13404</t>
    <phoneticPr fontId="3" type="noConversion"/>
  </si>
  <si>
    <t>后尾灯</t>
    <phoneticPr fontId="3" type="noConversion"/>
  </si>
  <si>
    <t>上海小糸 </t>
    <phoneticPr fontId="3" type="noConversion"/>
  </si>
  <si>
    <t>13405</t>
    <phoneticPr fontId="3" type="noConversion"/>
  </si>
  <si>
    <t>13A602</t>
    <phoneticPr fontId="3" type="noConversion"/>
  </si>
  <si>
    <t>13A603</t>
    <phoneticPr fontId="3" type="noConversion"/>
  </si>
  <si>
    <t>8472</t>
    <phoneticPr fontId="3" type="noConversion"/>
  </si>
  <si>
    <t>可变进气格栅</t>
    <phoneticPr fontId="3" type="noConversion"/>
  </si>
  <si>
    <t>Liu Cheng</t>
    <phoneticPr fontId="3" type="noConversion"/>
  </si>
  <si>
    <t>昆山 劳士领 </t>
    <phoneticPr fontId="3" type="noConversion"/>
  </si>
  <si>
    <t>8475</t>
    <phoneticPr fontId="3" type="noConversion"/>
  </si>
  <si>
    <t>ET20-2</t>
    <phoneticPr fontId="3" type="noConversion"/>
  </si>
  <si>
    <t>Badge ST</t>
    <phoneticPr fontId="3" type="noConversion"/>
  </si>
  <si>
    <t>16B114</t>
    <phoneticPr fontId="3" type="noConversion"/>
  </si>
  <si>
    <t xml:space="preserve"> ST</t>
    <phoneticPr fontId="3" type="noConversion"/>
  </si>
  <si>
    <t>宁波四维尔</t>
    <phoneticPr fontId="3" type="noConversion"/>
  </si>
  <si>
    <t>Badge Edge</t>
    <phoneticPr fontId="3" type="noConversion"/>
  </si>
  <si>
    <t>R42528</t>
    <phoneticPr fontId="3" type="noConversion"/>
  </si>
  <si>
    <t>宁波中骏</t>
    <phoneticPr fontId="3" type="noConversion"/>
  </si>
  <si>
    <t>BadgeChang an</t>
    <phoneticPr fontId="3" type="noConversion"/>
  </si>
  <si>
    <t>BadgeST decklid</t>
    <phoneticPr fontId="3" type="noConversion"/>
  </si>
  <si>
    <t>DA</t>
    <phoneticPr fontId="3" type="noConversion"/>
  </si>
  <si>
    <t>BadgeTitanium</t>
    <phoneticPr fontId="3" type="noConversion"/>
  </si>
  <si>
    <t>EA</t>
    <phoneticPr fontId="3" type="noConversion"/>
  </si>
  <si>
    <t>BadgeV6</t>
    <phoneticPr fontId="3" type="noConversion"/>
  </si>
  <si>
    <t>FA</t>
    <phoneticPr fontId="3" type="noConversion"/>
  </si>
  <si>
    <t>BadgeST Fascia</t>
    <phoneticPr fontId="3" type="noConversion"/>
  </si>
  <si>
    <t>BadgeEcoboost China</t>
    <phoneticPr fontId="3" type="noConversion"/>
  </si>
  <si>
    <t>R43156</t>
    <phoneticPr fontId="3" type="noConversion"/>
  </si>
  <si>
    <t>Badgeecoboost 4wd</t>
    <phoneticPr fontId="3" type="noConversion"/>
  </si>
  <si>
    <t>ET114</t>
    <phoneticPr fontId="3" type="noConversion"/>
  </si>
  <si>
    <t>Beauty shield</t>
    <phoneticPr fontId="3" type="noConversion"/>
  </si>
  <si>
    <t>R16613</t>
    <phoneticPr fontId="3" type="noConversion"/>
  </si>
  <si>
    <t>美化护板</t>
    <phoneticPr fontId="3" type="noConversion"/>
  </si>
  <si>
    <t>DEFL HOD AIR</t>
    <phoneticPr fontId="3" type="noConversion"/>
  </si>
  <si>
    <t>Cowl grille</t>
    <phoneticPr fontId="3" type="noConversion"/>
  </si>
  <si>
    <t>KT4B</t>
    <phoneticPr fontId="3" type="noConversion"/>
  </si>
  <si>
    <t>R01628</t>
    <phoneticPr fontId="3" type="noConversion"/>
  </si>
  <si>
    <t>通风隔栅</t>
    <phoneticPr fontId="3" type="noConversion"/>
  </si>
  <si>
    <t>宁波双林</t>
    <phoneticPr fontId="3" type="noConversion"/>
  </si>
  <si>
    <t>R02216</t>
    <phoneticPr fontId="3" type="noConversion"/>
  </si>
  <si>
    <t>Hood seal</t>
    <phoneticPr fontId="3" type="noConversion"/>
  </si>
  <si>
    <t>R16B990</t>
    <phoneticPr fontId="3" type="noConversion"/>
  </si>
  <si>
    <t>引擎盖胶条</t>
    <phoneticPr fontId="3" type="noConversion"/>
  </si>
  <si>
    <t>Du Wenzai</t>
    <phoneticPr fontId="3" type="noConversion"/>
  </si>
  <si>
    <t>Frt frog lamp</t>
    <phoneticPr fontId="3" type="noConversion"/>
  </si>
  <si>
    <t>15B242</t>
    <phoneticPr fontId="3" type="noConversion"/>
  </si>
  <si>
    <t>前雾灯</t>
    <phoneticPr fontId="3" type="noConversion"/>
  </si>
  <si>
    <t>佛山法雷奥 </t>
    <phoneticPr fontId="3" type="noConversion"/>
  </si>
  <si>
    <t>15B243</t>
    <phoneticPr fontId="3" type="noConversion"/>
  </si>
  <si>
    <t>ET12</t>
    <phoneticPr fontId="3" type="noConversion"/>
  </si>
  <si>
    <t>Skid Plate Lower</t>
    <phoneticPr fontId="3" type="noConversion"/>
  </si>
  <si>
    <t>17F771</t>
    <phoneticPr fontId="3" type="noConversion"/>
  </si>
  <si>
    <t>前保下饰板</t>
    <phoneticPr fontId="3" type="noConversion"/>
  </si>
  <si>
    <t>17F775</t>
    <phoneticPr fontId="3" type="noConversion"/>
  </si>
  <si>
    <t>FEM</t>
    <phoneticPr fontId="3" type="noConversion"/>
  </si>
  <si>
    <t>8C403</t>
    <phoneticPr fontId="3" type="noConversion"/>
  </si>
  <si>
    <t>前端模块</t>
    <phoneticPr fontId="3" type="noConversion"/>
  </si>
  <si>
    <t>杭州麦格纳光能</t>
    <phoneticPr fontId="3" type="noConversion"/>
  </si>
  <si>
    <t>Lower Deflector</t>
    <phoneticPr fontId="3" type="noConversion"/>
  </si>
  <si>
    <t>8326</t>
    <phoneticPr fontId="3" type="noConversion"/>
  </si>
  <si>
    <t>下导风板</t>
    <phoneticPr fontId="3" type="noConversion"/>
  </si>
  <si>
    <t>Rear Fascia Bracket</t>
    <phoneticPr fontId="3" type="noConversion"/>
  </si>
  <si>
    <t>17C871</t>
    <phoneticPr fontId="3" type="noConversion"/>
  </si>
  <si>
    <t>后保支架</t>
    <phoneticPr fontId="3" type="noConversion"/>
  </si>
  <si>
    <t>宁波延锋彼欧 </t>
    <phoneticPr fontId="3" type="noConversion"/>
  </si>
  <si>
    <t xml:space="preserve">Rear Fascia </t>
    <phoneticPr fontId="3" type="noConversion"/>
  </si>
  <si>
    <t>17D948</t>
    <phoneticPr fontId="3" type="noConversion"/>
  </si>
  <si>
    <t>17D949</t>
    <phoneticPr fontId="3" type="noConversion"/>
  </si>
  <si>
    <t>17D995</t>
    <phoneticPr fontId="3" type="noConversion"/>
  </si>
  <si>
    <t>17E850</t>
    <phoneticPr fontId="3" type="noConversion"/>
  </si>
  <si>
    <t>17E851</t>
    <phoneticPr fontId="3" type="noConversion"/>
  </si>
  <si>
    <t>R17K823</t>
    <phoneticPr fontId="3" type="noConversion"/>
  </si>
  <si>
    <t>后保</t>
    <phoneticPr fontId="3" type="noConversion"/>
  </si>
  <si>
    <t>E20-2</t>
    <phoneticPr fontId="3" type="noConversion"/>
  </si>
  <si>
    <t>Rear Fog - China (539X/C - CAF owned tool)</t>
    <phoneticPr fontId="3" type="noConversion"/>
  </si>
  <si>
    <t>15K272</t>
    <phoneticPr fontId="3" type="noConversion"/>
  </si>
  <si>
    <t>后雾灯</t>
    <phoneticPr fontId="3" type="noConversion"/>
  </si>
  <si>
    <t>15K273</t>
    <phoneticPr fontId="3" type="noConversion"/>
  </si>
  <si>
    <t>Upper Grill</t>
    <phoneticPr fontId="3" type="noConversion"/>
  </si>
  <si>
    <t>8200</t>
    <phoneticPr fontId="3" type="noConversion"/>
  </si>
  <si>
    <t>上格栅</t>
    <phoneticPr fontId="3" type="noConversion"/>
  </si>
  <si>
    <t>ET4</t>
    <phoneticPr fontId="3" type="noConversion"/>
  </si>
  <si>
    <t>HNDL LFT/GT O/S</t>
    <phoneticPr fontId="3" type="noConversion"/>
  </si>
  <si>
    <t>R43404</t>
    <phoneticPr fontId="3" type="noConversion"/>
  </si>
  <si>
    <t>尾门把手</t>
    <phoneticPr fontId="3" type="noConversion"/>
  </si>
  <si>
    <t>BBW</t>
    <phoneticPr fontId="3" type="noConversion"/>
  </si>
  <si>
    <t>CBW</t>
    <phoneticPr fontId="3" type="noConversion"/>
  </si>
  <si>
    <t>DBW</t>
    <phoneticPr fontId="3" type="noConversion"/>
  </si>
  <si>
    <t>IT28</t>
    <phoneticPr fontId="3" type="noConversion"/>
  </si>
  <si>
    <t>Battary Try</t>
    <phoneticPr fontId="3" type="noConversion"/>
  </si>
  <si>
    <t>DG93</t>
    <phoneticPr fontId="3" type="noConversion"/>
  </si>
  <si>
    <t>10663</t>
    <phoneticPr fontId="3" type="noConversion"/>
  </si>
  <si>
    <t>电池盒托盘</t>
    <phoneticPr fontId="3" type="noConversion"/>
  </si>
  <si>
    <t xml:space="preserve">Battary Try </t>
    <phoneticPr fontId="3" type="noConversion"/>
  </si>
  <si>
    <t>FT4B</t>
    <phoneticPr fontId="3" type="noConversion"/>
  </si>
  <si>
    <t>10718</t>
    <phoneticPr fontId="3" type="noConversion"/>
  </si>
  <si>
    <t>AC</t>
    <phoneticPr fontId="3" type="noConversion"/>
  </si>
  <si>
    <t>电池盒</t>
    <phoneticPr fontId="3" type="noConversion"/>
  </si>
  <si>
    <t>10723</t>
    <phoneticPr fontId="3" type="noConversion"/>
  </si>
  <si>
    <t>Ambient lighting</t>
    <phoneticPr fontId="3" type="noConversion"/>
  </si>
  <si>
    <t>14D662</t>
    <phoneticPr fontId="3" type="noConversion"/>
  </si>
  <si>
    <t>环境灯</t>
    <phoneticPr fontId="3" type="noConversion"/>
  </si>
  <si>
    <t>重庆睿博光电 </t>
    <phoneticPr fontId="3" type="noConversion"/>
  </si>
  <si>
    <t>14E078</t>
    <phoneticPr fontId="3" type="noConversion"/>
  </si>
  <si>
    <t xml:space="preserve"> </t>
    <phoneticPr fontId="3" type="noConversion"/>
  </si>
  <si>
    <t>Windshield</t>
    <phoneticPr fontId="3" type="noConversion"/>
  </si>
  <si>
    <t>前挡风玻璃</t>
    <phoneticPr fontId="3" type="noConversion"/>
  </si>
  <si>
    <t>Liao Depan</t>
    <phoneticPr fontId="3" type="noConversion"/>
  </si>
  <si>
    <t>福耀</t>
    <phoneticPr fontId="3" type="noConversion"/>
  </si>
  <si>
    <t>quarter door glass</t>
    <phoneticPr fontId="3" type="noConversion"/>
  </si>
  <si>
    <t>R29700</t>
    <phoneticPr fontId="3" type="noConversion"/>
  </si>
  <si>
    <t xml:space="preserve">Glass run/belt </t>
    <phoneticPr fontId="3" type="noConversion"/>
  </si>
  <si>
    <t>R20562</t>
    <phoneticPr fontId="3" type="noConversion"/>
  </si>
  <si>
    <t>静态密封条</t>
    <phoneticPr fontId="3" type="noConversion"/>
  </si>
  <si>
    <t>Zhu Jiayong</t>
    <phoneticPr fontId="3" type="noConversion"/>
  </si>
  <si>
    <t>R20563</t>
    <phoneticPr fontId="3" type="noConversion"/>
  </si>
  <si>
    <t>R21510 </t>
    <phoneticPr fontId="3" type="noConversion"/>
  </si>
  <si>
    <t>R21511</t>
    <phoneticPr fontId="3" type="noConversion"/>
  </si>
  <si>
    <t>R25604 </t>
    <phoneticPr fontId="3" type="noConversion"/>
  </si>
  <si>
    <t>R25605</t>
    <phoneticPr fontId="3" type="noConversion"/>
  </si>
  <si>
    <t>R25825</t>
    <phoneticPr fontId="3" type="noConversion"/>
  </si>
  <si>
    <t>AC Lines</t>
  </si>
  <si>
    <t>Floor Console</t>
  </si>
  <si>
    <t>R045A06</t>
  </si>
  <si>
    <t>Seatbelt/Buckle</t>
  </si>
  <si>
    <t>R612D64</t>
  </si>
  <si>
    <t>Dash outer insulation</t>
  </si>
  <si>
    <t>R16114</t>
  </si>
  <si>
    <t>Rear Wheel Arch Liner</t>
  </si>
  <si>
    <t>Carpet</t>
  </si>
  <si>
    <t>R51918</t>
  </si>
  <si>
    <t>UNDER BODYSHEILD</t>
  </si>
  <si>
    <t>R11132</t>
  </si>
  <si>
    <t>hard trim: rain sensor cover</t>
  </si>
  <si>
    <t>hard trim: LH quarter trim for high series ( not deside)</t>
  </si>
  <si>
    <t>040101</t>
  </si>
  <si>
    <t>SPG FRT</t>
  </si>
  <si>
    <t>K2GC</t>
  </si>
  <si>
    <t>5310</t>
  </si>
  <si>
    <t>ACB</t>
  </si>
  <si>
    <t>前悬弹簧</t>
    <phoneticPr fontId="3" type="noConversion"/>
  </si>
  <si>
    <t>Front Coil Spring</t>
    <phoneticPr fontId="3" type="noConversion"/>
  </si>
  <si>
    <t>张健(Jzhan214)</t>
  </si>
  <si>
    <t>广州日正(Guangzhou NHK)</t>
  </si>
  <si>
    <t>BCB</t>
  </si>
  <si>
    <t>CCB</t>
  </si>
  <si>
    <t>040104</t>
  </si>
  <si>
    <t>HB &amp; BRG ASY-FRT BRK</t>
  </si>
  <si>
    <t>2C300</t>
  </si>
  <si>
    <t>A2A</t>
  </si>
  <si>
    <t>前轮毂轴承</t>
    <phoneticPr fontId="3" type="noConversion"/>
  </si>
  <si>
    <t>Front Hub&amp;Bearing Assy</t>
    <phoneticPr fontId="3" type="noConversion"/>
  </si>
  <si>
    <t>穆春洁(cmu4)</t>
  </si>
  <si>
    <t>上海舍弗勒(SH Schaeffler)</t>
  </si>
  <si>
    <t>A3A</t>
  </si>
  <si>
    <t>040201</t>
  </si>
  <si>
    <t>SPG RR</t>
  </si>
  <si>
    <t>5560</t>
  </si>
  <si>
    <t>后悬弹簧</t>
    <phoneticPr fontId="3" type="noConversion"/>
  </si>
  <si>
    <t>Rear Coil Spring</t>
    <phoneticPr fontId="3" type="noConversion"/>
  </si>
  <si>
    <t>DCB</t>
  </si>
  <si>
    <t>ECB</t>
  </si>
  <si>
    <t>040203</t>
  </si>
  <si>
    <t>HB &amp; BRG ASY-RR BRK</t>
  </si>
  <si>
    <t>2C299</t>
  </si>
  <si>
    <t>后轮毂轴承</t>
    <phoneticPr fontId="3" type="noConversion"/>
  </si>
  <si>
    <t>Rear Hub&amp;Bearing Assy</t>
    <phoneticPr fontId="3" type="noConversion"/>
  </si>
  <si>
    <t>040301</t>
  </si>
  <si>
    <t>SHK ABS ASY</t>
  </si>
  <si>
    <t>18045</t>
  </si>
  <si>
    <t>右前减震器</t>
    <phoneticPr fontId="3" type="noConversion"/>
  </si>
  <si>
    <t>Front Right Shock Absorber</t>
    <phoneticPr fontId="3" type="noConversion"/>
  </si>
  <si>
    <t>苏州东机工(Suzhou Tokico)</t>
  </si>
  <si>
    <t>SHK ABS ASY FRT LH</t>
  </si>
  <si>
    <t>左前减震器</t>
    <phoneticPr fontId="3" type="noConversion"/>
  </si>
  <si>
    <t>Front Left Shock Absorber</t>
    <phoneticPr fontId="3" type="noConversion"/>
  </si>
  <si>
    <t>040302</t>
  </si>
  <si>
    <t>UNT ASY RR SHK COMP</t>
  </si>
  <si>
    <t>18W002</t>
  </si>
  <si>
    <t>后减震器</t>
    <phoneticPr fontId="3" type="noConversion"/>
  </si>
  <si>
    <t>Rear Damper</t>
    <phoneticPr fontId="3" type="noConversion"/>
  </si>
  <si>
    <t>MCA</t>
  </si>
  <si>
    <t>NCA</t>
  </si>
  <si>
    <t>060901</t>
  </si>
  <si>
    <t>MOD BRK ANTI/LK CONTR</t>
  </si>
  <si>
    <r>
      <t>ESC</t>
    </r>
    <r>
      <rPr>
        <sz val="9"/>
        <rFont val="宋体"/>
        <family val="3"/>
        <charset val="134"/>
      </rPr>
      <t>模块</t>
    </r>
    <phoneticPr fontId="3" type="noConversion"/>
  </si>
  <si>
    <t>ESC Module</t>
    <phoneticPr fontId="3" type="noConversion"/>
  </si>
  <si>
    <t>杨欣(xyang77)</t>
  </si>
  <si>
    <t>上海大陆泰密克(SH Contiteves)</t>
  </si>
  <si>
    <t>110101</t>
  </si>
  <si>
    <t>STNG GR ELE PWR ASST &amp; LKGE ASY</t>
  </si>
  <si>
    <t>3D070</t>
    <phoneticPr fontId="3" type="noConversion"/>
  </si>
  <si>
    <t>DB</t>
  </si>
  <si>
    <t>电子转向机</t>
    <phoneticPr fontId="3" type="noConversion"/>
  </si>
  <si>
    <t>EPAS</t>
    <phoneticPr fontId="3" type="noConversion"/>
  </si>
  <si>
    <t>周虹羊(hzhou32</t>
  </si>
  <si>
    <t>博世转向南京(Bosch AS Nanjing)</t>
  </si>
  <si>
    <t>3D070</t>
  </si>
  <si>
    <t>EB</t>
  </si>
  <si>
    <t>电子转向机</t>
    <phoneticPr fontId="3" type="noConversion"/>
  </si>
  <si>
    <t>EDS</t>
  </si>
  <si>
    <t>Lin Zhihuang</t>
  </si>
  <si>
    <t>Delphi EPNND</t>
  </si>
  <si>
    <t>E03</t>
    <phoneticPr fontId="3" type="noConversion"/>
  </si>
  <si>
    <t>cluster</t>
    <phoneticPr fontId="3" type="noConversion"/>
  </si>
  <si>
    <t>10849</t>
    <phoneticPr fontId="3" type="noConversion"/>
  </si>
  <si>
    <t>gong ling</t>
    <phoneticPr fontId="3" type="noConversion"/>
  </si>
  <si>
    <t>Conti /Denso /Visteon</t>
    <phoneticPr fontId="3" type="noConversion"/>
  </si>
  <si>
    <t>E05</t>
  </si>
  <si>
    <t>Alternator</t>
  </si>
  <si>
    <t>K2GT</t>
  </si>
  <si>
    <t>10300</t>
  </si>
  <si>
    <t>CB</t>
  </si>
  <si>
    <t>发电机</t>
  </si>
  <si>
    <t>Yang Rong</t>
  </si>
  <si>
    <r>
      <rPr>
        <sz val="9"/>
        <rFont val="宋体"/>
        <family val="3"/>
        <charset val="134"/>
      </rPr>
      <t>电装中国</t>
    </r>
    <r>
      <rPr>
        <sz val="9"/>
        <rFont val="Arial"/>
        <family val="2"/>
      </rPr>
      <t>(ERTFE)</t>
    </r>
  </si>
  <si>
    <t>2018.5.11</t>
  </si>
  <si>
    <t>Front Camera</t>
    <phoneticPr fontId="3" type="noConversion"/>
  </si>
  <si>
    <t>前置摄像头</t>
    <phoneticPr fontId="3" type="noConversion"/>
  </si>
  <si>
    <t>Wang,Longfeng</t>
    <phoneticPr fontId="3" type="noConversion"/>
  </si>
  <si>
    <t>Delphi Suzhou</t>
    <phoneticPr fontId="3" type="noConversion"/>
  </si>
  <si>
    <t>ACC</t>
    <phoneticPr fontId="3" type="noConversion"/>
  </si>
  <si>
    <t>自适应巡航模块</t>
    <phoneticPr fontId="3" type="noConversion"/>
  </si>
  <si>
    <t>E021</t>
    <phoneticPr fontId="3" type="noConversion"/>
  </si>
  <si>
    <t>Antenna</t>
    <phoneticPr fontId="3" type="noConversion"/>
  </si>
  <si>
    <t>KK7T</t>
  </si>
  <si>
    <t>19K351</t>
  </si>
  <si>
    <t>PIFA天线</t>
    <phoneticPr fontId="3" type="noConversion"/>
  </si>
  <si>
    <t>PIFA antenna</t>
    <phoneticPr fontId="3" type="noConversion"/>
  </si>
  <si>
    <t>Suzhou Kathrein</t>
    <phoneticPr fontId="3" type="noConversion"/>
  </si>
  <si>
    <t>E126</t>
    <phoneticPr fontId="3" type="noConversion"/>
  </si>
  <si>
    <t>Amplifier</t>
    <phoneticPr fontId="3" type="noConversion"/>
  </si>
  <si>
    <t>18T806</t>
  </si>
  <si>
    <t>功率放大器</t>
    <phoneticPr fontId="3" type="noConversion"/>
  </si>
  <si>
    <t>Zhou Guirong</t>
    <phoneticPr fontId="3" type="noConversion"/>
  </si>
  <si>
    <t>Harman</t>
    <phoneticPr fontId="3" type="noConversion"/>
  </si>
  <si>
    <t>E015</t>
    <phoneticPr fontId="3" type="noConversion"/>
  </si>
  <si>
    <t>Speaker</t>
    <phoneticPr fontId="3" type="noConversion"/>
  </si>
  <si>
    <t>JL3T</t>
  </si>
  <si>
    <t>18808</t>
  </si>
  <si>
    <t>IP扬声器</t>
    <phoneticPr fontId="3" type="noConversion"/>
  </si>
  <si>
    <t>Center Speaker</t>
  </si>
  <si>
    <t>KT4T</t>
  </si>
  <si>
    <t>低音扬声器</t>
    <phoneticPr fontId="3" type="noConversion"/>
  </si>
  <si>
    <t>Midwoofer</t>
  </si>
  <si>
    <t>Zhou Guirong</t>
    <phoneticPr fontId="3" type="noConversion"/>
  </si>
  <si>
    <t>H1BT</t>
  </si>
  <si>
    <t>高音扬声器</t>
    <phoneticPr fontId="3" type="noConversion"/>
  </si>
  <si>
    <t>Tweeter</t>
  </si>
  <si>
    <t>19A067</t>
  </si>
  <si>
    <t>重低音扬声器</t>
    <phoneticPr fontId="3" type="noConversion"/>
  </si>
  <si>
    <t>SubWoofer</t>
  </si>
  <si>
    <t>E011</t>
    <phoneticPr fontId="3" type="noConversion"/>
  </si>
  <si>
    <t>PAS-Bracket</t>
    <phoneticPr fontId="3" type="noConversion"/>
  </si>
  <si>
    <t>15K870</t>
  </si>
  <si>
    <t>倒车雷达支架</t>
    <phoneticPr fontId="3" type="noConversion"/>
  </si>
  <si>
    <t>Valeo Shenzhen</t>
    <phoneticPr fontId="3" type="noConversion"/>
  </si>
  <si>
    <t>15K871</t>
  </si>
  <si>
    <t>15K872</t>
  </si>
  <si>
    <t>Yu Jia</t>
    <phoneticPr fontId="3" type="noConversion"/>
  </si>
  <si>
    <t>15K873</t>
  </si>
  <si>
    <t>15C872</t>
  </si>
  <si>
    <t>15C873</t>
  </si>
  <si>
    <t>15A861</t>
  </si>
  <si>
    <t>15A862</t>
  </si>
  <si>
    <t>15A863</t>
  </si>
  <si>
    <t>15A864</t>
  </si>
  <si>
    <t>PAS-Sensor</t>
    <phoneticPr fontId="3" type="noConversion"/>
  </si>
  <si>
    <t>HU5T</t>
  </si>
  <si>
    <t>15K859</t>
  </si>
  <si>
    <t>倒车雷达</t>
    <phoneticPr fontId="3" type="noConversion"/>
  </si>
  <si>
    <t>15C868</t>
    <phoneticPr fontId="52" type="noConversion"/>
  </si>
  <si>
    <t>PTO 70</t>
    <phoneticPr fontId="3" type="noConversion"/>
  </si>
  <si>
    <t>变速器支撑支架</t>
    <phoneticPr fontId="3" type="noConversion"/>
  </si>
  <si>
    <t>K2G3</t>
    <phoneticPr fontId="3" type="noConversion"/>
  </si>
  <si>
    <t>7M125</t>
    <phoneticPr fontId="3" type="noConversion"/>
  </si>
  <si>
    <t>AC</t>
    <phoneticPr fontId="3" type="noConversion"/>
  </si>
  <si>
    <t>Y</t>
    <phoneticPr fontId="3" type="noConversion"/>
  </si>
  <si>
    <t>PT01-2</t>
    <phoneticPr fontId="3" type="noConversion"/>
  </si>
  <si>
    <t>发动机支撑</t>
    <phoneticPr fontId="3" type="noConversion"/>
  </si>
  <si>
    <t>6F012</t>
    <phoneticPr fontId="3" type="noConversion"/>
  </si>
  <si>
    <t>AB</t>
    <phoneticPr fontId="3" type="noConversion"/>
  </si>
  <si>
    <t>变速器支撑</t>
    <phoneticPr fontId="3" type="noConversion"/>
  </si>
  <si>
    <t>K2G3</t>
  </si>
  <si>
    <t>7M121</t>
    <phoneticPr fontId="3" type="noConversion"/>
  </si>
  <si>
    <t>AA</t>
    <phoneticPr fontId="3" type="noConversion"/>
  </si>
  <si>
    <t>PT01-2</t>
  </si>
  <si>
    <t>防滚支撑</t>
    <phoneticPr fontId="3" type="noConversion"/>
  </si>
  <si>
    <t>6P082</t>
    <phoneticPr fontId="3" type="noConversion"/>
  </si>
  <si>
    <t>防滚支撑支架</t>
    <phoneticPr fontId="3" type="noConversion"/>
  </si>
  <si>
    <t>6P093</t>
    <phoneticPr fontId="3" type="noConversion"/>
  </si>
  <si>
    <t>胶套</t>
    <phoneticPr fontId="3" type="noConversion"/>
  </si>
  <si>
    <t>7458</t>
    <phoneticPr fontId="3" type="noConversion"/>
  </si>
  <si>
    <t>CB</t>
    <phoneticPr fontId="3" type="noConversion"/>
  </si>
  <si>
    <t>BB</t>
    <phoneticPr fontId="3" type="noConversion"/>
  </si>
  <si>
    <t>F2G3</t>
    <phoneticPr fontId="3" type="noConversion"/>
  </si>
  <si>
    <t>6A029</t>
    <phoneticPr fontId="3" type="noConversion"/>
  </si>
  <si>
    <t>PT101</t>
    <phoneticPr fontId="3" type="noConversion"/>
  </si>
  <si>
    <t>电磁阀</t>
    <phoneticPr fontId="3" type="noConversion"/>
  </si>
  <si>
    <t>18C310</t>
    <phoneticPr fontId="3" type="noConversion"/>
  </si>
  <si>
    <t>DA</t>
    <phoneticPr fontId="3" type="noConversion"/>
  </si>
  <si>
    <t>PT67-5</t>
    <phoneticPr fontId="3" type="noConversion"/>
  </si>
  <si>
    <t>水冷式变速器油冷器</t>
    <phoneticPr fontId="3" type="noConversion"/>
  </si>
  <si>
    <t>JX6P</t>
    <phoneticPr fontId="3" type="noConversion"/>
  </si>
  <si>
    <t>7869</t>
    <phoneticPr fontId="3" type="noConversion"/>
  </si>
  <si>
    <t>BE</t>
    <phoneticPr fontId="3" type="noConversion"/>
  </si>
  <si>
    <t>PT47</t>
  </si>
  <si>
    <t>中间传动轴2.0L</t>
  </si>
  <si>
    <t>K2GP</t>
  </si>
  <si>
    <t>4K145</t>
  </si>
  <si>
    <t>中间传动轴2.7L</t>
  </si>
  <si>
    <t>4K357</t>
  </si>
  <si>
    <t>GA</t>
  </si>
  <si>
    <t>PT02-2</t>
    <phoneticPr fontId="3" type="noConversion"/>
  </si>
  <si>
    <t>电子换挡器</t>
    <phoneticPr fontId="3" type="noConversion"/>
  </si>
  <si>
    <t>KK7P</t>
    <phoneticPr fontId="3" type="noConversion"/>
  </si>
  <si>
    <t>7P155</t>
    <phoneticPr fontId="3" type="noConversion"/>
  </si>
  <si>
    <t>N/A</t>
    <phoneticPr fontId="3" type="noConversion"/>
  </si>
  <si>
    <t>变速器总成FWD</t>
    <phoneticPr fontId="3" type="noConversion"/>
  </si>
  <si>
    <t>K2GP</t>
    <phoneticPr fontId="3" type="noConversion"/>
  </si>
  <si>
    <t>7000</t>
    <phoneticPr fontId="3" type="noConversion"/>
  </si>
  <si>
    <t>MC</t>
    <phoneticPr fontId="3" type="noConversion"/>
  </si>
  <si>
    <t>PT16</t>
    <phoneticPr fontId="3" type="noConversion"/>
  </si>
  <si>
    <t>冷却水管</t>
    <phoneticPr fontId="3" type="noConversion"/>
  </si>
  <si>
    <t>K2G3</t>
    <phoneticPr fontId="52" type="noConversion"/>
  </si>
  <si>
    <t>18C266</t>
    <phoneticPr fontId="52" type="noConversion"/>
  </si>
  <si>
    <t>BBD</t>
    <phoneticPr fontId="52" type="noConversion"/>
  </si>
  <si>
    <t>BAD</t>
    <phoneticPr fontId="52" type="noConversion"/>
  </si>
  <si>
    <t>PT16</t>
  </si>
  <si>
    <t>7G071</t>
    <phoneticPr fontId="52" type="noConversion"/>
  </si>
  <si>
    <r>
      <t>BA</t>
    </r>
    <r>
      <rPr>
        <sz val="10"/>
        <rFont val="Arial"/>
        <family val="2"/>
      </rPr>
      <t>C</t>
    </r>
    <phoneticPr fontId="52" type="noConversion"/>
  </si>
  <si>
    <t>7F120</t>
    <phoneticPr fontId="52" type="noConversion"/>
  </si>
  <si>
    <r>
      <t>B</t>
    </r>
    <r>
      <rPr>
        <sz val="10"/>
        <rFont val="Arial"/>
        <family val="2"/>
      </rPr>
      <t>C</t>
    </r>
    <phoneticPr fontId="52" type="noConversion"/>
  </si>
  <si>
    <t>8B273</t>
    <phoneticPr fontId="52" type="noConversion"/>
  </si>
  <si>
    <r>
      <t>BA</t>
    </r>
    <r>
      <rPr>
        <sz val="10"/>
        <rFont val="Arial"/>
        <family val="2"/>
      </rPr>
      <t>B</t>
    </r>
    <phoneticPr fontId="52" type="noConversion"/>
  </si>
  <si>
    <t>8B274</t>
    <phoneticPr fontId="52" type="noConversion"/>
  </si>
  <si>
    <t>BC</t>
    <phoneticPr fontId="52" type="noConversion"/>
  </si>
  <si>
    <t>8W005</t>
    <phoneticPr fontId="52" type="noConversion"/>
  </si>
  <si>
    <t>DB</t>
    <phoneticPr fontId="52" type="noConversion"/>
  </si>
  <si>
    <t>8C351</t>
    <phoneticPr fontId="52" type="noConversion"/>
  </si>
  <si>
    <r>
      <t>B</t>
    </r>
    <r>
      <rPr>
        <sz val="10"/>
        <rFont val="Arial"/>
        <family val="2"/>
      </rPr>
      <t>B</t>
    </r>
    <phoneticPr fontId="52" type="noConversion"/>
  </si>
  <si>
    <t>18D481</t>
    <phoneticPr fontId="52" type="noConversion"/>
  </si>
  <si>
    <t>BB</t>
    <phoneticPr fontId="52" type="noConversion"/>
  </si>
  <si>
    <t>8B550</t>
    <phoneticPr fontId="52" type="noConversion"/>
  </si>
  <si>
    <t>DBB</t>
    <phoneticPr fontId="52" type="noConversion"/>
  </si>
  <si>
    <t>DA</t>
    <phoneticPr fontId="52" type="noConversion"/>
  </si>
  <si>
    <t>8A365</t>
    <phoneticPr fontId="52" type="noConversion"/>
  </si>
  <si>
    <t>DBA</t>
    <phoneticPr fontId="52" type="noConversion"/>
  </si>
  <si>
    <t>7P055</t>
    <phoneticPr fontId="52" type="noConversion"/>
  </si>
  <si>
    <t>8B555</t>
    <phoneticPr fontId="52" type="noConversion"/>
  </si>
  <si>
    <t>PT069</t>
    <phoneticPr fontId="3" type="noConversion"/>
  </si>
  <si>
    <t>曲轴箱通风管</t>
    <phoneticPr fontId="3" type="noConversion"/>
  </si>
  <si>
    <t>K2GE</t>
    <phoneticPr fontId="3" type="noConversion"/>
  </si>
  <si>
    <t>6758</t>
    <phoneticPr fontId="3" type="noConversion"/>
  </si>
  <si>
    <t>FA</t>
    <phoneticPr fontId="3" type="noConversion"/>
  </si>
  <si>
    <t>PT04</t>
    <phoneticPr fontId="3" type="noConversion"/>
  </si>
  <si>
    <t>排气冷端</t>
    <phoneticPr fontId="3" type="noConversion"/>
  </si>
  <si>
    <t>5E292</t>
    <phoneticPr fontId="3" type="noConversion"/>
  </si>
  <si>
    <t>LB</t>
    <phoneticPr fontId="3" type="noConversion"/>
  </si>
  <si>
    <t>NB</t>
    <phoneticPr fontId="3" type="noConversion"/>
  </si>
  <si>
    <t>PB</t>
    <phoneticPr fontId="3" type="noConversion"/>
  </si>
  <si>
    <t>SB</t>
    <phoneticPr fontId="3" type="noConversion"/>
  </si>
  <si>
    <t>PT76-2</t>
    <phoneticPr fontId="3" type="noConversion"/>
  </si>
  <si>
    <r>
      <t>PCM</t>
    </r>
    <r>
      <rPr>
        <sz val="9"/>
        <rFont val="宋体"/>
        <family val="3"/>
        <charset val="134"/>
      </rPr>
      <t>支架</t>
    </r>
    <phoneticPr fontId="3" type="noConversion"/>
  </si>
  <si>
    <t>K2GA</t>
    <phoneticPr fontId="3" type="noConversion"/>
  </si>
  <si>
    <t xml:space="preserve">12A692
</t>
    <phoneticPr fontId="3" type="noConversion"/>
  </si>
  <si>
    <t>FB</t>
    <phoneticPr fontId="3" type="noConversion"/>
  </si>
  <si>
    <t>LHS mount brt</t>
    <phoneticPr fontId="3" type="noConversion"/>
  </si>
  <si>
    <t>郑伟/WZheng2</t>
    <phoneticPr fontId="3" type="noConversion"/>
  </si>
  <si>
    <t>宁波拓普</t>
    <phoneticPr fontId="3" type="noConversion"/>
  </si>
  <si>
    <t>RHS Mount</t>
    <phoneticPr fontId="3" type="noConversion"/>
  </si>
  <si>
    <t>无锡特瑞堡</t>
    <phoneticPr fontId="3" type="noConversion"/>
  </si>
  <si>
    <t xml:space="preserve">LHS mount </t>
    <phoneticPr fontId="3" type="noConversion"/>
  </si>
  <si>
    <t>Roll Restrictor</t>
    <phoneticPr fontId="3" type="noConversion"/>
  </si>
  <si>
    <t>Roll Restrictor BRT</t>
    <phoneticPr fontId="3" type="noConversion"/>
  </si>
  <si>
    <t>Bumper</t>
    <phoneticPr fontId="3" type="noConversion"/>
  </si>
  <si>
    <t>Electric Magnetic Valve</t>
    <phoneticPr fontId="3" type="noConversion"/>
  </si>
  <si>
    <t>殷玉先/yyin13</t>
    <phoneticPr fontId="3" type="noConversion"/>
  </si>
  <si>
    <t>长沙博世</t>
    <phoneticPr fontId="3" type="noConversion"/>
  </si>
  <si>
    <t>ATWU Cooler</t>
    <phoneticPr fontId="3" type="noConversion"/>
  </si>
  <si>
    <r>
      <rPr>
        <sz val="9"/>
        <rFont val="宋体"/>
        <family val="3"/>
        <charset val="134"/>
      </rPr>
      <t>殷玉先</t>
    </r>
    <r>
      <rPr>
        <sz val="9"/>
        <rFont val="Arial"/>
        <family val="2"/>
      </rPr>
      <t>/yyin13</t>
    </r>
    <phoneticPr fontId="3" type="noConversion"/>
  </si>
  <si>
    <t>武汉马勒</t>
    <phoneticPr fontId="3" type="noConversion"/>
  </si>
  <si>
    <t>Propshaft 2.0L</t>
  </si>
  <si>
    <t>肖平/pxiao4</t>
  </si>
  <si>
    <t>上海宜发</t>
  </si>
  <si>
    <t>Propshaft 2.7L</t>
  </si>
  <si>
    <t>E-SHIFTER</t>
    <phoneticPr fontId="3" type="noConversion"/>
  </si>
  <si>
    <r>
      <rPr>
        <sz val="9"/>
        <rFont val="宋体"/>
        <family val="3"/>
        <charset val="134"/>
      </rPr>
      <t>周霞</t>
    </r>
    <r>
      <rPr>
        <sz val="9"/>
        <rFont val="Arial"/>
        <family val="2"/>
      </rPr>
      <t>/xzhou59</t>
    </r>
    <phoneticPr fontId="3" type="noConversion"/>
  </si>
  <si>
    <t>佛山东海理化</t>
    <phoneticPr fontId="3" type="noConversion"/>
  </si>
  <si>
    <r>
      <rPr>
        <sz val="9"/>
        <rFont val="宋体"/>
        <family val="3"/>
        <charset val="134"/>
      </rPr>
      <t>变速器总成</t>
    </r>
    <r>
      <rPr>
        <sz val="9"/>
        <rFont val="Arial"/>
        <family val="2"/>
      </rPr>
      <t>FWD</t>
    </r>
    <phoneticPr fontId="3" type="noConversion"/>
  </si>
  <si>
    <t>TRANS &amp; CONV ASY</t>
    <phoneticPr fontId="3" type="noConversion"/>
  </si>
  <si>
    <t>谭森/stan30</t>
    <phoneticPr fontId="3" type="noConversion"/>
  </si>
  <si>
    <t>CAFTP</t>
    <phoneticPr fontId="3" type="noConversion"/>
  </si>
  <si>
    <t>Cooling hose</t>
    <phoneticPr fontId="3" type="noConversion"/>
  </si>
  <si>
    <t>刘委/wliu42</t>
    <phoneticPr fontId="3" type="noConversion"/>
  </si>
  <si>
    <t>武汉哈金森</t>
    <phoneticPr fontId="3" type="noConversion"/>
  </si>
  <si>
    <t>刘委/wliu42</t>
  </si>
  <si>
    <t>PCV tube</t>
    <phoneticPr fontId="3" type="noConversion"/>
  </si>
  <si>
    <t>刘旭/xliu79</t>
    <phoneticPr fontId="3" type="noConversion"/>
  </si>
  <si>
    <t>河北亚大</t>
    <phoneticPr fontId="3" type="noConversion"/>
  </si>
  <si>
    <t>cold end</t>
    <phoneticPr fontId="3" type="noConversion"/>
  </si>
  <si>
    <t>邹杨/yzou15</t>
    <phoneticPr fontId="3" type="noConversion"/>
  </si>
  <si>
    <t>佛吉亚慈溪</t>
    <phoneticPr fontId="3" type="noConversion"/>
  </si>
  <si>
    <t>PCM bracket</t>
    <phoneticPr fontId="3" type="noConversion"/>
  </si>
  <si>
    <t>张宪强</t>
    <phoneticPr fontId="3" type="noConversion"/>
  </si>
  <si>
    <t>重庆港湘龙</t>
    <phoneticPr fontId="3" type="noConversion"/>
  </si>
  <si>
    <t>PV-175</t>
  </si>
  <si>
    <t>PV-176</t>
  </si>
  <si>
    <t>PV-177</t>
  </si>
  <si>
    <t>PV-178</t>
  </si>
  <si>
    <t>PV-179</t>
  </si>
  <si>
    <t>PV-180</t>
  </si>
  <si>
    <t>PV-181</t>
  </si>
  <si>
    <t>PV-182</t>
  </si>
  <si>
    <t>PV-183</t>
  </si>
  <si>
    <t>PV-184</t>
  </si>
  <si>
    <t>PV-185</t>
  </si>
  <si>
    <t>PV-186</t>
  </si>
  <si>
    <t>PV-187</t>
  </si>
  <si>
    <t>PV-188</t>
  </si>
  <si>
    <t>PV-189</t>
  </si>
  <si>
    <t>PV-190</t>
  </si>
  <si>
    <t>PV-191</t>
  </si>
  <si>
    <t>PV-192</t>
  </si>
  <si>
    <t>PV-193</t>
  </si>
  <si>
    <t>PV-194</t>
  </si>
  <si>
    <t>PV-195</t>
  </si>
  <si>
    <t>PV-196</t>
  </si>
  <si>
    <t>PV-197</t>
  </si>
  <si>
    <t>PV-198</t>
  </si>
  <si>
    <t>PV-199</t>
  </si>
  <si>
    <t>PV-200</t>
  </si>
  <si>
    <t>PV-201</t>
  </si>
  <si>
    <t>PV-202</t>
  </si>
  <si>
    <t>PV-203</t>
  </si>
  <si>
    <t>PV-204</t>
  </si>
  <si>
    <t>PV-205</t>
  </si>
  <si>
    <t>PV-206</t>
  </si>
  <si>
    <t>PV-207</t>
  </si>
  <si>
    <t>PV-208</t>
  </si>
  <si>
    <t>PV-209</t>
  </si>
  <si>
    <t>PV-210</t>
  </si>
  <si>
    <t>PV-211</t>
  </si>
  <si>
    <t>PV-212</t>
  </si>
  <si>
    <t>PV-213</t>
  </si>
  <si>
    <t>PV-214</t>
  </si>
  <si>
    <t>Completion Percentage (Forecast)</t>
    <phoneticPr fontId="61" type="noConversion"/>
  </si>
  <si>
    <t>PT</t>
    <phoneticPr fontId="3" type="noConversion"/>
  </si>
  <si>
    <r>
      <t xml:space="preserve"> Edge </t>
    </r>
    <r>
      <rPr>
        <sz val="9"/>
        <rFont val="DengXian"/>
      </rPr>
      <t>字标</t>
    </r>
    <phoneticPr fontId="3" type="noConversion"/>
  </si>
  <si>
    <r>
      <t>Chang an</t>
    </r>
    <r>
      <rPr>
        <sz val="9"/>
        <rFont val="DengXian"/>
      </rPr>
      <t>字标</t>
    </r>
    <phoneticPr fontId="3" type="noConversion"/>
  </si>
  <si>
    <r>
      <t>ST decklid</t>
    </r>
    <r>
      <rPr>
        <sz val="9"/>
        <rFont val="DengXian"/>
      </rPr>
      <t>字标</t>
    </r>
    <phoneticPr fontId="3" type="noConversion"/>
  </si>
  <si>
    <r>
      <t>Titanium</t>
    </r>
    <r>
      <rPr>
        <sz val="9"/>
        <rFont val="DengXian"/>
      </rPr>
      <t>字标</t>
    </r>
    <phoneticPr fontId="3" type="noConversion"/>
  </si>
  <si>
    <r>
      <t>V6</t>
    </r>
    <r>
      <rPr>
        <sz val="9"/>
        <rFont val="DengXian"/>
      </rPr>
      <t>字标</t>
    </r>
    <phoneticPr fontId="3" type="noConversion"/>
  </si>
  <si>
    <r>
      <t>ST Fascia</t>
    </r>
    <r>
      <rPr>
        <sz val="9"/>
        <rFont val="DengXian"/>
      </rPr>
      <t>字标</t>
    </r>
    <phoneticPr fontId="3" type="noConversion"/>
  </si>
  <si>
    <r>
      <t>Ecoboost China</t>
    </r>
    <r>
      <rPr>
        <sz val="9"/>
        <rFont val="DengXian"/>
      </rPr>
      <t>字标</t>
    </r>
    <phoneticPr fontId="3" type="noConversion"/>
  </si>
  <si>
    <r>
      <t>ecoboost 4wd</t>
    </r>
    <r>
      <rPr>
        <sz val="9"/>
        <rFont val="DengXian"/>
      </rPr>
      <t>字标</t>
    </r>
    <phoneticPr fontId="3" type="noConversion"/>
  </si>
  <si>
    <t>FK7B</t>
    <phoneticPr fontId="3" type="noConversion"/>
  </si>
  <si>
    <t xml:space="preserve">   R03100</t>
    <phoneticPr fontId="3" type="noConversion"/>
  </si>
  <si>
    <t>Spoiler</t>
    <phoneticPr fontId="3" type="noConversion"/>
  </si>
  <si>
    <t>R44210</t>
    <phoneticPr fontId="3" type="noConversion"/>
  </si>
  <si>
    <t>ALW</t>
    <phoneticPr fontId="3" type="noConversion"/>
  </si>
  <si>
    <t>扰流板</t>
    <phoneticPr fontId="3" type="noConversion"/>
  </si>
  <si>
    <t>Claddings Frt Door</t>
    <phoneticPr fontId="3" type="noConversion"/>
  </si>
  <si>
    <t>R20306</t>
    <phoneticPr fontId="3" type="noConversion"/>
  </si>
  <si>
    <t>DCW</t>
    <phoneticPr fontId="3" type="noConversion"/>
  </si>
  <si>
    <t>车门装饰条</t>
    <phoneticPr fontId="3" type="noConversion"/>
  </si>
  <si>
    <t>R20307</t>
    <phoneticPr fontId="3" type="noConversion"/>
  </si>
  <si>
    <t>R254A76</t>
    <phoneticPr fontId="3" type="noConversion"/>
  </si>
  <si>
    <t>DEW</t>
    <phoneticPr fontId="3" type="noConversion"/>
  </si>
  <si>
    <t>R254A77</t>
    <phoneticPr fontId="3" type="noConversion"/>
  </si>
  <si>
    <t>Door Claddings</t>
    <phoneticPr fontId="3" type="noConversion"/>
  </si>
  <si>
    <t>R10154</t>
    <phoneticPr fontId="3" type="noConversion"/>
  </si>
  <si>
    <t>R10155</t>
    <phoneticPr fontId="3" type="noConversion"/>
  </si>
  <si>
    <t>exterior mirror</t>
    <phoneticPr fontId="3" type="noConversion"/>
  </si>
  <si>
    <t>AGW</t>
    <phoneticPr fontId="3" type="noConversion"/>
  </si>
  <si>
    <t>外后视镜</t>
    <phoneticPr fontId="3" type="noConversion"/>
  </si>
  <si>
    <t>BGW</t>
    <phoneticPr fontId="3" type="noConversion"/>
  </si>
  <si>
    <t>CGW</t>
    <phoneticPr fontId="3" type="noConversion"/>
  </si>
  <si>
    <t>EGW</t>
    <phoneticPr fontId="3" type="noConversion"/>
  </si>
  <si>
    <t>outside handle</t>
    <phoneticPr fontId="3" type="noConversion"/>
  </si>
  <si>
    <t>EM2B</t>
    <phoneticPr fontId="3" type="noConversion"/>
  </si>
  <si>
    <t>F22488</t>
    <phoneticPr fontId="3" type="noConversion"/>
  </si>
  <si>
    <t>外门把手</t>
    <phoneticPr fontId="3" type="noConversion"/>
  </si>
  <si>
    <t>VAST</t>
    <phoneticPr fontId="3" type="noConversion"/>
  </si>
  <si>
    <t>F22489</t>
    <phoneticPr fontId="3" type="noConversion"/>
  </si>
  <si>
    <t>R206B06</t>
    <phoneticPr fontId="3" type="noConversion"/>
  </si>
  <si>
    <t>R206B07</t>
    <phoneticPr fontId="3" type="noConversion"/>
  </si>
  <si>
    <t>ES73</t>
    <phoneticPr fontId="3" type="noConversion"/>
  </si>
  <si>
    <t>BCW</t>
    <phoneticPr fontId="3" type="noConversion"/>
  </si>
  <si>
    <t>F206B06</t>
    <phoneticPr fontId="3" type="noConversion"/>
  </si>
  <si>
    <t>F206B07</t>
    <phoneticPr fontId="3" type="noConversion"/>
  </si>
  <si>
    <t>Pull Cup</t>
    <phoneticPr fontId="3" type="noConversion"/>
  </si>
  <si>
    <t>R425A22</t>
    <phoneticPr fontId="3" type="noConversion"/>
  </si>
  <si>
    <t>堵盖</t>
    <phoneticPr fontId="3" type="noConversion"/>
  </si>
  <si>
    <t>CTG</t>
    <phoneticPr fontId="3" type="noConversion"/>
  </si>
  <si>
    <r>
      <t xml:space="preserve"> </t>
    </r>
    <r>
      <rPr>
        <sz val="9"/>
        <rFont val="DengXian"/>
      </rPr>
      <t>后四角窗</t>
    </r>
    <phoneticPr fontId="3" type="noConversion"/>
  </si>
  <si>
    <r>
      <t>TT MRD</t>
    </r>
    <r>
      <rPr>
        <sz val="9"/>
        <rFont val="宋体"/>
        <family val="3"/>
        <charset val="134"/>
      </rPr>
      <t>（2018/6/27）</t>
    </r>
    <phoneticPr fontId="61" type="noConversion"/>
  </si>
  <si>
    <r>
      <t>TT TCF</t>
    </r>
    <r>
      <rPr>
        <sz val="9"/>
        <rFont val="宋体"/>
        <family val="3"/>
        <charset val="134"/>
      </rPr>
      <t>（2018/7/18）</t>
    </r>
    <phoneticPr fontId="61" type="noConversion"/>
  </si>
  <si>
    <r>
      <t>PP MRD</t>
    </r>
    <r>
      <rPr>
        <sz val="9"/>
        <rFont val="宋体"/>
        <family val="3"/>
        <charset val="134"/>
      </rPr>
      <t>（2018/9/26）</t>
    </r>
    <phoneticPr fontId="61" type="noConversion"/>
  </si>
  <si>
    <t>EESE</t>
    <phoneticPr fontId="3" type="noConversion"/>
  </si>
  <si>
    <t>14A005</t>
  </si>
  <si>
    <t>CHB</t>
  </si>
  <si>
    <t>EESE</t>
    <phoneticPr fontId="3" type="noConversion"/>
  </si>
  <si>
    <t>CLB</t>
  </si>
  <si>
    <t>CMB</t>
  </si>
  <si>
    <t>EESE</t>
    <phoneticPr fontId="3" type="noConversion"/>
  </si>
  <si>
    <t>CNB</t>
  </si>
  <si>
    <t>CPB</t>
  </si>
  <si>
    <t>CAB</t>
  </si>
  <si>
    <t>CBB</t>
  </si>
  <si>
    <t>CGB</t>
  </si>
  <si>
    <t>CRB</t>
  </si>
  <si>
    <t>CSB</t>
  </si>
  <si>
    <t>CTB</t>
  </si>
  <si>
    <t>CUB</t>
  </si>
  <si>
    <t>CVB</t>
  </si>
  <si>
    <t>CXB</t>
  </si>
  <si>
    <t>CYB</t>
  </si>
  <si>
    <t>EESE</t>
    <phoneticPr fontId="3" type="noConversion"/>
  </si>
  <si>
    <t>CZB</t>
  </si>
  <si>
    <t>DAB</t>
  </si>
  <si>
    <t>DBB</t>
  </si>
  <si>
    <t>DEB</t>
  </si>
  <si>
    <t>DFB</t>
  </si>
  <si>
    <t>12A581</t>
  </si>
  <si>
    <t>CDB</t>
  </si>
  <si>
    <t>CEB</t>
  </si>
  <si>
    <t>CFB</t>
  </si>
  <si>
    <t>EESE</t>
    <phoneticPr fontId="3" type="noConversion"/>
  </si>
  <si>
    <t>KU5T</t>
  </si>
  <si>
    <t>12C508</t>
  </si>
  <si>
    <t>13A840</t>
  </si>
  <si>
    <t>JA</t>
  </si>
  <si>
    <t>KA</t>
  </si>
  <si>
    <t>14335</t>
  </si>
  <si>
    <t>NAB</t>
  </si>
  <si>
    <t>RAB</t>
  </si>
  <si>
    <t>SAB</t>
  </si>
  <si>
    <t>TAB</t>
  </si>
  <si>
    <t>UAB</t>
  </si>
  <si>
    <t>14401</t>
  </si>
  <si>
    <t>FAB</t>
  </si>
  <si>
    <t>FBB</t>
  </si>
  <si>
    <t>FCB</t>
  </si>
  <si>
    <t>FDB</t>
  </si>
  <si>
    <t>FEB</t>
  </si>
  <si>
    <t>FFB</t>
  </si>
  <si>
    <t>FGB</t>
  </si>
  <si>
    <t>14630</t>
  </si>
  <si>
    <t>CFA</t>
  </si>
  <si>
    <t>CEA</t>
  </si>
  <si>
    <t>CAA</t>
  </si>
  <si>
    <t>CBA</t>
  </si>
  <si>
    <t>14631</t>
  </si>
  <si>
    <t>14632</t>
  </si>
  <si>
    <t>CCA</t>
  </si>
  <si>
    <t>EESE</t>
    <phoneticPr fontId="3" type="noConversion"/>
  </si>
  <si>
    <t>14633</t>
  </si>
  <si>
    <t>14A069</t>
  </si>
  <si>
    <t>AB</t>
  </si>
  <si>
    <t>BB</t>
  </si>
  <si>
    <t>14A280</t>
  </si>
  <si>
    <t>AAB</t>
  </si>
  <si>
    <t>ABB</t>
  </si>
  <si>
    <t>ADB</t>
  </si>
  <si>
    <t>AEB</t>
  </si>
  <si>
    <t>14A301</t>
  </si>
  <si>
    <t>HG9T</t>
  </si>
  <si>
    <t>F2GT</t>
  </si>
  <si>
    <t>FA</t>
  </si>
  <si>
    <t>DA</t>
  </si>
  <si>
    <t>14A411</t>
  </si>
  <si>
    <t>AC</t>
  </si>
  <si>
    <t>14A583</t>
  </si>
  <si>
    <t>14B562</t>
  </si>
  <si>
    <t>14B599</t>
  </si>
  <si>
    <t>DG9T</t>
  </si>
  <si>
    <t>14C067</t>
  </si>
  <si>
    <t>14C111</t>
  </si>
  <si>
    <t>G2GT</t>
  </si>
  <si>
    <t>14C210</t>
  </si>
  <si>
    <t>HB</t>
  </si>
  <si>
    <t>14D068</t>
  </si>
  <si>
    <t>HA</t>
  </si>
  <si>
    <t>14G574</t>
  </si>
  <si>
    <t>15K867</t>
  </si>
  <si>
    <t>15K868</t>
  </si>
  <si>
    <t>17C712</t>
  </si>
  <si>
    <t>FB</t>
  </si>
  <si>
    <t>17N400</t>
  </si>
  <si>
    <t>19A095</t>
  </si>
  <si>
    <t>2B254</t>
  </si>
  <si>
    <t>2C054</t>
  </si>
  <si>
    <t>8C290</t>
  </si>
  <si>
    <t>LA</t>
  </si>
  <si>
    <r>
      <t>PP TCF</t>
    </r>
    <r>
      <rPr>
        <sz val="9"/>
        <rFont val="宋体"/>
        <family val="3"/>
        <charset val="134"/>
      </rPr>
      <t>（2018/10/17）</t>
    </r>
    <phoneticPr fontId="61" type="noConversion"/>
  </si>
  <si>
    <t>lxie5@ford.com</t>
    <phoneticPr fontId="52" type="noConversion"/>
  </si>
  <si>
    <t>PV-215</t>
  </si>
  <si>
    <t>PV-216</t>
  </si>
  <si>
    <t>PV-217</t>
  </si>
  <si>
    <t>PV-218</t>
  </si>
  <si>
    <t>PV-219</t>
  </si>
  <si>
    <t>PV-220</t>
  </si>
  <si>
    <t>PV-221</t>
  </si>
  <si>
    <t>PV-222</t>
  </si>
  <si>
    <t>PV-223</t>
  </si>
  <si>
    <t>PV-224</t>
  </si>
  <si>
    <t>PV-225</t>
  </si>
  <si>
    <t>PV-226</t>
  </si>
  <si>
    <t>PV-227</t>
  </si>
  <si>
    <t>PV-228</t>
  </si>
  <si>
    <t>PV-229</t>
  </si>
  <si>
    <t>PV-230</t>
  </si>
  <si>
    <t>PV-231</t>
  </si>
  <si>
    <t>PV-232</t>
  </si>
  <si>
    <t>PV-233</t>
  </si>
  <si>
    <t>PV-234</t>
  </si>
  <si>
    <t>PV-235</t>
  </si>
  <si>
    <t>PV-236</t>
  </si>
  <si>
    <t>PV-237</t>
  </si>
  <si>
    <t>PV-238</t>
  </si>
  <si>
    <t>PV-239</t>
  </si>
  <si>
    <t>PV-240</t>
  </si>
  <si>
    <t>PV-241</t>
  </si>
  <si>
    <t>PV-242</t>
  </si>
  <si>
    <t>PV-243</t>
  </si>
  <si>
    <t>PV-244</t>
  </si>
  <si>
    <t>PV-245</t>
  </si>
  <si>
    <t>PV-246</t>
  </si>
  <si>
    <t>PV-247</t>
  </si>
  <si>
    <t>PV-248</t>
  </si>
  <si>
    <t>PV-249</t>
  </si>
  <si>
    <t>PV-250</t>
  </si>
  <si>
    <t>PV-251</t>
  </si>
  <si>
    <t>PV-252</t>
  </si>
  <si>
    <t>PV-253</t>
  </si>
  <si>
    <t>PV-254</t>
  </si>
  <si>
    <t>PV-255</t>
  </si>
  <si>
    <t>PV-256</t>
  </si>
  <si>
    <t>PV-257</t>
  </si>
  <si>
    <t>PV-258</t>
  </si>
  <si>
    <t>PV-259</t>
  </si>
  <si>
    <t>PV-260</t>
  </si>
  <si>
    <t>PV-261</t>
  </si>
  <si>
    <t>PV-262</t>
  </si>
  <si>
    <t>PV-263</t>
  </si>
  <si>
    <t>PV-264</t>
  </si>
  <si>
    <t>PV-265</t>
  </si>
  <si>
    <t>PV-266</t>
  </si>
  <si>
    <t>PV-267</t>
  </si>
  <si>
    <t>PV-268</t>
  </si>
  <si>
    <t>PV-269</t>
  </si>
  <si>
    <t>PV-270</t>
  </si>
  <si>
    <t>PV-271</t>
  </si>
  <si>
    <t>PV-272</t>
  </si>
  <si>
    <t>PV-273</t>
  </si>
  <si>
    <t>PV-274</t>
  </si>
  <si>
    <t>PV-275</t>
  </si>
  <si>
    <t>PV-276</t>
  </si>
  <si>
    <t>PV-277</t>
  </si>
  <si>
    <t>PV-278</t>
  </si>
  <si>
    <t>PV-279</t>
  </si>
  <si>
    <t>PV-280</t>
  </si>
  <si>
    <t>PV-281</t>
  </si>
  <si>
    <t>PV-282</t>
  </si>
  <si>
    <t>PV-283</t>
  </si>
  <si>
    <t>PV-284</t>
  </si>
  <si>
    <t>PV-285</t>
  </si>
  <si>
    <t>PV-286</t>
  </si>
  <si>
    <t>PV-287</t>
  </si>
  <si>
    <t>PV-288</t>
  </si>
  <si>
    <t>PV-289</t>
  </si>
  <si>
    <t>PV-290</t>
  </si>
  <si>
    <t>PV-291</t>
  </si>
  <si>
    <t>PV-292</t>
  </si>
  <si>
    <t>PV-293</t>
  </si>
  <si>
    <t>PV-294</t>
  </si>
  <si>
    <t>PV-295</t>
  </si>
  <si>
    <t>PV-296</t>
  </si>
  <si>
    <t>PV-297</t>
  </si>
  <si>
    <t>PV-298</t>
  </si>
  <si>
    <t>PV-299</t>
  </si>
  <si>
    <t>PV-300</t>
  </si>
  <si>
    <t>PV-301</t>
  </si>
  <si>
    <t>PV-302</t>
  </si>
  <si>
    <t>PV-303</t>
  </si>
  <si>
    <t>PV-304</t>
  </si>
  <si>
    <t>PV-305</t>
  </si>
  <si>
    <t>PV-306</t>
  </si>
  <si>
    <t>PV-307</t>
  </si>
  <si>
    <t>PV-308</t>
  </si>
  <si>
    <t>PV-309</t>
  </si>
  <si>
    <t>PV-310</t>
  </si>
  <si>
    <t>PV-311</t>
  </si>
  <si>
    <t>PV-312</t>
  </si>
  <si>
    <t>PV-313</t>
  </si>
  <si>
    <t>PV-314</t>
  </si>
  <si>
    <t>PV-315</t>
  </si>
  <si>
    <t>PV-316</t>
  </si>
  <si>
    <t>PV-317</t>
  </si>
  <si>
    <t>PV-318</t>
  </si>
  <si>
    <t>PV-319</t>
  </si>
  <si>
    <t>PV-320</t>
  </si>
  <si>
    <t>PV-321</t>
  </si>
  <si>
    <t>PV-322</t>
  </si>
  <si>
    <t>PV-323</t>
  </si>
  <si>
    <t>PV-324</t>
  </si>
  <si>
    <t>PV-325</t>
  </si>
  <si>
    <t>PV-326</t>
  </si>
  <si>
    <t>PV-327</t>
  </si>
  <si>
    <t>PV-328</t>
  </si>
  <si>
    <t>PV-329</t>
  </si>
  <si>
    <t>PV-330</t>
  </si>
  <si>
    <t>PV-331</t>
  </si>
  <si>
    <t>PV-332</t>
  </si>
  <si>
    <t>PV-333</t>
  </si>
  <si>
    <t>PV-334</t>
  </si>
  <si>
    <t>PV-335</t>
  </si>
  <si>
    <t>PV-336</t>
  </si>
  <si>
    <t>PV-337</t>
  </si>
  <si>
    <t>PV-338</t>
  </si>
  <si>
    <t>PV-339</t>
  </si>
  <si>
    <t>PV-340</t>
  </si>
  <si>
    <t>PV-341</t>
  </si>
  <si>
    <t>PV-342</t>
  </si>
  <si>
    <t>PV-343</t>
  </si>
  <si>
    <t>PV-344</t>
  </si>
  <si>
    <t>PV-345</t>
  </si>
  <si>
    <t>PV-346</t>
  </si>
  <si>
    <t>PV-347</t>
  </si>
  <si>
    <t>PV-348</t>
  </si>
  <si>
    <t>PV-349</t>
  </si>
  <si>
    <t>PV-350</t>
  </si>
  <si>
    <t>PV-351</t>
  </si>
  <si>
    <t>PV-352</t>
  </si>
  <si>
    <t>PV-021</t>
  </si>
  <si>
    <t>PV-022</t>
  </si>
  <si>
    <t>PV-023</t>
  </si>
  <si>
    <t>PV-024</t>
  </si>
  <si>
    <t>PV-025</t>
  </si>
  <si>
    <t>PV-026</t>
  </si>
  <si>
    <t>PV-027</t>
  </si>
  <si>
    <t>PV-028</t>
  </si>
  <si>
    <t>PV-029</t>
  </si>
  <si>
    <t>PV-030</t>
  </si>
  <si>
    <t>PV-031</t>
  </si>
  <si>
    <t>PV-032</t>
  </si>
  <si>
    <t>PV-033</t>
  </si>
  <si>
    <t>PV-034</t>
  </si>
  <si>
    <t>PV-035</t>
  </si>
  <si>
    <t>PV-036</t>
  </si>
  <si>
    <t>PV-037</t>
  </si>
  <si>
    <t>PV-038</t>
  </si>
  <si>
    <t>PV-039</t>
  </si>
  <si>
    <t>PV-040</t>
  </si>
  <si>
    <t>PV-041</t>
  </si>
  <si>
    <t>PV-042</t>
  </si>
  <si>
    <t>PV-043</t>
  </si>
  <si>
    <t>PV-044</t>
  </si>
  <si>
    <t>PV-045</t>
  </si>
  <si>
    <t>PV-046</t>
  </si>
  <si>
    <t>PV-047</t>
  </si>
  <si>
    <t>PV-048</t>
  </si>
  <si>
    <t>PV-049</t>
  </si>
  <si>
    <t>PV-050</t>
  </si>
  <si>
    <t>PV-051</t>
  </si>
  <si>
    <t>PV-052</t>
  </si>
  <si>
    <t>PV-053</t>
  </si>
  <si>
    <t>PV-054</t>
  </si>
  <si>
    <t>PV-055</t>
  </si>
  <si>
    <t>PV-056</t>
  </si>
  <si>
    <t>PV-057</t>
  </si>
  <si>
    <t>PV-058</t>
  </si>
  <si>
    <t>PV-059</t>
  </si>
  <si>
    <t>PV-060</t>
  </si>
  <si>
    <t>PV-061</t>
  </si>
  <si>
    <t>PV-062</t>
  </si>
  <si>
    <t>PV-063</t>
  </si>
  <si>
    <t>PV-065</t>
  </si>
  <si>
    <t>PV-066</t>
  </si>
  <si>
    <t>PV-067</t>
  </si>
  <si>
    <t>PV-068</t>
  </si>
  <si>
    <t>PV-069</t>
  </si>
  <si>
    <t>PV-070</t>
  </si>
  <si>
    <t>PV-071</t>
  </si>
  <si>
    <t>PV-072</t>
  </si>
  <si>
    <t>PV-073</t>
  </si>
  <si>
    <t>PV-074</t>
  </si>
  <si>
    <t>PV-075</t>
  </si>
  <si>
    <t>PV-076</t>
  </si>
  <si>
    <t>PV-077</t>
  </si>
  <si>
    <t>PV-078</t>
  </si>
  <si>
    <t>PV-079</t>
  </si>
  <si>
    <t>PV-080</t>
  </si>
  <si>
    <t>PV-081</t>
  </si>
  <si>
    <t>PV-082</t>
  </si>
  <si>
    <t>PV-083</t>
  </si>
  <si>
    <t>PV-084</t>
  </si>
  <si>
    <t>PV-085</t>
  </si>
  <si>
    <t>PV-086</t>
  </si>
  <si>
    <t>PV-087</t>
  </si>
  <si>
    <t>PV-088</t>
  </si>
  <si>
    <t>PV-089</t>
  </si>
  <si>
    <t>PV-090</t>
  </si>
  <si>
    <t>PV-091</t>
  </si>
  <si>
    <t>PV-092</t>
  </si>
  <si>
    <t>PV-095</t>
  </si>
  <si>
    <t>PV-096</t>
  </si>
  <si>
    <t>PV-097</t>
  </si>
  <si>
    <t>PV-098</t>
  </si>
  <si>
    <t>PV-099</t>
  </si>
  <si>
    <t>PV-100</t>
  </si>
  <si>
    <t>PV-101</t>
  </si>
  <si>
    <t xml:space="preserve">PD Program Launch Engineer </t>
    <phoneticPr fontId="52" type="noConversion"/>
  </si>
  <si>
    <t>Xie Li</t>
    <phoneticPr fontId="52" type="noConversion"/>
  </si>
  <si>
    <t>CD539MCA PV weekly follow up</t>
    <phoneticPr fontId="52" type="noConversion"/>
  </si>
  <si>
    <t>红色/黄色项请于每周四下班前反馈，蓝色项请通知团队进行预警，谢谢!</t>
    <phoneticPr fontId="52" type="noConversion"/>
  </si>
  <si>
    <t xml:space="preserve">Glass run/belt </t>
    <phoneticPr fontId="3" type="noConversion"/>
  </si>
  <si>
    <t>CD539 MCA PVP&amp;R Status</t>
    <phoneticPr fontId="3" type="noConversion"/>
  </si>
  <si>
    <t>PV Completed PN (Plan)</t>
    <phoneticPr fontId="52" type="noConversion"/>
  </si>
  <si>
    <t>PV Completed (Forecast)</t>
    <phoneticPr fontId="52" type="noConversion"/>
  </si>
  <si>
    <t>PV Completed (Actual)</t>
    <phoneticPr fontId="52" type="noConversion"/>
  </si>
  <si>
    <t>Completion Percentage (Plan)</t>
    <phoneticPr fontId="52" type="noConversion"/>
  </si>
  <si>
    <t>Completion Percentage (Forecast)</t>
    <phoneticPr fontId="52" type="noConversion"/>
  </si>
  <si>
    <t>Completion Percentage (Actual)</t>
    <phoneticPr fontId="52" type="noConversion"/>
  </si>
  <si>
    <r>
      <t>ESC</t>
    </r>
    <r>
      <rPr>
        <sz val="9"/>
        <rFont val="宋体"/>
        <family val="3"/>
        <charset val="134"/>
      </rPr>
      <t>模块</t>
    </r>
    <phoneticPr fontId="3" type="noConversion"/>
  </si>
  <si>
    <t>jiang Daihong</t>
    <phoneticPr fontId="3" type="noConversion"/>
  </si>
  <si>
    <t>2018/4/31</t>
    <phoneticPr fontId="3" type="noConversion"/>
  </si>
  <si>
    <t>Ye Baoyuan</t>
    <phoneticPr fontId="3" type="noConversion"/>
  </si>
  <si>
    <t>Hu Jing</t>
    <phoneticPr fontId="3" type="noConversion"/>
  </si>
  <si>
    <t>皮纹要更新，现在做不了节拍生产</t>
    <phoneticPr fontId="3" type="noConversion"/>
  </si>
  <si>
    <t>皮纹要更新，现在做不了节拍生产</t>
    <phoneticPr fontId="3" type="noConversion"/>
  </si>
  <si>
    <t>工程变更，新零件4月份才能做节拍</t>
    <phoneticPr fontId="3" type="noConversion"/>
  </si>
  <si>
    <t>前地板纵梁延伸件总成</t>
    <phoneticPr fontId="3" type="noConversion"/>
  </si>
  <si>
    <r>
      <t>HB2</t>
    </r>
    <r>
      <rPr>
        <sz val="10"/>
        <rFont val="宋体"/>
        <family val="3"/>
        <charset val="134"/>
      </rPr>
      <t>新物料，新导线，零件中缀，</t>
    </r>
    <r>
      <rPr>
        <sz val="10"/>
        <rFont val="Arial"/>
        <family val="2"/>
      </rPr>
      <t>TT</t>
    </r>
    <r>
      <rPr>
        <sz val="10"/>
        <rFont val="宋体"/>
        <family val="3"/>
        <charset val="134"/>
      </rPr>
      <t>图纸冻结</t>
    </r>
    <r>
      <rPr>
        <sz val="10"/>
        <rFont val="Arial"/>
        <family val="2"/>
      </rPr>
      <t xml:space="preserve"> 4/1</t>
    </r>
    <r>
      <rPr>
        <sz val="10"/>
        <rFont val="宋体"/>
        <family val="3"/>
        <charset val="134"/>
      </rPr>
      <t>号</t>
    </r>
    <phoneticPr fontId="3" type="noConversion"/>
  </si>
  <si>
    <t>2.针对有变更的零件号，变更零件号太多了 1. 针对没有变更的零件，是由于供应商内部图纸传递太晚导致开模时间延迟</t>
    <phoneticPr fontId="3" type="noConversion"/>
  </si>
  <si>
    <t>上海福耀没有德尔福的摄像头支架（硬模件）</t>
    <phoneticPr fontId="3" type="noConversion"/>
  </si>
  <si>
    <t>上海福耀没有德尔福的摄像头支架（硬模件）</t>
    <phoneticPr fontId="3" type="noConversion"/>
  </si>
  <si>
    <t>K2GH</t>
    <phoneticPr fontId="108" type="noConversion"/>
  </si>
  <si>
    <t>19D629</t>
    <phoneticPr fontId="108" type="noConversion"/>
  </si>
  <si>
    <t>BB</t>
    <phoneticPr fontId="108" type="noConversion"/>
  </si>
  <si>
    <t>K2GH</t>
    <phoneticPr fontId="108" type="noConversion"/>
  </si>
  <si>
    <t>19D629</t>
    <phoneticPr fontId="108" type="noConversion"/>
  </si>
  <si>
    <t>FB</t>
    <phoneticPr fontId="108" type="noConversion"/>
  </si>
  <si>
    <t>GB</t>
    <phoneticPr fontId="108" type="noConversion"/>
  </si>
  <si>
    <t>DG9H</t>
  </si>
  <si>
    <t>19E881</t>
  </si>
  <si>
    <t>AD</t>
  </si>
  <si>
    <t>E1GH</t>
  </si>
  <si>
    <t>K2GH</t>
  </si>
  <si>
    <t>19N601</t>
  </si>
  <si>
    <t>19N602</t>
  </si>
  <si>
    <t>GB</t>
  </si>
  <si>
    <t>19N651</t>
  </si>
  <si>
    <t>R04310</t>
    <phoneticPr fontId="108" type="noConversion"/>
  </si>
  <si>
    <t>AAW</t>
    <phoneticPr fontId="108" type="noConversion"/>
  </si>
  <si>
    <t>R04310</t>
    <phoneticPr fontId="108" type="noConversion"/>
  </si>
  <si>
    <t>BAW</t>
    <phoneticPr fontId="108" type="noConversion"/>
  </si>
  <si>
    <t>R042B60</t>
  </si>
  <si>
    <t>ABW</t>
  </si>
  <si>
    <t>BBW</t>
  </si>
  <si>
    <t>CBW</t>
  </si>
  <si>
    <t>DBW</t>
  </si>
  <si>
    <t>CAW</t>
  </si>
  <si>
    <t>EAW</t>
  </si>
  <si>
    <t>FAW</t>
  </si>
  <si>
    <t>GAW</t>
  </si>
  <si>
    <t>HAW</t>
  </si>
  <si>
    <t>JAW</t>
    <phoneticPr fontId="108" type="noConversion"/>
  </si>
  <si>
    <t>KAW</t>
    <phoneticPr fontId="108" type="noConversion"/>
  </si>
  <si>
    <t>R045R16</t>
  </si>
  <si>
    <t>R045C22</t>
  </si>
  <si>
    <t>R046B26</t>
  </si>
  <si>
    <t>R046B27</t>
  </si>
  <si>
    <t>DAW</t>
  </si>
  <si>
    <t>R045L10</t>
  </si>
  <si>
    <t>AAW</t>
    <phoneticPr fontId="108" type="noConversion"/>
  </si>
  <si>
    <t>R045L11</t>
  </si>
  <si>
    <t>R044H83</t>
  </si>
  <si>
    <t>ACW</t>
    <phoneticPr fontId="108" type="noConversion"/>
  </si>
  <si>
    <t>BCW</t>
    <phoneticPr fontId="108" type="noConversion"/>
  </si>
  <si>
    <t>CCW</t>
    <phoneticPr fontId="108" type="noConversion"/>
  </si>
  <si>
    <t>DCW</t>
    <phoneticPr fontId="108" type="noConversion"/>
  </si>
  <si>
    <t>R061A16</t>
    <phoneticPr fontId="108" type="noConversion"/>
  </si>
  <si>
    <t>AAW</t>
    <phoneticPr fontId="108" type="noConversion"/>
  </si>
  <si>
    <t>R061A16</t>
    <phoneticPr fontId="108" type="noConversion"/>
  </si>
  <si>
    <t>BAW</t>
    <phoneticPr fontId="108" type="noConversion"/>
  </si>
  <si>
    <t>CAW</t>
    <phoneticPr fontId="108" type="noConversion"/>
  </si>
  <si>
    <t>R061A17</t>
    <phoneticPr fontId="108" type="noConversion"/>
  </si>
  <si>
    <t>CAW</t>
    <phoneticPr fontId="108" type="noConversion"/>
  </si>
  <si>
    <t>R061A17</t>
    <phoneticPr fontId="108" type="noConversion"/>
  </si>
  <si>
    <t>R061A17</t>
    <phoneticPr fontId="108" type="noConversion"/>
  </si>
  <si>
    <t>BAW</t>
    <phoneticPr fontId="108" type="noConversion"/>
  </si>
  <si>
    <t>R045L10</t>
    <phoneticPr fontId="108" type="noConversion"/>
  </si>
  <si>
    <t>BAW</t>
    <phoneticPr fontId="108" type="noConversion"/>
  </si>
  <si>
    <t>R045L11</t>
    <phoneticPr fontId="108" type="noConversion"/>
  </si>
  <si>
    <t>R60044</t>
  </si>
  <si>
    <t>R60045</t>
  </si>
  <si>
    <t>R611C72</t>
  </si>
  <si>
    <t>ABW</t>
    <phoneticPr fontId="108" type="noConversion"/>
  </si>
  <si>
    <t>R612D65</t>
  </si>
  <si>
    <t>ABW</t>
    <phoneticPr fontId="108" type="noConversion"/>
  </si>
  <si>
    <t>JK7B</t>
  </si>
  <si>
    <t>R600B02</t>
  </si>
  <si>
    <t>R600D83</t>
  </si>
  <si>
    <t>GAAW</t>
  </si>
  <si>
    <t>R600A30</t>
  </si>
  <si>
    <t>R600A31</t>
  </si>
  <si>
    <t>R600B01</t>
  </si>
  <si>
    <t>R600D82</t>
  </si>
  <si>
    <t>EAAW</t>
  </si>
  <si>
    <t>R11130</t>
  </si>
  <si>
    <t>R16746</t>
  </si>
  <si>
    <t>R16115</t>
  </si>
  <si>
    <t>R280K73</t>
  </si>
  <si>
    <t>R280K74</t>
  </si>
  <si>
    <t>R13046</t>
  </si>
  <si>
    <t>R13W055</t>
  </si>
  <si>
    <t>R13W058</t>
  </si>
  <si>
    <t>EBW</t>
  </si>
  <si>
    <t>JBW</t>
  </si>
  <si>
    <t>LBW</t>
  </si>
  <si>
    <t>MBW</t>
  </si>
  <si>
    <t>NBW</t>
  </si>
  <si>
    <t>R51918</t>
    <phoneticPr fontId="108" type="noConversion"/>
  </si>
  <si>
    <t>GDW</t>
    <phoneticPr fontId="108" type="noConversion"/>
  </si>
  <si>
    <t>R51918</t>
    <phoneticPr fontId="108" type="noConversion"/>
  </si>
  <si>
    <t>HCW</t>
    <phoneticPr fontId="108" type="noConversion"/>
  </si>
  <si>
    <t>R11133</t>
  </si>
  <si>
    <t>6P013</t>
  </si>
  <si>
    <t>6P014</t>
  </si>
  <si>
    <t>R130D00</t>
  </si>
  <si>
    <t>R130B40</t>
  </si>
  <si>
    <t>17D550</t>
  </si>
  <si>
    <t>17D568</t>
  </si>
  <si>
    <t>R31013</t>
  </si>
  <si>
    <t>CEW</t>
  </si>
  <si>
    <t>EBW</t>
    <phoneticPr fontId="108" type="noConversion"/>
  </si>
  <si>
    <r>
      <rPr>
        <sz val="10"/>
        <rFont val="宋体"/>
        <family val="3"/>
        <charset val="134"/>
      </rPr>
      <t>空调压缩机</t>
    </r>
    <phoneticPr fontId="109" type="noConversion"/>
  </si>
  <si>
    <r>
      <rPr>
        <sz val="10"/>
        <rFont val="宋体"/>
        <family val="3"/>
        <charset val="134"/>
      </rPr>
      <t>空调压缩机</t>
    </r>
    <phoneticPr fontId="109" type="noConversion"/>
  </si>
  <si>
    <r>
      <rPr>
        <sz val="10"/>
        <rFont val="宋体"/>
        <family val="3"/>
        <charset val="134"/>
      </rPr>
      <t>空调管</t>
    </r>
    <phoneticPr fontId="109" type="noConversion"/>
  </si>
  <si>
    <r>
      <rPr>
        <sz val="10"/>
        <rFont val="宋体"/>
        <family val="3"/>
        <charset val="134"/>
      </rPr>
      <t>仪表板</t>
    </r>
    <phoneticPr fontId="109" type="noConversion"/>
  </si>
  <si>
    <r>
      <rPr>
        <sz val="10"/>
        <rFont val="宋体"/>
        <family val="3"/>
        <charset val="134"/>
      </rPr>
      <t>仪表板</t>
    </r>
    <phoneticPr fontId="109" type="noConversion"/>
  </si>
  <si>
    <r>
      <rPr>
        <sz val="10"/>
        <rFont val="宋体"/>
        <family val="3"/>
        <charset val="134"/>
      </rPr>
      <t>副仪表板</t>
    </r>
    <phoneticPr fontId="109" type="noConversion"/>
  </si>
  <si>
    <r>
      <rPr>
        <sz val="10"/>
        <rFont val="宋体"/>
        <family val="3"/>
        <charset val="134"/>
      </rPr>
      <t>副仪表板</t>
    </r>
    <phoneticPr fontId="109" type="noConversion"/>
  </si>
  <si>
    <r>
      <rPr>
        <sz val="10"/>
        <rFont val="宋体"/>
        <family val="3"/>
        <charset val="134"/>
      </rPr>
      <t>副仪表板</t>
    </r>
    <phoneticPr fontId="109" type="noConversion"/>
  </si>
  <si>
    <r>
      <rPr>
        <sz val="10"/>
        <rFont val="宋体"/>
        <family val="3"/>
        <charset val="134"/>
      </rPr>
      <t>安全带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扣环</t>
    </r>
    <phoneticPr fontId="109" type="noConversion"/>
  </si>
  <si>
    <r>
      <rPr>
        <sz val="10"/>
        <rFont val="宋体"/>
        <family val="3"/>
        <charset val="134"/>
      </rPr>
      <t>安全带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扣环</t>
    </r>
    <phoneticPr fontId="109" type="noConversion"/>
  </si>
  <si>
    <r>
      <rPr>
        <sz val="10"/>
        <rFont val="宋体"/>
        <family val="3"/>
        <charset val="134"/>
      </rPr>
      <t>安全带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扣环</t>
    </r>
    <phoneticPr fontId="109" type="noConversion"/>
  </si>
  <si>
    <r>
      <rPr>
        <sz val="10"/>
        <rFont val="宋体"/>
        <family val="3"/>
        <charset val="134"/>
      </rPr>
      <t>座椅总成</t>
    </r>
    <phoneticPr fontId="109" type="noConversion"/>
  </si>
  <si>
    <r>
      <rPr>
        <sz val="10"/>
        <rFont val="宋体"/>
        <family val="3"/>
        <charset val="134"/>
      </rPr>
      <t>座椅总成</t>
    </r>
    <phoneticPr fontId="109" type="noConversion"/>
  </si>
  <si>
    <r>
      <rPr>
        <sz val="10"/>
        <rFont val="宋体"/>
        <family val="3"/>
        <charset val="134"/>
      </rPr>
      <t>座椅总成</t>
    </r>
    <phoneticPr fontId="109" type="noConversion"/>
  </si>
  <si>
    <t>引擎盖隔热垫/通道隔热垫</t>
  </si>
  <si>
    <t>发动机舱隔热垫</t>
  </si>
  <si>
    <t>前轮毂包</t>
  </si>
  <si>
    <t>后轮毂包</t>
  </si>
  <si>
    <r>
      <rPr>
        <sz val="10"/>
        <rFont val="宋体"/>
        <family val="3"/>
        <charset val="134"/>
      </rPr>
      <t>地毯</t>
    </r>
    <phoneticPr fontId="109" type="noConversion"/>
  </si>
  <si>
    <r>
      <rPr>
        <sz val="10"/>
        <rFont val="宋体"/>
        <family val="3"/>
        <charset val="134"/>
      </rPr>
      <t>地毯</t>
    </r>
    <phoneticPr fontId="109" type="noConversion"/>
  </si>
  <si>
    <r>
      <rPr>
        <sz val="10"/>
        <rFont val="宋体"/>
        <family val="3"/>
        <charset val="134"/>
      </rPr>
      <t>顶棚</t>
    </r>
    <phoneticPr fontId="109" type="noConversion"/>
  </si>
  <si>
    <r>
      <rPr>
        <sz val="10"/>
        <rFont val="宋体"/>
        <family val="3"/>
        <charset val="134"/>
      </rPr>
      <t>顶棚</t>
    </r>
    <phoneticPr fontId="109" type="noConversion"/>
  </si>
  <si>
    <t>下护板</t>
  </si>
  <si>
    <t>脚垫</t>
  </si>
  <si>
    <r>
      <rPr>
        <sz val="10"/>
        <rFont val="宋体"/>
        <family val="3"/>
        <charset val="134"/>
      </rPr>
      <t>雨量传感器盖板</t>
    </r>
    <phoneticPr fontId="108" type="noConversion"/>
  </si>
  <si>
    <r>
      <rPr>
        <sz val="10"/>
        <rFont val="宋体"/>
        <family val="3"/>
        <charset val="134"/>
      </rPr>
      <t>雨量传感器盖板</t>
    </r>
    <phoneticPr fontId="108" type="noConversion"/>
  </si>
  <si>
    <r>
      <rPr>
        <sz val="10"/>
        <rFont val="宋体"/>
        <family val="3"/>
        <charset val="134"/>
      </rPr>
      <t>行李厢侧饰板</t>
    </r>
    <phoneticPr fontId="108" type="noConversion"/>
  </si>
  <si>
    <t>Instrument IP(SLB&amp;RA)</t>
    <phoneticPr fontId="108" type="noConversion"/>
  </si>
  <si>
    <t>Seat</t>
    <phoneticPr fontId="109" type="noConversion"/>
  </si>
  <si>
    <t>Seat</t>
    <phoneticPr fontId="109" type="noConversion"/>
  </si>
  <si>
    <t xml:space="preserve">Hood Insulation &amp; tunel insulation </t>
  </si>
  <si>
    <t>Front Wheel Arch Liner</t>
  </si>
  <si>
    <t xml:space="preserve">Headlier </t>
  </si>
  <si>
    <t xml:space="preserve">Floor MAT </t>
  </si>
  <si>
    <t>hard trim: LH quarter trim for high series ( not deside)</t>
    <phoneticPr fontId="108" type="noConversion"/>
  </si>
  <si>
    <t>Guan Huali</t>
    <phoneticPr fontId="109" type="noConversion"/>
  </si>
  <si>
    <t>Guan Huali</t>
    <phoneticPr fontId="109" type="noConversion"/>
  </si>
  <si>
    <t>Guan Huali</t>
    <phoneticPr fontId="109" type="noConversion"/>
  </si>
  <si>
    <t>Guan Huali</t>
    <phoneticPr fontId="109" type="noConversion"/>
  </si>
  <si>
    <t>Lan Feng</t>
    <phoneticPr fontId="109" type="noConversion"/>
  </si>
  <si>
    <t>Chen Yuanjie</t>
    <phoneticPr fontId="109" type="noConversion"/>
  </si>
  <si>
    <t>Zheng Wei</t>
    <phoneticPr fontId="109" type="noConversion"/>
  </si>
  <si>
    <t>Liu Xuhong</t>
    <phoneticPr fontId="109" type="noConversion"/>
  </si>
  <si>
    <t>线束</t>
    <phoneticPr fontId="3" type="noConversion"/>
  </si>
  <si>
    <t>BIT</t>
    <phoneticPr fontId="3" type="noConversion"/>
  </si>
  <si>
    <t>PV-353</t>
  </si>
  <si>
    <t>PV-354</t>
  </si>
  <si>
    <t>PV-355</t>
  </si>
  <si>
    <t>PV-356</t>
  </si>
  <si>
    <t>PV-357</t>
  </si>
  <si>
    <t>PV-064</t>
  </si>
  <si>
    <t>PV-109</t>
  </si>
  <si>
    <t>PV-358</t>
  </si>
  <si>
    <t>PV-359</t>
  </si>
  <si>
    <t>PV-360</t>
  </si>
  <si>
    <t>PV-361</t>
  </si>
  <si>
    <t>PV-362</t>
  </si>
  <si>
    <t>PV-363</t>
  </si>
  <si>
    <t>PV-364</t>
  </si>
  <si>
    <t>PV-365</t>
  </si>
  <si>
    <t>PV-366</t>
  </si>
  <si>
    <t>PV-367</t>
  </si>
  <si>
    <t>PV-368</t>
  </si>
  <si>
    <t>PV-369</t>
  </si>
  <si>
    <t>PV-370</t>
  </si>
  <si>
    <t>PV-371</t>
  </si>
  <si>
    <t>PV-372</t>
  </si>
  <si>
    <t>PV-373</t>
  </si>
  <si>
    <t>PV-374</t>
  </si>
  <si>
    <t>PV-375</t>
  </si>
  <si>
    <t>PV-376</t>
  </si>
  <si>
    <t>PV-377</t>
  </si>
  <si>
    <t>PV-378</t>
  </si>
  <si>
    <t>PV-379</t>
  </si>
  <si>
    <t>PV-380</t>
  </si>
  <si>
    <t>PV-381</t>
  </si>
  <si>
    <t>PV-382</t>
  </si>
  <si>
    <t>PV-383</t>
  </si>
  <si>
    <t>PV-384</t>
  </si>
  <si>
    <t>PV-385</t>
  </si>
  <si>
    <t>PV-386</t>
  </si>
  <si>
    <t>PV-387</t>
  </si>
  <si>
    <t>PV-388</t>
  </si>
  <si>
    <t>PV-389</t>
  </si>
  <si>
    <t>PV-390</t>
  </si>
  <si>
    <t>PV-391</t>
  </si>
  <si>
    <t>PV-392</t>
  </si>
  <si>
    <t>PV-393</t>
  </si>
  <si>
    <t>PV-394</t>
  </si>
  <si>
    <t>PV-395</t>
  </si>
  <si>
    <t>PV-396</t>
  </si>
  <si>
    <t>PV-397</t>
  </si>
  <si>
    <t>PV-398</t>
  </si>
  <si>
    <t>PV-399</t>
  </si>
  <si>
    <t>PV-400</t>
  </si>
  <si>
    <t>PV-401</t>
  </si>
  <si>
    <t>PV-402</t>
  </si>
  <si>
    <t>PV-403</t>
  </si>
  <si>
    <t>PV-404</t>
  </si>
  <si>
    <t>PV-405</t>
  </si>
  <si>
    <t>PV-406</t>
  </si>
  <si>
    <t>PV-407</t>
  </si>
  <si>
    <t>PV-408</t>
  </si>
  <si>
    <t>PV-409</t>
  </si>
  <si>
    <t>PV-410</t>
  </si>
  <si>
    <t>PV-411</t>
  </si>
  <si>
    <t>PV-412</t>
  </si>
  <si>
    <t>PV-413</t>
  </si>
  <si>
    <t>PV-414</t>
  </si>
  <si>
    <t>PV-415</t>
  </si>
  <si>
    <t>PV-416</t>
  </si>
  <si>
    <t>PV-417</t>
  </si>
  <si>
    <t>PV-418</t>
  </si>
  <si>
    <t>PV-419</t>
  </si>
  <si>
    <t>PV-420</t>
  </si>
  <si>
    <t>PV-421</t>
  </si>
  <si>
    <t>PV-422</t>
  </si>
  <si>
    <t>PV-423</t>
  </si>
  <si>
    <t>PV-424</t>
  </si>
  <si>
    <t>PV-425</t>
  </si>
  <si>
    <t>PV-426</t>
  </si>
  <si>
    <t>PV-427</t>
  </si>
  <si>
    <t>PV-428</t>
  </si>
  <si>
    <t>PV-429</t>
  </si>
  <si>
    <t>PV-430</t>
  </si>
  <si>
    <t>PV-431</t>
  </si>
  <si>
    <t>PV-432</t>
  </si>
  <si>
    <t>PV-433</t>
  </si>
  <si>
    <t>PV-434</t>
  </si>
  <si>
    <t>PV-435</t>
  </si>
  <si>
    <t>PV-436</t>
  </si>
  <si>
    <t>PV-437</t>
  </si>
  <si>
    <t>PV-438</t>
  </si>
  <si>
    <t>PV-439</t>
  </si>
  <si>
    <t>PV-440</t>
  </si>
  <si>
    <t>PV-441</t>
  </si>
  <si>
    <t>PV-442</t>
  </si>
  <si>
    <t>PV-443</t>
  </si>
  <si>
    <t>PV-444</t>
  </si>
  <si>
    <t>PV-445</t>
  </si>
  <si>
    <t>PV-446</t>
  </si>
  <si>
    <t>PV-447</t>
  </si>
  <si>
    <t>PV-448</t>
  </si>
  <si>
    <t>皮纹要更新，现在做不了节拍生产</t>
  </si>
  <si>
    <t>上海福耀没有德尔福的摄像头支架（硬模件）</t>
  </si>
  <si>
    <t>新开模具费用pending COST PAT，C13565953</t>
    <phoneticPr fontId="3" type="noConversion"/>
  </si>
  <si>
    <t>下周开始节拍生产</t>
    <phoneticPr fontId="3" type="noConversion"/>
  </si>
  <si>
    <r>
      <t>delete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 xml:space="preserve">PD confirm </t>
    </r>
    <r>
      <rPr>
        <sz val="10"/>
        <rFont val="宋体"/>
        <family val="3"/>
        <charset val="134"/>
      </rPr>
      <t>进口，</t>
    </r>
    <r>
      <rPr>
        <sz val="10"/>
        <rFont val="Arial"/>
        <family val="2"/>
      </rPr>
      <t>J1</t>
    </r>
    <r>
      <rPr>
        <sz val="10"/>
        <rFont val="宋体"/>
        <family val="3"/>
        <charset val="134"/>
      </rPr>
      <t>后国产--Wang Longfeng</t>
    </r>
    <phoneticPr fontId="3" type="noConversion"/>
  </si>
  <si>
    <t>工装摸具回厂零件做PV，5月份模具回厂</t>
    <phoneticPr fontId="3" type="noConversion"/>
  </si>
  <si>
    <t>等模具回厂，</t>
    <phoneticPr fontId="3" type="noConversion"/>
  </si>
  <si>
    <r>
      <t>TT</t>
    </r>
    <r>
      <rPr>
        <sz val="10"/>
        <rFont val="宋体"/>
        <family val="3"/>
        <charset val="134"/>
      </rPr>
      <t>有两个颜色不能完成</t>
    </r>
    <phoneticPr fontId="3" type="noConversion"/>
  </si>
  <si>
    <r>
      <rPr>
        <sz val="10"/>
        <rFont val="宋体"/>
        <family val="3"/>
        <charset val="134"/>
      </rPr>
      <t>工程变更多，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模具还在修</t>
    </r>
    <phoneticPr fontId="3" type="noConversion"/>
  </si>
  <si>
    <t>一个是QOP delay, 另一个是是QOP delay 加上QOP很多</t>
    <phoneticPr fontId="3" type="noConversion"/>
  </si>
  <si>
    <t>TBD</t>
    <phoneticPr fontId="52" type="noConversion"/>
  </si>
  <si>
    <t>上海福耀没有德尔福的摄像头支架（硬模件）</t>
    <phoneticPr fontId="3" type="noConversion"/>
  </si>
  <si>
    <t>Sourced supplier</t>
    <phoneticPr fontId="52" type="noConversion"/>
  </si>
  <si>
    <t>PD engineer</t>
    <phoneticPr fontId="60" type="noConversion"/>
  </si>
  <si>
    <r>
      <t xml:space="preserve">Part </t>
    </r>
    <r>
      <rPr>
        <b/>
        <sz val="10"/>
        <rFont val="宋体"/>
        <family val="3"/>
        <charset val="134"/>
      </rPr>
      <t xml:space="preserve">Chinese </t>
    </r>
    <r>
      <rPr>
        <b/>
        <sz val="10"/>
        <rFont val="宋体"/>
        <family val="3"/>
        <charset val="134"/>
      </rPr>
      <t>Name</t>
    </r>
    <phoneticPr fontId="3" type="noConversion"/>
  </si>
  <si>
    <t>PV Lead Time
(Week)</t>
    <phoneticPr fontId="59" type="noConversion"/>
  </si>
  <si>
    <r>
      <t xml:space="preserve">Suffix
</t>
    </r>
    <r>
      <rPr>
        <b/>
        <sz val="12"/>
        <rFont val="宋体"/>
        <family val="3"/>
        <charset val="134"/>
      </rPr>
      <t>后缀</t>
    </r>
    <phoneticPr fontId="59" type="noConversion"/>
  </si>
  <si>
    <r>
      <rPr>
        <sz val="10"/>
        <rFont val="宋体"/>
        <family val="3"/>
        <charset val="134"/>
      </rPr>
      <t>油漆高光黑预计的</t>
    </r>
    <r>
      <rPr>
        <sz val="10"/>
        <rFont val="Arial"/>
        <family val="2"/>
      </rPr>
      <t>MCDCC</t>
    </r>
    <r>
      <rPr>
        <sz val="10"/>
        <rFont val="宋体"/>
        <family val="3"/>
        <charset val="134"/>
      </rPr>
      <t>在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>15</t>
    </r>
    <r>
      <rPr>
        <sz val="10"/>
        <rFont val="宋体"/>
        <family val="3"/>
        <charset val="134"/>
      </rPr>
      <t>日才能完成，会导致零件</t>
    </r>
    <r>
      <rPr>
        <sz val="10"/>
        <rFont val="Arial"/>
        <family val="2"/>
      </rPr>
      <t>PPAP</t>
    </r>
    <r>
      <rPr>
        <sz val="10"/>
        <rFont val="宋体"/>
        <family val="3"/>
        <charset val="134"/>
      </rPr>
      <t>无法赶上</t>
    </r>
    <r>
      <rPr>
        <sz val="10"/>
        <rFont val="Arial"/>
        <family val="2"/>
      </rPr>
      <t>TT MRD</t>
    </r>
    <r>
      <rPr>
        <sz val="10"/>
        <rFont val="宋体"/>
        <family val="3"/>
        <charset val="134"/>
      </rPr>
      <t>。</t>
    </r>
    <phoneticPr fontId="52" type="noConversion"/>
  </si>
  <si>
    <t>HNDL LFT/GT O/S</t>
    <phoneticPr fontId="3" type="noConversion"/>
  </si>
  <si>
    <r>
      <t>CAF PD engineer
CAF</t>
    </r>
    <r>
      <rPr>
        <b/>
        <sz val="10"/>
        <rFont val="宋体"/>
        <family val="3"/>
        <charset val="134"/>
      </rPr>
      <t>产品工程师</t>
    </r>
    <phoneticPr fontId="60" type="noConversion"/>
  </si>
  <si>
    <t>Impact Parts No.</t>
    <phoneticPr fontId="52" type="noConversion"/>
  </si>
  <si>
    <t>1</t>
    <phoneticPr fontId="52" type="noConversion"/>
  </si>
  <si>
    <t>=sumifs('PV Start Delay'!K5:K153,'PV Start Delay'!J5:J153,"</t>
    <phoneticPr fontId="52" type="noConversion"/>
  </si>
  <si>
    <t>EDS</t>
    <phoneticPr fontId="52" type="noConversion"/>
  </si>
  <si>
    <t>PMT</t>
    <phoneticPr fontId="3" type="noConversion"/>
  </si>
  <si>
    <t>工装摸具回厂零件做PV，5月份模具回厂</t>
    <phoneticPr fontId="3" type="noConversion"/>
  </si>
  <si>
    <t>工装摸具回厂零件做PV，5月份模具回厂</t>
    <phoneticPr fontId="3" type="noConversion"/>
  </si>
  <si>
    <t>1. 针对没有变更的零件，是由于供应商内部图纸传递太晚导致开模时间延迟 2.针对有变更的零件号，变更零件号太多</t>
    <phoneticPr fontId="3" type="noConversion"/>
  </si>
  <si>
    <t>工程变更，新零件4月份才能做节拍</t>
    <phoneticPr fontId="3" type="noConversion"/>
  </si>
  <si>
    <t>皮纹要更新，现在做不了节拍生产</t>
    <phoneticPr fontId="3" type="noConversion"/>
  </si>
  <si>
    <t>QOP delay，多个变更</t>
    <phoneticPr fontId="3" type="noConversion"/>
  </si>
  <si>
    <t>BET</t>
    <phoneticPr fontId="3" type="noConversion"/>
  </si>
  <si>
    <t>Windshield</t>
    <phoneticPr fontId="3" type="noConversion"/>
  </si>
  <si>
    <t>福耀</t>
    <phoneticPr fontId="3" type="noConversion"/>
  </si>
  <si>
    <t>R43404</t>
    <phoneticPr fontId="3" type="noConversion"/>
  </si>
  <si>
    <t>尾门把手</t>
    <phoneticPr fontId="3" type="noConversion"/>
  </si>
  <si>
    <t xml:space="preserve">   R03100</t>
    <phoneticPr fontId="3" type="noConversion"/>
  </si>
  <si>
    <t>前挡风玻璃</t>
    <phoneticPr fontId="3" type="noConversion"/>
  </si>
  <si>
    <t>HNDL LFT/GT O/S</t>
    <phoneticPr fontId="3" type="noConversion"/>
  </si>
  <si>
    <t>上海福耀没有德尔福的摄像头支架（硬模件）</t>
    <phoneticPr fontId="3" type="noConversion"/>
  </si>
  <si>
    <r>
      <rPr>
        <sz val="10"/>
        <rFont val="宋体"/>
        <family val="3"/>
        <charset val="134"/>
      </rPr>
      <t>油漆高光黑预计的</t>
    </r>
    <r>
      <rPr>
        <sz val="10"/>
        <rFont val="Arial"/>
        <family val="2"/>
      </rPr>
      <t>MCDCC</t>
    </r>
    <r>
      <rPr>
        <sz val="10"/>
        <rFont val="宋体"/>
        <family val="3"/>
        <charset val="134"/>
      </rPr>
      <t>在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>15</t>
    </r>
    <r>
      <rPr>
        <sz val="10"/>
        <rFont val="宋体"/>
        <family val="3"/>
        <charset val="134"/>
      </rPr>
      <t>日才能完成，会导致零件</t>
    </r>
    <r>
      <rPr>
        <sz val="10"/>
        <rFont val="Arial"/>
        <family val="2"/>
      </rPr>
      <t>PPAP</t>
    </r>
    <r>
      <rPr>
        <sz val="10"/>
        <rFont val="宋体"/>
        <family val="3"/>
        <charset val="134"/>
      </rPr>
      <t>无法赶上</t>
    </r>
    <r>
      <rPr>
        <sz val="10"/>
        <rFont val="Arial"/>
        <family val="2"/>
      </rPr>
      <t>TT MRD</t>
    </r>
    <r>
      <rPr>
        <sz val="10"/>
        <rFont val="宋体"/>
        <family val="3"/>
        <charset val="134"/>
      </rPr>
      <t>。</t>
    </r>
    <phoneticPr fontId="3" type="noConversion"/>
  </si>
  <si>
    <r>
      <t xml:space="preserve">Commodity Name
</t>
    </r>
    <r>
      <rPr>
        <b/>
        <sz val="10"/>
        <rFont val="宋体"/>
        <family val="3"/>
        <charset val="134"/>
      </rPr>
      <t>产品名</t>
    </r>
    <phoneticPr fontId="3" type="noConversion"/>
  </si>
  <si>
    <t xml:space="preserve"> ST字标</t>
    <phoneticPr fontId="3" type="noConversion"/>
  </si>
  <si>
    <r>
      <t xml:space="preserve">Pre-fix
</t>
    </r>
    <r>
      <rPr>
        <b/>
        <sz val="10"/>
        <rFont val="宋体"/>
        <family val="3"/>
        <charset val="134"/>
      </rPr>
      <t>前缀</t>
    </r>
    <phoneticPr fontId="3" type="noConversion"/>
  </si>
  <si>
    <r>
      <t xml:space="preserve">Base
</t>
    </r>
    <r>
      <rPr>
        <b/>
        <sz val="10"/>
        <rFont val="宋体"/>
        <family val="3"/>
        <charset val="134"/>
      </rPr>
      <t>中缀</t>
    </r>
    <phoneticPr fontId="3" type="noConversion"/>
  </si>
  <si>
    <r>
      <t>Suffix</t>
    </r>
    <r>
      <rPr>
        <b/>
        <sz val="12"/>
        <rFont val="宋体"/>
        <family val="3"/>
        <charset val="134"/>
      </rPr>
      <t>后缀</t>
    </r>
    <phoneticPr fontId="3" type="noConversion"/>
  </si>
  <si>
    <t>16-3-2018</t>
  </si>
  <si>
    <t>PT</t>
  </si>
  <si>
    <t/>
  </si>
  <si>
    <t>冷却水管</t>
  </si>
  <si>
    <t>18C266</t>
  </si>
  <si>
    <t>BBD</t>
  </si>
  <si>
    <t>BAD</t>
  </si>
  <si>
    <t>7G071</t>
  </si>
  <si>
    <t>BAC</t>
  </si>
  <si>
    <t>7F120</t>
  </si>
  <si>
    <t>BC</t>
  </si>
  <si>
    <t>8B273</t>
  </si>
  <si>
    <t>BAB</t>
  </si>
  <si>
    <t>8B274</t>
  </si>
  <si>
    <t>8W005</t>
  </si>
  <si>
    <t>8C351</t>
  </si>
  <si>
    <t>18D481</t>
  </si>
  <si>
    <t>8B550</t>
  </si>
  <si>
    <t>8A365</t>
  </si>
  <si>
    <t>DBA</t>
  </si>
  <si>
    <t>7P055</t>
  </si>
  <si>
    <t>8B555</t>
  </si>
  <si>
    <t>PT069</t>
  </si>
  <si>
    <t>曲轴箱通风管</t>
  </si>
  <si>
    <t>K2GE</t>
  </si>
  <si>
    <t>6758</t>
  </si>
  <si>
    <t>刘旭/xliu79</t>
  </si>
  <si>
    <t>CHS</t>
  </si>
  <si>
    <t>前轮毂轴承</t>
  </si>
  <si>
    <t>后轮毂轴承</t>
  </si>
  <si>
    <t>BIW</t>
  </si>
  <si>
    <t>B017</t>
  </si>
  <si>
    <t>保险杠横梁</t>
  </si>
  <si>
    <t>后防撞梁总成</t>
  </si>
  <si>
    <t>17970</t>
  </si>
  <si>
    <t>Zeng Ke</t>
  </si>
  <si>
    <t>B012-1</t>
  </si>
  <si>
    <t>外购大中冲焊件-沿用杭州宝伟</t>
  </si>
  <si>
    <t>前纵梁内板总成  左</t>
  </si>
  <si>
    <t>Liu Yang</t>
  </si>
  <si>
    <t>B012-3</t>
  </si>
  <si>
    <t>外购大中冲焊件-沿用杭州至信</t>
  </si>
  <si>
    <t>气囊安装支架总成</t>
  </si>
  <si>
    <t xml:space="preserve">K2GB </t>
  </si>
  <si>
    <t>14B406</t>
  </si>
  <si>
    <t>Jiang Zhen</t>
  </si>
  <si>
    <t>前地板加强件总成</t>
  </si>
  <si>
    <t>R101W22</t>
  </si>
  <si>
    <t>前地板传动轴支架总成（左）</t>
  </si>
  <si>
    <t>E1GB</t>
  </si>
  <si>
    <t>4K237</t>
  </si>
  <si>
    <t>前地板传动轴支架总成（右）</t>
  </si>
  <si>
    <t>4K238</t>
  </si>
  <si>
    <t>RCM安装支架</t>
  </si>
  <si>
    <t>14B058</t>
  </si>
  <si>
    <t>PMT</t>
    <phoneticPr fontId="3" type="noConversion"/>
  </si>
  <si>
    <t>TIME</t>
    <phoneticPr fontId="3" type="noConversion"/>
  </si>
  <si>
    <t>BIW</t>
    <phoneticPr fontId="3" type="noConversion"/>
  </si>
  <si>
    <t>BEX</t>
    <phoneticPr fontId="3" type="noConversion"/>
  </si>
  <si>
    <t>CHS</t>
    <phoneticPr fontId="3" type="noConversion"/>
  </si>
  <si>
    <t>PT</t>
    <phoneticPr fontId="3" type="noConversion"/>
  </si>
  <si>
    <t>EESE</t>
    <phoneticPr fontId="3" type="noConversion"/>
  </si>
  <si>
    <t>11:00-11:10</t>
    <phoneticPr fontId="3" type="noConversion"/>
  </si>
  <si>
    <t>11:10-11:25</t>
    <phoneticPr fontId="3" type="noConversion"/>
  </si>
  <si>
    <t>11:25-11:30</t>
    <phoneticPr fontId="3" type="noConversion"/>
  </si>
  <si>
    <t>11:30-11:40</t>
    <phoneticPr fontId="3" type="noConversion"/>
  </si>
  <si>
    <t>11:40-11:45</t>
    <phoneticPr fontId="3" type="noConversion"/>
  </si>
  <si>
    <t>Xiang Jun</t>
    <phoneticPr fontId="3" type="noConversion"/>
  </si>
  <si>
    <t>Remark2</t>
    <phoneticPr fontId="3" type="noConversion"/>
  </si>
  <si>
    <t>q</t>
    <phoneticPr fontId="3" type="noConversion"/>
  </si>
  <si>
    <r>
      <t xml:space="preserve">Pre-fix
</t>
    </r>
    <r>
      <rPr>
        <b/>
        <sz val="10"/>
        <rFont val="宋体"/>
        <family val="3"/>
        <charset val="134"/>
      </rPr>
      <t>前缀</t>
    </r>
    <phoneticPr fontId="59" type="noConversion"/>
  </si>
  <si>
    <t>2018/3/20 2018/3/22 2018/3/27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</si>
</sst>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7">
    <numFmt numFmtId="43" formatCode="_ * #,##0.00_ ;_ * \-#,##0.00_ ;_ * &quot;-&quot;??_ ;_ @_ "/>
    <numFmt numFmtId="176" formatCode="_(&quot;$&quot;* #,##0_);_(&quot;$&quot;* \(#,##0\);_(&quot;$&quot;* &quot;-&quot;_);_(@_)"/>
    <numFmt numFmtId="177" formatCode="_(&quot;$&quot;* #,##0.00_);_(&quot;$&quot;* \(#,##0.00\);_(&quot;$&quot;* &quot;-&quot;??_);_(@_)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yyyy/m/d;@"/>
    <numFmt numFmtId="182" formatCode="0.00_)"/>
    <numFmt numFmtId="183" formatCode="\$#,##0.00;[Red]\-\$#,##0.00"/>
    <numFmt numFmtId="184" formatCode="mm/dd/yy"/>
    <numFmt numFmtId="185" formatCode="#,##0.0000_)"/>
    <numFmt numFmtId="186" formatCode="000"/>
    <numFmt numFmtId="187" formatCode="\$\ #,##0;\-\$\ #,##0"/>
    <numFmt numFmtId="188" formatCode="#,##0.00;[Red]\(#,##0.00\)"/>
    <numFmt numFmtId="189" formatCode="0\);"/>
    <numFmt numFmtId="190" formatCode="#,##0;[Red]\(#,##0\)"/>
    <numFmt numFmtId="191" formatCode="\A&quot;$&quot;#,##0_);\(&quot;$&quot;#,##0\)"/>
    <numFmt numFmtId="192" formatCode="##,##0.00_);\(#,##0.00\)"/>
    <numFmt numFmtId="193" formatCode="_-* #,##0.0_-;\-* #,##0.0_-;_-* &quot;-&quot;??_-;_-@_-"/>
    <numFmt numFmtId="194" formatCode="#,##0.0000;[Red]\-#,##0.0000"/>
    <numFmt numFmtId="195" formatCode="###0.0_);[Red]\(###0.0\)"/>
    <numFmt numFmtId="196" formatCode="0_)%;\(0\)%"/>
    <numFmt numFmtId="197" formatCode="#,##0\ ;[Red]\(&quot;$&quot;#,##0\)"/>
    <numFmt numFmtId="198" formatCode="&quot;$&quot;#,##0;&quot;$&quot;\(#,##0\)"/>
    <numFmt numFmtId="199" formatCode="###0_);[Red]\(###0\)"/>
    <numFmt numFmtId="200" formatCode="#,##0_);[Red]\ \(#,##0\)"/>
    <numFmt numFmtId="201" formatCode="#,##0&quot;£&quot;_);\(#,##0&quot;£&quot;\)"/>
    <numFmt numFmtId="202" formatCode="0#\-##\-##"/>
    <numFmt numFmtId="203" formatCode="mmmm\ d\,\ yyyy"/>
    <numFmt numFmtId="204" formatCode="&quot;$&quot;* #,##0_);&quot;$&quot;* \(#,##0\)"/>
    <numFmt numFmtId="205" formatCode="#,##0.0_);\(#,##0.0\)"/>
    <numFmt numFmtId="206" formatCode="#,##0.0000_);[Red]\(#,##0.0000\)"/>
    <numFmt numFmtId="207" formatCode="0.0_)"/>
    <numFmt numFmtId="208" formatCode="_-* #,##0.00\ &quot;DM&quot;_-;\-* #,##0.00\ &quot;DM&quot;_-;_-* &quot;-&quot;??\ &quot;DM&quot;_-;_-@_-"/>
    <numFmt numFmtId="209" formatCode="_-* #,##0\ &quot;DM&quot;_-;\-* #,##0\ &quot;DM&quot;_-;_-* &quot;-&quot;\ &quot;DM&quot;_-;_-@_-"/>
    <numFmt numFmtId="210" formatCode="_-* #,##0.00\ _D_M_-;\-* #,##0.00\ _D_M_-;_-* &quot;-&quot;??\ _D_M_-;_-@_-"/>
    <numFmt numFmtId="211" formatCode="_-* #,##0\ _D_M_-;\-* #,##0\ _D_M_-;_-* &quot;-&quot;\ _D_M_-;_-@_-"/>
    <numFmt numFmtId="212" formatCode="_-&quot;\&quot;* #,##0.00_-;\-&quot;\&quot;* #,##0.00_-;_-&quot;\&quot;* &quot;-&quot;??_-;_-@_-"/>
    <numFmt numFmtId="213" formatCode="_-&quot;\&quot;* #,##0_-;\-&quot;\&quot;* #,##0_-;_-&quot;\&quot;* &quot;-&quot;_-;_-@_-"/>
    <numFmt numFmtId="214" formatCode="#,##0\ &quot;F&quot;;[Red]\-#,##0\ &quot;F&quot;"/>
    <numFmt numFmtId="215" formatCode="#,##0.00\ &quot;F&quot;;[Red]\-#,##0.00\ &quot;F&quot;"/>
    <numFmt numFmtId="216" formatCode="0_);[Red]\(0\)"/>
    <numFmt numFmtId="217" formatCode="0.0000_);[Red]\(0.0000\)"/>
    <numFmt numFmtId="218" formatCode="#,##0_ "/>
    <numFmt numFmtId="219" formatCode="0.0"/>
    <numFmt numFmtId="220" formatCode="[$-409]d\-mmm\-yy;@"/>
    <numFmt numFmtId="221" formatCode="0.0_);[Red]\(0.0\)"/>
  </numFmts>
  <fonts count="111">
    <font>
      <sz val="10"/>
      <name val="Arial"/>
      <family val="2"/>
    </font>
    <font>
      <sz val="10"/>
      <color theme="1"/>
      <name val="Arial"/>
      <family val="2"/>
      <charset val="134"/>
    </font>
    <font>
      <sz val="10"/>
      <name val="Arial"/>
      <family val="2"/>
    </font>
    <font>
      <sz val="8"/>
      <name val="Arial"/>
      <family val="2"/>
    </font>
    <font>
      <sz val="9"/>
      <name val="Arial MT"/>
      <family val="2"/>
    </font>
    <font>
      <b/>
      <sz val="22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color indexed="8"/>
      <name val="Arial"/>
      <family val="2"/>
    </font>
    <font>
      <sz val="12"/>
      <name val="宋体"/>
      <family val="3"/>
      <charset val="134"/>
    </font>
    <font>
      <sz val="12"/>
      <name val="Times New Roman"/>
      <family val="1"/>
    </font>
    <font>
      <sz val="8.5"/>
      <name val="LinePrinter"/>
      <family val="2"/>
    </font>
    <font>
      <sz val="10"/>
      <name val="MS Sans Serif"/>
      <family val="2"/>
    </font>
    <font>
      <sz val="12"/>
      <name val="Helv"/>
      <family val="2"/>
    </font>
    <font>
      <sz val="8"/>
      <name val="Times New Roman"/>
      <family val="1"/>
    </font>
    <font>
      <sz val="10"/>
      <name val="Courier"/>
      <family val="3"/>
    </font>
    <font>
      <b/>
      <sz val="10"/>
      <name val="Helv"/>
      <family val="2"/>
    </font>
    <font>
      <sz val="10"/>
      <name val="MS Serif"/>
      <family val="1"/>
    </font>
    <font>
      <sz val="10"/>
      <name val="Times New Roman"/>
      <family val="1"/>
    </font>
    <font>
      <sz val="10"/>
      <color indexed="16"/>
      <name val="MS Serif"/>
      <family val="1"/>
    </font>
    <font>
      <sz val="11"/>
      <name val="‚l‚r ‚oƒSƒVƒbƒN"/>
      <family val="2"/>
      <charset val="128"/>
    </font>
    <font>
      <b/>
      <sz val="12"/>
      <name val="Helv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color indexed="9"/>
      <name val="Helv"/>
      <family val="2"/>
    </font>
    <font>
      <b/>
      <sz val="11"/>
      <name val="Helv"/>
      <family val="2"/>
    </font>
    <font>
      <b/>
      <i/>
      <sz val="16"/>
      <name val="Helv"/>
      <family val="2"/>
    </font>
    <font>
      <sz val="11"/>
      <name val="‚l‚r –¾’©"/>
      <family val="2"/>
      <charset val="128"/>
    </font>
    <font>
      <b/>
      <sz val="10"/>
      <name val="MS Sans Serif"/>
      <family val="2"/>
    </font>
    <font>
      <u/>
      <sz val="10"/>
      <color indexed="12"/>
      <name val="ＭＳ Ｐゴシック"/>
      <family val="2"/>
    </font>
    <font>
      <sz val="10"/>
      <name val="ＭＳ Ｐゴシック"/>
      <family val="2"/>
    </font>
    <font>
      <u/>
      <sz val="10"/>
      <color indexed="14"/>
      <name val="ＭＳ Ｐゴシック"/>
      <family val="2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8.5"/>
      <name val="LinePrinter"/>
      <family val="2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Arial"/>
      <family val="2"/>
    </font>
    <font>
      <b/>
      <sz val="14"/>
      <name val="Arial"/>
      <family val="2"/>
    </font>
    <font>
      <sz val="9"/>
      <name val="宋体"/>
      <family val="3"/>
      <charset val="134"/>
    </font>
    <font>
      <b/>
      <sz val="14"/>
      <color indexed="10"/>
      <name val="Arial"/>
      <family val="2"/>
    </font>
    <font>
      <sz val="10"/>
      <color indexed="8"/>
      <name val="宋体"/>
      <family val="3"/>
      <charset val="134"/>
    </font>
    <font>
      <sz val="6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8"/>
      <color theme="1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0"/>
      <color rgb="FF0000FF"/>
      <name val="Arial"/>
      <family val="2"/>
    </font>
    <font>
      <b/>
      <sz val="8"/>
      <name val="Arial"/>
      <family val="2"/>
    </font>
    <font>
      <b/>
      <sz val="8"/>
      <name val="宋体"/>
      <family val="3"/>
      <charset val="134"/>
    </font>
    <font>
      <b/>
      <sz val="10"/>
      <color rgb="FFFF9900"/>
      <name val="Arial"/>
      <family val="2"/>
    </font>
    <font>
      <b/>
      <sz val="10"/>
      <color rgb="FF0000FF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  <font>
      <b/>
      <sz val="8"/>
      <color rgb="FFFF9900"/>
      <name val="Arial"/>
      <family val="2"/>
    </font>
    <font>
      <b/>
      <sz val="8"/>
      <color rgb="FF0000FF"/>
      <name val="Arial"/>
      <family val="2"/>
    </font>
    <font>
      <b/>
      <sz val="8"/>
      <color rgb="FF000080"/>
      <name val="Arial"/>
      <family val="2"/>
    </font>
    <font>
      <b/>
      <sz val="8"/>
      <color rgb="FF008000"/>
      <name val="Arial"/>
      <family val="2"/>
    </font>
    <font>
      <b/>
      <sz val="8"/>
      <color rgb="FF800000"/>
      <name val="Arial"/>
      <family val="2"/>
    </font>
    <font>
      <u/>
      <sz val="10"/>
      <color theme="10"/>
      <name val="Arial"/>
      <family val="2"/>
    </font>
    <font>
      <sz val="10"/>
      <name val="宋体"/>
      <family val="2"/>
      <scheme val="minor"/>
    </font>
    <font>
      <u/>
      <sz val="10"/>
      <color theme="10"/>
      <name val="宋体"/>
      <family val="2"/>
      <scheme val="minor"/>
    </font>
    <font>
      <sz val="10"/>
      <color rgb="FFFF0000"/>
      <name val="宋体"/>
      <family val="2"/>
      <scheme val="minor"/>
    </font>
    <font>
      <b/>
      <sz val="10"/>
      <name val="宋体"/>
      <family val="2"/>
      <scheme val="minor"/>
    </font>
    <font>
      <sz val="9"/>
      <color theme="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9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宋体"/>
      <family val="3"/>
      <charset val="134"/>
    </font>
    <font>
      <sz val="9"/>
      <name val="DengXian"/>
      <family val="1"/>
    </font>
    <font>
      <sz val="9"/>
      <name val="Ford Light"/>
    </font>
    <font>
      <sz val="11"/>
      <color indexed="8"/>
      <name val="SimSun"/>
      <charset val="134"/>
    </font>
    <font>
      <sz val="9"/>
      <color indexed="8"/>
      <name val="Arial"/>
      <family val="2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8"/>
      <color theme="1"/>
      <name val="DengXian"/>
    </font>
    <font>
      <sz val="9"/>
      <name val="DengXian"/>
    </font>
    <font>
      <sz val="9"/>
      <name val="Arial"/>
      <family val="2"/>
      <charset val="134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 style="thin">
        <color theme="0" tint="-4.9989318521683403E-2"/>
      </right>
      <top style="medium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medium">
        <color theme="0" tint="-0.2499465926084170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0" tint="-0.24994659260841701"/>
      </right>
      <top style="medium">
        <color theme="0" tint="-0.24994659260841701"/>
      </top>
      <bottom style="thin">
        <color theme="0" tint="-4.9989318521683403E-2"/>
      </bottom>
      <diagonal/>
    </border>
    <border>
      <left style="medium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0.24994659260841701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medium">
        <color theme="0" tint="-0.24994659260841701"/>
      </right>
      <top style="thin">
        <color theme="0" tint="-4.9989318521683403E-2"/>
      </top>
      <bottom/>
      <diagonal/>
    </border>
    <border>
      <left style="medium">
        <color theme="0" tint="-0.24994659260841701"/>
      </left>
      <right style="thin">
        <color theme="0" tint="-4.9989318521683403E-2"/>
      </right>
      <top style="medium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0" tint="-0.24994659260841701"/>
      </right>
      <top style="medium">
        <color theme="0" tint="-4.9989318521683403E-2"/>
      </top>
      <bottom style="thin">
        <color theme="0" tint="-4.9989318521683403E-2"/>
      </bottom>
      <diagonal/>
    </border>
    <border>
      <left style="medium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medium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0.24994659260841701"/>
      </bottom>
      <diagonal/>
    </border>
    <border>
      <left style="thin">
        <color theme="0" tint="-4.9989318521683403E-2"/>
      </left>
      <right style="medium">
        <color theme="0" tint="-0.24994659260841701"/>
      </right>
      <top style="thin">
        <color theme="0" tint="-4.9989318521683403E-2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4.9989318521683403E-2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96">
    <xf numFmtId="220" fontId="0" fillId="0" borderId="0"/>
    <xf numFmtId="220" fontId="2" fillId="0" borderId="0"/>
    <xf numFmtId="220" fontId="7" fillId="0" borderId="0"/>
    <xf numFmtId="193" fontId="2" fillId="0" borderId="0" applyFont="0" applyFill="0" applyBorder="0" applyAlignment="0" applyProtection="0"/>
    <xf numFmtId="193" fontId="7" fillId="0" borderId="0" applyFont="0" applyFill="0" applyBorder="0" applyAlignment="0" applyProtection="0"/>
    <xf numFmtId="220" fontId="3" fillId="0" borderId="0" applyFont="0" applyFill="0" applyBorder="0" applyAlignment="0" applyProtection="0"/>
    <xf numFmtId="194" fontId="29" fillId="0" borderId="0" applyFont="0" applyFill="0" applyBorder="0" applyAlignment="0" applyProtection="0"/>
    <xf numFmtId="22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95" fontId="29" fillId="0" borderId="0" applyFont="0" applyFill="0" applyBorder="0" applyAlignment="0" applyProtection="0"/>
    <xf numFmtId="196" fontId="30" fillId="0" borderId="0" applyFont="0" applyFill="0" applyBorder="0" applyAlignment="0" applyProtection="0"/>
    <xf numFmtId="197" fontId="31" fillId="0" borderId="0" applyFont="0" applyFill="0" applyBorder="0" applyAlignment="0" applyProtection="0"/>
    <xf numFmtId="198" fontId="31" fillId="0" borderId="0" applyFont="0" applyFill="0" applyBorder="0" applyAlignment="0" applyProtection="0"/>
    <xf numFmtId="220" fontId="2" fillId="0" borderId="0"/>
    <xf numFmtId="220" fontId="2" fillId="0" borderId="0"/>
    <xf numFmtId="220" fontId="2" fillId="0" borderId="0"/>
    <xf numFmtId="199" fontId="29" fillId="0" borderId="0" applyFont="0" applyFill="0" applyBorder="0" applyAlignment="0" applyProtection="0"/>
    <xf numFmtId="220" fontId="3" fillId="0" borderId="0" applyFont="0" applyFill="0" applyBorder="0" applyAlignment="0" applyProtection="0"/>
    <xf numFmtId="40" fontId="30" fillId="0" borderId="0" applyFont="0" applyFill="0" applyBorder="0" applyAlignment="0" applyProtection="0"/>
    <xf numFmtId="40" fontId="53" fillId="0" borderId="0" applyFont="0" applyFill="0" applyBorder="0" applyAlignment="0" applyProtection="0"/>
    <xf numFmtId="220" fontId="2" fillId="0" borderId="0" applyFont="0" applyFill="0" applyBorder="0" applyAlignment="0" applyProtection="0"/>
    <xf numFmtId="220" fontId="7" fillId="0" borderId="0" applyFont="0" applyFill="0" applyBorder="0" applyAlignment="0" applyProtection="0"/>
    <xf numFmtId="200" fontId="30" fillId="0" borderId="0" applyFont="0" applyFill="0" applyBorder="0" applyAlignment="0" applyProtection="0"/>
    <xf numFmtId="200" fontId="53" fillId="0" borderId="0" applyFont="0" applyFill="0" applyBorder="0" applyAlignment="0" applyProtection="0"/>
    <xf numFmtId="220" fontId="2" fillId="0" borderId="0" applyFont="0" applyFill="0" applyBorder="0" applyAlignment="0" applyProtection="0"/>
    <xf numFmtId="220" fontId="7" fillId="0" borderId="0" applyFont="0" applyFill="0" applyBorder="0" applyAlignment="0" applyProtection="0"/>
    <xf numFmtId="220" fontId="10" fillId="2" borderId="0" applyNumberFormat="0" applyBorder="0" applyAlignment="0" applyProtection="0">
      <alignment vertical="center"/>
    </xf>
    <xf numFmtId="220" fontId="10" fillId="3" borderId="0" applyNumberFormat="0" applyBorder="0" applyAlignment="0" applyProtection="0">
      <alignment vertical="center"/>
    </xf>
    <xf numFmtId="220" fontId="10" fillId="4" borderId="0" applyNumberFormat="0" applyBorder="0" applyAlignment="0" applyProtection="0">
      <alignment vertical="center"/>
    </xf>
    <xf numFmtId="220" fontId="10" fillId="5" borderId="0" applyNumberFormat="0" applyBorder="0" applyAlignment="0" applyProtection="0">
      <alignment vertical="center"/>
    </xf>
    <xf numFmtId="220" fontId="10" fillId="6" borderId="0" applyNumberFormat="0" applyBorder="0" applyAlignment="0" applyProtection="0">
      <alignment vertical="center"/>
    </xf>
    <xf numFmtId="220" fontId="10" fillId="7" borderId="0" applyNumberFormat="0" applyBorder="0" applyAlignment="0" applyProtection="0">
      <alignment vertical="center"/>
    </xf>
    <xf numFmtId="220" fontId="10" fillId="8" borderId="0" applyNumberFormat="0" applyBorder="0" applyAlignment="0" applyProtection="0">
      <alignment vertical="center"/>
    </xf>
    <xf numFmtId="220" fontId="10" fillId="9" borderId="0" applyNumberFormat="0" applyBorder="0" applyAlignment="0" applyProtection="0">
      <alignment vertical="center"/>
    </xf>
    <xf numFmtId="220" fontId="10" fillId="10" borderId="0" applyNumberFormat="0" applyBorder="0" applyAlignment="0" applyProtection="0">
      <alignment vertical="center"/>
    </xf>
    <xf numFmtId="220" fontId="10" fillId="5" borderId="0" applyNumberFormat="0" applyBorder="0" applyAlignment="0" applyProtection="0">
      <alignment vertical="center"/>
    </xf>
    <xf numFmtId="220" fontId="10" fillId="8" borderId="0" applyNumberFormat="0" applyBorder="0" applyAlignment="0" applyProtection="0">
      <alignment vertical="center"/>
    </xf>
    <xf numFmtId="220" fontId="10" fillId="11" borderId="0" applyNumberFormat="0" applyBorder="0" applyAlignment="0" applyProtection="0">
      <alignment vertical="center"/>
    </xf>
    <xf numFmtId="220" fontId="11" fillId="12" borderId="0" applyNumberFormat="0" applyBorder="0" applyAlignment="0" applyProtection="0">
      <alignment vertical="center"/>
    </xf>
    <xf numFmtId="220" fontId="11" fillId="9" borderId="0" applyNumberFormat="0" applyBorder="0" applyAlignment="0" applyProtection="0">
      <alignment vertical="center"/>
    </xf>
    <xf numFmtId="220" fontId="11" fillId="10" borderId="0" applyNumberFormat="0" applyBorder="0" applyAlignment="0" applyProtection="0">
      <alignment vertical="center"/>
    </xf>
    <xf numFmtId="220" fontId="11" fillId="13" borderId="0" applyNumberFormat="0" applyBorder="0" applyAlignment="0" applyProtection="0">
      <alignment vertical="center"/>
    </xf>
    <xf numFmtId="220" fontId="11" fillId="14" borderId="0" applyNumberFormat="0" applyBorder="0" applyAlignment="0" applyProtection="0">
      <alignment vertical="center"/>
    </xf>
    <xf numFmtId="220" fontId="11" fillId="15" borderId="0" applyNumberFormat="0" applyBorder="0" applyAlignment="0" applyProtection="0">
      <alignment vertical="center"/>
    </xf>
    <xf numFmtId="220" fontId="32" fillId="0" borderId="1" applyBorder="0"/>
    <xf numFmtId="220" fontId="11" fillId="16" borderId="0" applyNumberFormat="0" applyBorder="0" applyAlignment="0" applyProtection="0">
      <alignment vertical="center"/>
    </xf>
    <xf numFmtId="220" fontId="11" fillId="17" borderId="0" applyNumberFormat="0" applyBorder="0" applyAlignment="0" applyProtection="0">
      <alignment vertical="center"/>
    </xf>
    <xf numFmtId="220" fontId="11" fillId="18" borderId="0" applyNumberFormat="0" applyBorder="0" applyAlignment="0" applyProtection="0">
      <alignment vertical="center"/>
    </xf>
    <xf numFmtId="220" fontId="11" fillId="13" borderId="0" applyNumberFormat="0" applyBorder="0" applyAlignment="0" applyProtection="0">
      <alignment vertical="center"/>
    </xf>
    <xf numFmtId="220" fontId="11" fillId="14" borderId="0" applyNumberFormat="0" applyBorder="0" applyAlignment="0" applyProtection="0">
      <alignment vertical="center"/>
    </xf>
    <xf numFmtId="220" fontId="11" fillId="19" borderId="0" applyNumberFormat="0" applyBorder="0" applyAlignment="0" applyProtection="0">
      <alignment vertical="center"/>
    </xf>
    <xf numFmtId="220" fontId="33" fillId="0" borderId="0">
      <alignment horizontal="center" wrapText="1"/>
      <protection locked="0"/>
    </xf>
    <xf numFmtId="220" fontId="4" fillId="0" borderId="0"/>
    <xf numFmtId="220" fontId="16" fillId="3" borderId="0" applyNumberFormat="0" applyBorder="0" applyAlignment="0" applyProtection="0">
      <alignment vertical="center"/>
    </xf>
    <xf numFmtId="201" fontId="2" fillId="0" borderId="0" applyFill="0" applyBorder="0" applyAlignment="0"/>
    <xf numFmtId="201" fontId="7" fillId="0" borderId="0" applyFill="0" applyBorder="0" applyAlignment="0"/>
    <xf numFmtId="185" fontId="34" fillId="0" borderId="0" applyFill="0" applyBorder="0" applyAlignment="0"/>
    <xf numFmtId="220" fontId="19" fillId="20" borderId="2" applyNumberFormat="0" applyAlignment="0" applyProtection="0">
      <alignment vertical="center"/>
    </xf>
    <xf numFmtId="220" fontId="35" fillId="0" borderId="0"/>
    <xf numFmtId="220" fontId="20" fillId="21" borderId="3" applyNumberFormat="0" applyAlignment="0" applyProtection="0">
      <alignment vertical="center"/>
    </xf>
    <xf numFmtId="186" fontId="2" fillId="0" borderId="0" applyFont="0" applyFill="0" applyBorder="0" applyAlignment="0" applyProtection="0"/>
    <xf numFmtId="186" fontId="7" fillId="0" borderId="0" applyFont="0" applyFill="0" applyBorder="0" applyAlignment="0" applyProtection="0"/>
    <xf numFmtId="37" fontId="2" fillId="0" borderId="0" applyFont="0" applyFill="0" applyBorder="0" applyAlignment="0" applyProtection="0">
      <alignment horizontal="right"/>
    </xf>
    <xf numFmtId="37" fontId="7" fillId="0" borderId="0" applyFont="0" applyFill="0" applyBorder="0" applyAlignment="0" applyProtection="0">
      <alignment horizontal="right"/>
    </xf>
    <xf numFmtId="40" fontId="31" fillId="0" borderId="0" applyFont="0" applyFill="0" applyBorder="0" applyAlignment="0" applyProtection="0"/>
    <xf numFmtId="220" fontId="36" fillId="0" borderId="0" applyNumberFormat="0" applyAlignment="0">
      <alignment horizontal="left"/>
    </xf>
    <xf numFmtId="220" fontId="34" fillId="0" borderId="0" applyNumberFormat="0" applyAlignment="0"/>
    <xf numFmtId="183" fontId="37" fillId="0" borderId="0">
      <alignment horizontal="center"/>
    </xf>
    <xf numFmtId="185" fontId="34" fillId="0" borderId="0" applyFont="0" applyFill="0" applyBorder="0" applyAlignment="0" applyProtection="0"/>
    <xf numFmtId="202" fontId="2" fillId="0" borderId="0" applyFont="0" applyFill="0" applyBorder="0" applyAlignment="0" applyProtection="0"/>
    <xf numFmtId="202" fontId="7" fillId="0" borderId="0" applyFont="0" applyFill="0" applyBorder="0" applyAlignment="0" applyProtection="0"/>
    <xf numFmtId="187" fontId="2" fillId="22" borderId="0" applyFont="0" applyBorder="0"/>
    <xf numFmtId="187" fontId="7" fillId="22" borderId="0" applyFont="0" applyBorder="0"/>
    <xf numFmtId="184" fontId="31" fillId="0" borderId="4" applyFont="0" applyFill="0" applyBorder="0" applyAlignment="0">
      <alignment horizontal="center"/>
    </xf>
    <xf numFmtId="14" fontId="27" fillId="0" borderId="0" applyFill="0" applyBorder="0" applyAlignment="0"/>
    <xf numFmtId="203" fontId="31" fillId="0" borderId="0" applyFont="0" applyFill="0" applyBorder="0" applyProtection="0">
      <alignment horizontal="centerContinuous"/>
    </xf>
    <xf numFmtId="211" fontId="2" fillId="0" borderId="0" applyFont="0" applyFill="0" applyBorder="0" applyAlignment="0" applyProtection="0"/>
    <xf numFmtId="210" fontId="2" fillId="0" borderId="0" applyFont="0" applyFill="0" applyBorder="0" applyAlignment="0" applyProtection="0"/>
    <xf numFmtId="204" fontId="31" fillId="0" borderId="0"/>
    <xf numFmtId="178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86" fontId="2" fillId="0" borderId="0" applyFill="0" applyBorder="0" applyAlignment="0"/>
    <xf numFmtId="186" fontId="7" fillId="0" borderId="0" applyFill="0" applyBorder="0" applyAlignment="0"/>
    <xf numFmtId="185" fontId="34" fillId="0" borderId="0" applyFill="0" applyBorder="0" applyAlignment="0"/>
    <xf numFmtId="186" fontId="2" fillId="0" borderId="0" applyFill="0" applyBorder="0" applyAlignment="0"/>
    <xf numFmtId="186" fontId="7" fillId="0" borderId="0" applyFill="0" applyBorder="0" applyAlignment="0"/>
    <xf numFmtId="188" fontId="34" fillId="0" borderId="0" applyFill="0" applyBorder="0" applyAlignment="0"/>
    <xf numFmtId="185" fontId="34" fillId="0" borderId="0" applyFill="0" applyBorder="0" applyAlignment="0"/>
    <xf numFmtId="220" fontId="38" fillId="0" borderId="0" applyNumberFormat="0" applyAlignment="0">
      <alignment horizontal="left"/>
    </xf>
    <xf numFmtId="220" fontId="31" fillId="0" borderId="0" applyFont="0" applyFill="0" applyBorder="0" applyAlignment="0" applyProtection="0"/>
    <xf numFmtId="220" fontId="21" fillId="0" borderId="0" applyNumberFormat="0" applyFill="0" applyBorder="0" applyAlignment="0" applyProtection="0">
      <alignment vertical="center"/>
    </xf>
    <xf numFmtId="9" fontId="39" fillId="0" borderId="0" applyFont="0" applyFill="0" applyBorder="0" applyAlignment="0" applyProtection="0"/>
    <xf numFmtId="220" fontId="17" fillId="4" borderId="0" applyNumberFormat="0" applyBorder="0" applyAlignment="0" applyProtection="0">
      <alignment vertical="center"/>
    </xf>
    <xf numFmtId="38" fontId="3" fillId="23" borderId="0" applyNumberFormat="0" applyBorder="0" applyAlignment="0" applyProtection="0"/>
    <xf numFmtId="220" fontId="40" fillId="0" borderId="0">
      <alignment horizontal="left"/>
    </xf>
    <xf numFmtId="220" fontId="41" fillId="0" borderId="5" applyNumberFormat="0" applyAlignment="0" applyProtection="0">
      <alignment horizontal="left" vertical="center"/>
    </xf>
    <xf numFmtId="220" fontId="41" fillId="0" borderId="6">
      <alignment horizontal="left" vertical="center"/>
    </xf>
    <xf numFmtId="220" fontId="13" fillId="0" borderId="7" applyNumberFormat="0" applyFill="0" applyAlignment="0" applyProtection="0">
      <alignment vertical="center"/>
    </xf>
    <xf numFmtId="220" fontId="14" fillId="0" borderId="8" applyNumberFormat="0" applyFill="0" applyAlignment="0" applyProtection="0">
      <alignment vertical="center"/>
    </xf>
    <xf numFmtId="220" fontId="15" fillId="0" borderId="9" applyNumberFormat="0" applyFill="0" applyAlignment="0" applyProtection="0">
      <alignment vertical="center"/>
    </xf>
    <xf numFmtId="220" fontId="15" fillId="0" borderId="0" applyNumberFormat="0" applyFill="0" applyBorder="0" applyAlignment="0" applyProtection="0">
      <alignment vertical="center"/>
    </xf>
    <xf numFmtId="220" fontId="42" fillId="0" borderId="10">
      <alignment horizontal="center"/>
    </xf>
    <xf numFmtId="220" fontId="42" fillId="0" borderId="0">
      <alignment horizontal="center"/>
    </xf>
    <xf numFmtId="220" fontId="26" fillId="7" borderId="2" applyNumberFormat="0" applyAlignment="0" applyProtection="0">
      <alignment vertical="center"/>
    </xf>
    <xf numFmtId="10" fontId="3" fillId="23" borderId="11" applyNumberFormat="0" applyBorder="0" applyAlignment="0" applyProtection="0"/>
    <xf numFmtId="205" fontId="32" fillId="24" borderId="0"/>
    <xf numFmtId="186" fontId="2" fillId="0" borderId="0" applyFill="0" applyBorder="0" applyAlignment="0"/>
    <xf numFmtId="186" fontId="7" fillId="0" borderId="0" applyFill="0" applyBorder="0" applyAlignment="0"/>
    <xf numFmtId="185" fontId="34" fillId="0" borderId="0" applyFill="0" applyBorder="0" applyAlignment="0"/>
    <xf numFmtId="186" fontId="2" fillId="0" borderId="0" applyFill="0" applyBorder="0" applyAlignment="0"/>
    <xf numFmtId="186" fontId="7" fillId="0" borderId="0" applyFill="0" applyBorder="0" applyAlignment="0"/>
    <xf numFmtId="188" fontId="34" fillId="0" borderId="0" applyFill="0" applyBorder="0" applyAlignment="0"/>
    <xf numFmtId="185" fontId="34" fillId="0" borderId="0" applyFill="0" applyBorder="0" applyAlignment="0"/>
    <xf numFmtId="220" fontId="23" fillId="0" borderId="12" applyNumberFormat="0" applyFill="0" applyAlignment="0" applyProtection="0">
      <alignment vertical="center"/>
    </xf>
    <xf numFmtId="205" fontId="43" fillId="25" borderId="0"/>
    <xf numFmtId="220" fontId="2" fillId="0" borderId="0" applyFont="0" applyFill="0" applyBorder="0" applyAlignment="0" applyProtection="0"/>
    <xf numFmtId="220" fontId="2" fillId="0" borderId="0" applyFont="0" applyFill="0" applyBorder="0" applyAlignment="0" applyProtection="0"/>
    <xf numFmtId="38" fontId="31" fillId="0" borderId="0" applyFont="0" applyFill="0" applyBorder="0" applyAlignment="0" applyProtection="0"/>
    <xf numFmtId="40" fontId="31" fillId="0" borderId="0" applyFont="0" applyFill="0" applyBorder="0" applyAlignment="0" applyProtection="0"/>
    <xf numFmtId="220" fontId="44" fillId="0" borderId="10"/>
    <xf numFmtId="176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220" fontId="2" fillId="0" borderId="0" applyFont="0" applyFill="0" applyBorder="0" applyAlignment="0" applyProtection="0"/>
    <xf numFmtId="220" fontId="2" fillId="0" borderId="0" applyFont="0" applyFill="0" applyBorder="0" applyAlignment="0" applyProtection="0"/>
    <xf numFmtId="189" fontId="34" fillId="0" borderId="0" applyFont="0" applyFill="0" applyBorder="0" applyAlignment="0" applyProtection="0"/>
    <xf numFmtId="190" fontId="34" fillId="0" borderId="0" applyFont="0" applyFill="0" applyBorder="0" applyAlignment="0" applyProtection="0"/>
    <xf numFmtId="214" fontId="31" fillId="0" borderId="0" applyFont="0" applyFill="0" applyBorder="0" applyAlignment="0" applyProtection="0"/>
    <xf numFmtId="215" fontId="31" fillId="0" borderId="0" applyFont="0" applyFill="0" applyBorder="0" applyAlignment="0" applyProtection="0"/>
    <xf numFmtId="220" fontId="24" fillId="26" borderId="0" applyNumberFormat="0" applyBorder="0" applyAlignment="0" applyProtection="0">
      <alignment vertical="center"/>
    </xf>
    <xf numFmtId="182" fontId="45" fillId="0" borderId="0"/>
    <xf numFmtId="220" fontId="2" fillId="0" borderId="0"/>
    <xf numFmtId="220" fontId="2" fillId="27" borderId="13" applyNumberFormat="0" applyFont="0" applyAlignment="0" applyProtection="0">
      <alignment vertical="center"/>
    </xf>
    <xf numFmtId="220" fontId="7" fillId="27" borderId="13" applyNumberFormat="0" applyFont="0" applyAlignment="0" applyProtection="0">
      <alignment vertical="center"/>
    </xf>
    <xf numFmtId="40" fontId="46" fillId="0" borderId="0" applyFont="0" applyFill="0" applyBorder="0" applyAlignment="0" applyProtection="0"/>
    <xf numFmtId="38" fontId="46" fillId="0" borderId="0" applyFont="0" applyFill="0" applyBorder="0" applyAlignment="0" applyProtection="0"/>
    <xf numFmtId="220" fontId="25" fillId="20" borderId="14" applyNumberFormat="0" applyAlignment="0" applyProtection="0">
      <alignment vertical="center"/>
    </xf>
    <xf numFmtId="14" fontId="33" fillId="0" borderId="0">
      <alignment horizontal="center" wrapText="1"/>
      <protection locked="0"/>
    </xf>
    <xf numFmtId="190" fontId="34" fillId="0" borderId="0" applyFont="0" applyFill="0" applyBorder="0" applyAlignment="0" applyProtection="0"/>
    <xf numFmtId="191" fontId="2" fillId="0" borderId="0" applyFont="0" applyFill="0" applyBorder="0" applyAlignment="0" applyProtection="0"/>
    <xf numFmtId="191" fontId="7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86" fontId="2" fillId="0" borderId="0" applyFill="0" applyBorder="0" applyAlignment="0"/>
    <xf numFmtId="186" fontId="7" fillId="0" borderId="0" applyFill="0" applyBorder="0" applyAlignment="0"/>
    <xf numFmtId="185" fontId="34" fillId="0" borderId="0" applyFill="0" applyBorder="0" applyAlignment="0"/>
    <xf numFmtId="186" fontId="2" fillId="0" borderId="0" applyFill="0" applyBorder="0" applyAlignment="0"/>
    <xf numFmtId="186" fontId="7" fillId="0" borderId="0" applyFill="0" applyBorder="0" applyAlignment="0"/>
    <xf numFmtId="188" fontId="34" fillId="0" borderId="0" applyFill="0" applyBorder="0" applyAlignment="0"/>
    <xf numFmtId="185" fontId="34" fillId="0" borderId="0" applyFill="0" applyBorder="0" applyAlignment="0"/>
    <xf numFmtId="220" fontId="31" fillId="0" borderId="0" applyNumberFormat="0" applyFont="0" applyFill="0" applyBorder="0" applyAlignment="0" applyProtection="0">
      <alignment horizontal="left"/>
    </xf>
    <xf numFmtId="15" fontId="31" fillId="0" borderId="0" applyFont="0" applyFill="0" applyBorder="0" applyAlignment="0" applyProtection="0"/>
    <xf numFmtId="4" fontId="31" fillId="0" borderId="0" applyFont="0" applyFill="0" applyBorder="0" applyAlignment="0" applyProtection="0"/>
    <xf numFmtId="220" fontId="47" fillId="0" borderId="10">
      <alignment horizontal="center"/>
    </xf>
    <xf numFmtId="3" fontId="31" fillId="0" borderId="0" applyFont="0" applyFill="0" applyBorder="0" applyAlignment="0" applyProtection="0"/>
    <xf numFmtId="220" fontId="31" fillId="28" borderId="0" applyNumberFormat="0" applyFont="0" applyBorder="0" applyAlignment="0" applyProtection="0"/>
    <xf numFmtId="37" fontId="31" fillId="0" borderId="0"/>
    <xf numFmtId="206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90" fontId="34" fillId="0" borderId="0">
      <alignment horizontal="center"/>
    </xf>
    <xf numFmtId="220" fontId="44" fillId="0" borderId="0"/>
    <xf numFmtId="49" fontId="27" fillId="0" borderId="0" applyFill="0" applyBorder="0" applyAlignment="0"/>
    <xf numFmtId="192" fontId="34" fillId="0" borderId="0" applyFill="0" applyBorder="0" applyAlignment="0"/>
    <xf numFmtId="192" fontId="34" fillId="0" borderId="0" applyFill="0" applyBorder="0" applyAlignment="0"/>
    <xf numFmtId="220" fontId="12" fillId="0" borderId="0" applyNumberFormat="0" applyFill="0" applyBorder="0" applyAlignment="0" applyProtection="0">
      <alignment vertical="center"/>
    </xf>
    <xf numFmtId="220" fontId="18" fillId="0" borderId="15" applyNumberFormat="0" applyFill="0" applyAlignment="0" applyProtection="0">
      <alignment vertical="center"/>
    </xf>
    <xf numFmtId="220" fontId="31" fillId="0" borderId="0"/>
    <xf numFmtId="207" fontId="2" fillId="0" borderId="0" applyFont="0" applyFill="0" applyBorder="0" applyAlignment="0" applyProtection="0"/>
    <xf numFmtId="207" fontId="7" fillId="0" borderId="0" applyFont="0" applyFill="0" applyBorder="0" applyAlignment="0" applyProtection="0"/>
    <xf numFmtId="209" fontId="2" fillId="0" borderId="0" applyFont="0" applyFill="0" applyBorder="0" applyAlignment="0" applyProtection="0"/>
    <xf numFmtId="208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220" fontId="22" fillId="0" borderId="0" applyNumberFormat="0" applyFill="0" applyBorder="0" applyAlignment="0" applyProtection="0">
      <alignment vertical="center"/>
    </xf>
    <xf numFmtId="220" fontId="8" fillId="0" borderId="0">
      <alignment horizontal="left"/>
    </xf>
    <xf numFmtId="220" fontId="48" fillId="0" borderId="0" applyNumberFormat="0" applyFill="0" applyBorder="0" applyAlignment="0" applyProtection="0"/>
    <xf numFmtId="220" fontId="49" fillId="0" borderId="0"/>
    <xf numFmtId="220" fontId="50" fillId="0" borderId="0" applyNumberFormat="0" applyFill="0" applyBorder="0" applyAlignment="0" applyProtection="0"/>
    <xf numFmtId="220" fontId="16" fillId="3" borderId="0" applyNumberFormat="0" applyBorder="0" applyAlignment="0" applyProtection="0">
      <alignment vertical="center"/>
    </xf>
    <xf numFmtId="220" fontId="16" fillId="3" borderId="0" applyNumberFormat="0" applyBorder="0" applyAlignment="0" applyProtection="0">
      <alignment vertical="center"/>
    </xf>
    <xf numFmtId="220" fontId="7" fillId="0" borderId="0"/>
    <xf numFmtId="220" fontId="28" fillId="0" borderId="0"/>
    <xf numFmtId="220" fontId="17" fillId="4" borderId="0" applyNumberFormat="0" applyBorder="0" applyAlignment="0" applyProtection="0">
      <alignment vertical="center"/>
    </xf>
    <xf numFmtId="220" fontId="17" fillId="4" borderId="0" applyNumberFormat="0" applyBorder="0" applyAlignment="0" applyProtection="0">
      <alignment vertical="center"/>
    </xf>
    <xf numFmtId="179" fontId="49" fillId="0" borderId="0" applyFont="0" applyFill="0" applyBorder="0" applyAlignment="0" applyProtection="0"/>
    <xf numFmtId="178" fontId="49" fillId="0" borderId="0" applyFont="0" applyFill="0" applyBorder="0" applyAlignment="0" applyProtection="0"/>
    <xf numFmtId="212" fontId="49" fillId="0" borderId="0" applyFont="0" applyFill="0" applyBorder="0" applyAlignment="0" applyProtection="0"/>
    <xf numFmtId="213" fontId="49" fillId="0" borderId="0" applyFont="0" applyFill="0" applyBorder="0" applyAlignment="0" applyProtection="0"/>
    <xf numFmtId="220" fontId="28" fillId="0" borderId="0"/>
    <xf numFmtId="220" fontId="87" fillId="0" borderId="0" applyNumberFormat="0" applyFill="0" applyBorder="0" applyAlignment="0" applyProtection="0"/>
    <xf numFmtId="220" fontId="103" fillId="0" borderId="0"/>
    <xf numFmtId="220" fontId="2" fillId="0" borderId="0"/>
    <xf numFmtId="220" fontId="28" fillId="0" borderId="0"/>
    <xf numFmtId="220" fontId="1" fillId="0" borderId="0">
      <alignment vertical="center"/>
    </xf>
  </cellStyleXfs>
  <cellXfs count="405">
    <xf numFmtId="220" fontId="0" fillId="0" borderId="0" xfId="0"/>
    <xf numFmtId="220" fontId="2" fillId="0" borderId="11" xfId="0" applyFont="1" applyFill="1" applyBorder="1" applyAlignment="1">
      <alignment horizontal="center" vertical="center" wrapText="1"/>
    </xf>
    <xf numFmtId="220" fontId="6" fillId="0" borderId="11" xfId="0" applyFont="1" applyFill="1" applyBorder="1" applyAlignment="1">
      <alignment horizontal="center" vertical="center" wrapText="1"/>
    </xf>
    <xf numFmtId="220" fontId="0" fillId="0" borderId="11" xfId="0" applyFill="1" applyBorder="1" applyAlignment="1">
      <alignment horizontal="center" vertical="center" wrapText="1"/>
    </xf>
    <xf numFmtId="14" fontId="0" fillId="0" borderId="11" xfId="0" applyNumberFormat="1" applyFill="1" applyBorder="1" applyAlignment="1">
      <alignment horizontal="center" vertical="center" wrapText="1"/>
    </xf>
    <xf numFmtId="220" fontId="0" fillId="0" borderId="11" xfId="0" applyNumberFormat="1" applyFill="1" applyBorder="1" applyAlignment="1">
      <alignment horizontal="center" vertical="center" wrapText="1"/>
    </xf>
    <xf numFmtId="181" fontId="0" fillId="0" borderId="11" xfId="0" applyNumberFormat="1" applyFill="1" applyBorder="1" applyAlignment="1">
      <alignment horizontal="center" vertical="center" wrapText="1"/>
    </xf>
    <xf numFmtId="14" fontId="0" fillId="0" borderId="11" xfId="0" applyNumberFormat="1" applyFont="1" applyFill="1" applyBorder="1" applyAlignment="1">
      <alignment horizontal="center" vertical="center" wrapText="1"/>
    </xf>
    <xf numFmtId="220" fontId="54" fillId="0" borderId="11" xfId="0" applyFont="1" applyFill="1" applyBorder="1" applyAlignment="1">
      <alignment horizontal="center" vertical="center" wrapText="1"/>
    </xf>
    <xf numFmtId="220" fontId="0" fillId="30" borderId="11" xfId="0" applyFill="1" applyBorder="1" applyAlignment="1">
      <alignment horizontal="center" vertical="center" wrapText="1"/>
    </xf>
    <xf numFmtId="220" fontId="9" fillId="0" borderId="11" xfId="0" applyFont="1" applyFill="1" applyBorder="1" applyAlignment="1">
      <alignment horizontal="center" vertical="center" wrapText="1"/>
    </xf>
    <xf numFmtId="220" fontId="6" fillId="0" borderId="0" xfId="0" applyFont="1" applyBorder="1"/>
    <xf numFmtId="180" fontId="6" fillId="0" borderId="0" xfId="0" applyNumberFormat="1" applyFont="1" applyBorder="1"/>
    <xf numFmtId="220" fontId="6" fillId="0" borderId="11" xfId="0" applyFont="1" applyBorder="1"/>
    <xf numFmtId="180" fontId="6" fillId="0" borderId="11" xfId="0" applyNumberFormat="1" applyFont="1" applyBorder="1"/>
    <xf numFmtId="49" fontId="6" fillId="0" borderId="11" xfId="183" applyNumberFormat="1" applyFont="1" applyFill="1" applyBorder="1" applyAlignment="1" applyProtection="1">
      <alignment horizontal="center" vertical="center"/>
      <protection hidden="1"/>
    </xf>
    <xf numFmtId="49" fontId="6" fillId="0" borderId="11" xfId="53" applyNumberFormat="1" applyFont="1" applyFill="1" applyBorder="1" applyAlignment="1" applyProtection="1">
      <alignment horizontal="center" vertical="center"/>
      <protection locked="0"/>
    </xf>
    <xf numFmtId="220" fontId="69" fillId="0" borderId="11" xfId="0" applyFont="1" applyFill="1" applyBorder="1" applyAlignment="1">
      <alignment horizontal="center" vertical="center" wrapText="1"/>
    </xf>
    <xf numFmtId="14" fontId="41" fillId="0" borderId="11" xfId="0" applyNumberFormat="1" applyFont="1" applyFill="1" applyBorder="1" applyAlignment="1">
      <alignment horizontal="center" vertical="center" wrapText="1"/>
    </xf>
    <xf numFmtId="220" fontId="0" fillId="0" borderId="16" xfId="0" applyFill="1" applyBorder="1" applyAlignment="1">
      <alignment horizontal="center" vertical="center" wrapText="1"/>
    </xf>
    <xf numFmtId="220" fontId="0" fillId="0" borderId="16" xfId="0" applyNumberFormat="1" applyFill="1" applyBorder="1" applyAlignment="1">
      <alignment horizontal="center" vertical="center" wrapText="1"/>
    </xf>
    <xf numFmtId="49" fontId="6" fillId="0" borderId="16" xfId="183" applyNumberFormat="1" applyFont="1" applyFill="1" applyBorder="1" applyAlignment="1" applyProtection="1">
      <alignment horizontal="center" vertical="center"/>
      <protection hidden="1"/>
    </xf>
    <xf numFmtId="220" fontId="5" fillId="0" borderId="19" xfId="0" applyFont="1" applyFill="1" applyBorder="1" applyAlignment="1">
      <alignment horizontal="center" vertical="center" wrapText="1"/>
    </xf>
    <xf numFmtId="220" fontId="8" fillId="31" borderId="17" xfId="0" applyFont="1" applyFill="1" applyBorder="1" applyAlignment="1">
      <alignment horizontal="center" vertical="center" wrapText="1"/>
    </xf>
    <xf numFmtId="220" fontId="8" fillId="31" borderId="18" xfId="0" applyFont="1" applyFill="1" applyBorder="1" applyAlignment="1">
      <alignment horizontal="center" vertical="center" wrapText="1"/>
    </xf>
    <xf numFmtId="14" fontId="0" fillId="0" borderId="16" xfId="0" applyNumberFormat="1" applyFill="1" applyBorder="1" applyAlignment="1">
      <alignment horizontal="center" vertical="center" wrapText="1"/>
    </xf>
    <xf numFmtId="14" fontId="2" fillId="0" borderId="20" xfId="0" applyNumberFormat="1" applyFont="1" applyFill="1" applyBorder="1" applyAlignment="1">
      <alignment horizontal="center" vertical="center" wrapText="1"/>
    </xf>
    <xf numFmtId="220" fontId="2" fillId="0" borderId="21" xfId="0" applyFont="1" applyFill="1" applyBorder="1" applyAlignment="1">
      <alignment horizontal="center" vertical="center" wrapText="1"/>
    </xf>
    <xf numFmtId="14" fontId="2" fillId="0" borderId="22" xfId="0" applyNumberFormat="1" applyFont="1" applyFill="1" applyBorder="1" applyAlignment="1">
      <alignment horizontal="center" vertical="center" wrapText="1"/>
    </xf>
    <xf numFmtId="220" fontId="7" fillId="0" borderId="23" xfId="0" applyFont="1" applyFill="1" applyBorder="1" applyAlignment="1" applyProtection="1">
      <alignment horizontal="center" vertical="center" wrapText="1"/>
      <protection locked="0"/>
    </xf>
    <xf numFmtId="220" fontId="0" fillId="0" borderId="24" xfId="0" applyNumberFormat="1" applyFill="1" applyBorder="1" applyAlignment="1">
      <alignment horizontal="center" vertical="center" wrapText="1"/>
    </xf>
    <xf numFmtId="220" fontId="0" fillId="0" borderId="24" xfId="0" applyNumberFormat="1" applyFont="1" applyFill="1" applyBorder="1" applyAlignment="1">
      <alignment horizontal="center" vertical="center" wrapText="1"/>
    </xf>
    <xf numFmtId="220" fontId="0" fillId="0" borderId="18" xfId="0" applyNumberFormat="1" applyFill="1" applyBorder="1" applyAlignment="1">
      <alignment horizontal="center" vertical="center" wrapText="1"/>
    </xf>
    <xf numFmtId="49" fontId="41" fillId="0" borderId="20" xfId="183" applyNumberFormat="1" applyFont="1" applyFill="1" applyBorder="1" applyAlignment="1" applyProtection="1">
      <alignment horizontal="center" vertical="center"/>
      <protection hidden="1"/>
    </xf>
    <xf numFmtId="49" fontId="6" fillId="0" borderId="16" xfId="183" applyNumberFormat="1" applyFont="1" applyFill="1" applyBorder="1" applyAlignment="1" applyProtection="1">
      <alignment horizontal="center" vertical="center" wrapText="1"/>
      <protection hidden="1"/>
    </xf>
    <xf numFmtId="49" fontId="6" fillId="0" borderId="11" xfId="183" applyNumberFormat="1" applyFont="1" applyFill="1" applyBorder="1" applyAlignment="1" applyProtection="1">
      <alignment horizontal="center" vertical="center" wrapText="1"/>
      <protection hidden="1"/>
    </xf>
    <xf numFmtId="220" fontId="6" fillId="0" borderId="11" xfId="183" applyNumberFormat="1" applyFont="1" applyFill="1" applyBorder="1" applyAlignment="1" applyProtection="1">
      <alignment horizontal="center" vertical="center"/>
      <protection hidden="1"/>
    </xf>
    <xf numFmtId="220" fontId="0" fillId="0" borderId="11" xfId="0" quotePrefix="1" applyFill="1" applyBorder="1" applyAlignment="1">
      <alignment horizontal="center" vertical="center" wrapText="1"/>
    </xf>
    <xf numFmtId="220" fontId="58" fillId="0" borderId="11" xfId="0" applyFont="1" applyFill="1" applyBorder="1" applyAlignment="1">
      <alignment horizontal="center" vertical="center" wrapText="1"/>
    </xf>
    <xf numFmtId="220" fontId="55" fillId="0" borderId="11" xfId="0" applyFont="1" applyFill="1" applyBorder="1" applyAlignment="1">
      <alignment horizontal="center" vertical="center" wrapText="1"/>
    </xf>
    <xf numFmtId="49" fontId="6" fillId="0" borderId="17" xfId="183" applyNumberFormat="1" applyFont="1" applyFill="1" applyBorder="1" applyAlignment="1" applyProtection="1">
      <alignment horizontal="center" vertical="center"/>
      <protection hidden="1"/>
    </xf>
    <xf numFmtId="14" fontId="8" fillId="32" borderId="17" xfId="0" applyNumberFormat="1" applyFont="1" applyFill="1" applyBorder="1" applyAlignment="1">
      <alignment horizontal="center" vertical="center" wrapText="1"/>
    </xf>
    <xf numFmtId="49" fontId="41" fillId="0" borderId="19" xfId="183" applyNumberFormat="1" applyFont="1" applyFill="1" applyBorder="1" applyAlignment="1" applyProtection="1">
      <alignment horizontal="center" vertical="center"/>
      <protection hidden="1"/>
    </xf>
    <xf numFmtId="14" fontId="41" fillId="0" borderId="24" xfId="0" applyNumberFormat="1" applyFont="1" applyFill="1" applyBorder="1" applyAlignment="1">
      <alignment horizontal="center" vertical="center" wrapText="1"/>
    </xf>
    <xf numFmtId="220" fontId="0" fillId="0" borderId="11" xfId="0" applyFont="1" applyFill="1" applyBorder="1" applyAlignment="1">
      <alignment horizontal="center" vertical="center" wrapText="1"/>
    </xf>
    <xf numFmtId="14" fontId="8" fillId="32" borderId="27" xfId="0" applyNumberFormat="1" applyFont="1" applyFill="1" applyBorder="1" applyAlignment="1">
      <alignment horizontal="center" vertical="center" wrapText="1"/>
    </xf>
    <xf numFmtId="220" fontId="6" fillId="0" borderId="16" xfId="183" applyNumberFormat="1" applyFont="1" applyFill="1" applyBorder="1" applyAlignment="1" applyProtection="1">
      <alignment horizontal="center" vertical="center" wrapText="1"/>
      <protection locked="0" hidden="1"/>
    </xf>
    <xf numFmtId="49" fontId="41" fillId="0" borderId="22" xfId="183" applyNumberFormat="1" applyFont="1" applyFill="1" applyBorder="1" applyAlignment="1" applyProtection="1">
      <alignment horizontal="center" vertical="center" wrapText="1"/>
      <protection hidden="1"/>
    </xf>
    <xf numFmtId="49" fontId="41" fillId="0" borderId="20" xfId="183" applyNumberFormat="1" applyFont="1" applyFill="1" applyBorder="1" applyAlignment="1" applyProtection="1">
      <alignment horizontal="center" vertical="center" wrapText="1"/>
      <protection hidden="1"/>
    </xf>
    <xf numFmtId="49" fontId="52" fillId="0" borderId="11" xfId="183" applyNumberFormat="1" applyFont="1" applyFill="1" applyBorder="1" applyAlignment="1" applyProtection="1">
      <alignment horizontal="center" vertical="center" wrapText="1"/>
      <protection hidden="1"/>
    </xf>
    <xf numFmtId="49" fontId="6" fillId="0" borderId="11" xfId="183" applyNumberFormat="1" applyFont="1" applyFill="1" applyBorder="1" applyAlignment="1" applyProtection="1">
      <alignment horizontal="center" vertical="center" wrapText="1"/>
    </xf>
    <xf numFmtId="49" fontId="6" fillId="0" borderId="11" xfId="183" applyNumberFormat="1" applyFont="1" applyFill="1" applyBorder="1" applyAlignment="1" applyProtection="1">
      <alignment horizontal="center" vertical="center" wrapText="1"/>
      <protection locked="0"/>
    </xf>
    <xf numFmtId="220" fontId="8" fillId="34" borderId="27" xfId="0" applyFont="1" applyFill="1" applyBorder="1" applyAlignment="1">
      <alignment horizontal="center" vertical="center" wrapText="1"/>
    </xf>
    <xf numFmtId="49" fontId="6" fillId="0" borderId="11" xfId="183" applyNumberFormat="1" applyFont="1" applyFill="1" applyBorder="1" applyAlignment="1" applyProtection="1">
      <alignment horizontal="left" vertical="center" wrapText="1"/>
      <protection hidden="1"/>
    </xf>
    <xf numFmtId="220" fontId="0" fillId="0" borderId="11" xfId="0" applyFill="1" applyBorder="1" applyAlignment="1">
      <alignment horizontal="left" vertical="center" wrapText="1"/>
    </xf>
    <xf numFmtId="14" fontId="0" fillId="0" borderId="20" xfId="0" applyNumberFormat="1" applyFont="1" applyFill="1" applyBorder="1" applyAlignment="1">
      <alignment horizontal="center" vertical="center" wrapText="1"/>
    </xf>
    <xf numFmtId="220" fontId="6" fillId="0" borderId="11" xfId="183" applyNumberFormat="1" applyFont="1" applyFill="1" applyBorder="1" applyAlignment="1" applyProtection="1">
      <alignment horizontal="center" vertical="center" wrapText="1"/>
      <protection locked="0" hidden="1"/>
    </xf>
    <xf numFmtId="220" fontId="5" fillId="0" borderId="20" xfId="0" applyNumberFormat="1" applyFont="1" applyFill="1" applyBorder="1" applyAlignment="1">
      <alignment horizontal="center" vertical="center" wrapText="1"/>
    </xf>
    <xf numFmtId="220" fontId="6" fillId="0" borderId="11" xfId="183" applyNumberFormat="1" applyFont="1" applyFill="1" applyBorder="1" applyAlignment="1" applyProtection="1">
      <alignment horizontal="center" vertical="center" wrapText="1"/>
      <protection hidden="1"/>
    </xf>
    <xf numFmtId="220" fontId="0" fillId="0" borderId="11" xfId="0" applyNumberFormat="1" applyFont="1" applyFill="1" applyBorder="1" applyAlignment="1">
      <alignment horizontal="center" vertical="center" wrapText="1"/>
    </xf>
    <xf numFmtId="14" fontId="2" fillId="0" borderId="19" xfId="0" applyNumberFormat="1" applyFont="1" applyFill="1" applyBorder="1" applyAlignment="1">
      <alignment horizontal="left" vertical="center" wrapText="1"/>
    </xf>
    <xf numFmtId="14" fontId="0" fillId="0" borderId="11" xfId="0" applyNumberFormat="1" applyFill="1" applyBorder="1" applyAlignment="1">
      <alignment horizontal="left" vertical="center" wrapText="1"/>
    </xf>
    <xf numFmtId="14" fontId="0" fillId="0" borderId="11" xfId="0" applyNumberFormat="1" applyFont="1" applyFill="1" applyBorder="1" applyAlignment="1">
      <alignment horizontal="left" vertical="center" wrapText="1"/>
    </xf>
    <xf numFmtId="14" fontId="3" fillId="0" borderId="11" xfId="0" applyNumberFormat="1" applyFont="1" applyFill="1" applyBorder="1" applyAlignment="1">
      <alignment horizontal="left" vertical="center" wrapText="1"/>
    </xf>
    <xf numFmtId="14" fontId="3" fillId="30" borderId="11" xfId="0" applyNumberFormat="1" applyFont="1" applyFill="1" applyBorder="1" applyAlignment="1">
      <alignment horizontal="left" vertical="center" wrapText="1"/>
    </xf>
    <xf numFmtId="220" fontId="6" fillId="0" borderId="28" xfId="183" applyNumberFormat="1" applyFont="1" applyFill="1" applyBorder="1" applyAlignment="1" applyProtection="1">
      <alignment horizontal="center" vertical="center"/>
      <protection hidden="1"/>
    </xf>
    <xf numFmtId="220" fontId="63" fillId="0" borderId="29" xfId="0" applyNumberFormat="1" applyFont="1" applyFill="1" applyBorder="1" applyAlignment="1">
      <alignment horizontal="center" vertical="center" wrapText="1"/>
    </xf>
    <xf numFmtId="10" fontId="63" fillId="34" borderId="29" xfId="0" applyNumberFormat="1" applyFont="1" applyFill="1" applyBorder="1" applyAlignment="1">
      <alignment horizontal="center" vertical="center" wrapText="1"/>
    </xf>
    <xf numFmtId="14" fontId="0" fillId="0" borderId="16" xfId="0" applyNumberFormat="1" applyFont="1" applyFill="1" applyBorder="1" applyAlignment="1">
      <alignment horizontal="center" vertical="center" wrapText="1"/>
    </xf>
    <xf numFmtId="220" fontId="62" fillId="0" borderId="0" xfId="0" applyFont="1" applyBorder="1" applyAlignment="1">
      <alignment textRotation="180"/>
    </xf>
    <xf numFmtId="49" fontId="0" fillId="0" borderId="11" xfId="183" applyNumberFormat="1" applyFont="1" applyFill="1" applyBorder="1" applyAlignment="1" applyProtection="1">
      <alignment horizontal="left" vertical="center" wrapText="1"/>
      <protection hidden="1"/>
    </xf>
    <xf numFmtId="220" fontId="0" fillId="0" borderId="11" xfId="0" applyFont="1" applyBorder="1" applyAlignment="1">
      <alignment horizontal="left" vertical="center" wrapText="1"/>
    </xf>
    <xf numFmtId="220" fontId="8" fillId="29" borderId="31" xfId="0" applyFont="1" applyFill="1" applyBorder="1" applyAlignment="1">
      <alignment horizontal="left" vertical="center" wrapText="1"/>
    </xf>
    <xf numFmtId="220" fontId="8" fillId="29" borderId="32" xfId="0" applyFont="1" applyFill="1" applyBorder="1" applyAlignment="1">
      <alignment horizontal="left" vertical="center" wrapText="1"/>
    </xf>
    <xf numFmtId="220" fontId="0" fillId="0" borderId="16" xfId="0" applyFont="1" applyBorder="1" applyAlignment="1">
      <alignment horizontal="left" vertical="center" wrapText="1"/>
    </xf>
    <xf numFmtId="49" fontId="64" fillId="0" borderId="11" xfId="183" applyNumberFormat="1" applyFont="1" applyFill="1" applyBorder="1" applyAlignment="1" applyProtection="1">
      <alignment horizontal="center" vertical="center" wrapText="1"/>
      <protection hidden="1"/>
    </xf>
    <xf numFmtId="220" fontId="8" fillId="29" borderId="34" xfId="0" applyFont="1" applyFill="1" applyBorder="1" applyAlignment="1">
      <alignment horizontal="left" vertical="center" wrapText="1"/>
    </xf>
    <xf numFmtId="220" fontId="62" fillId="0" borderId="11" xfId="0" applyFont="1" applyBorder="1" applyAlignment="1">
      <alignment textRotation="180"/>
    </xf>
    <xf numFmtId="220" fontId="62" fillId="36" borderId="11" xfId="0" applyFont="1" applyFill="1" applyBorder="1" applyAlignment="1">
      <alignment textRotation="180" wrapText="1"/>
    </xf>
    <xf numFmtId="220" fontId="62" fillId="34" borderId="11" xfId="0" applyFont="1" applyFill="1" applyBorder="1" applyAlignment="1">
      <alignment textRotation="180" wrapText="1"/>
    </xf>
    <xf numFmtId="220" fontId="62" fillId="37" borderId="11" xfId="0" applyFont="1" applyFill="1" applyBorder="1" applyAlignment="1">
      <alignment textRotation="180" wrapText="1"/>
    </xf>
    <xf numFmtId="180" fontId="62" fillId="34" borderId="11" xfId="0" applyNumberFormat="1" applyFont="1" applyFill="1" applyBorder="1" applyAlignment="1">
      <alignment textRotation="180" wrapText="1"/>
    </xf>
    <xf numFmtId="180" fontId="62" fillId="37" borderId="11" xfId="0" applyNumberFormat="1" applyFont="1" applyFill="1" applyBorder="1" applyAlignment="1">
      <alignment textRotation="180" wrapText="1"/>
    </xf>
    <xf numFmtId="220" fontId="6" fillId="0" borderId="11" xfId="183" applyNumberFormat="1" applyFont="1" applyFill="1" applyBorder="1" applyAlignment="1" applyProtection="1">
      <alignment horizontal="left" vertical="center" wrapText="1"/>
      <protection locked="0" hidden="1"/>
    </xf>
    <xf numFmtId="49" fontId="6" fillId="0" borderId="11" xfId="183" applyNumberFormat="1" applyFont="1" applyFill="1" applyBorder="1" applyAlignment="1" applyProtection="1">
      <alignment horizontal="left" vertical="center"/>
      <protection hidden="1"/>
    </xf>
    <xf numFmtId="220" fontId="0" fillId="34" borderId="11" xfId="0" applyFont="1" applyFill="1" applyBorder="1" applyAlignment="1">
      <alignment horizontal="left" vertical="center" wrapText="1"/>
    </xf>
    <xf numFmtId="220" fontId="0" fillId="0" borderId="0" xfId="0" applyAlignment="1">
      <alignment vertical="center"/>
    </xf>
    <xf numFmtId="220" fontId="8" fillId="29" borderId="35" xfId="0" applyFont="1" applyFill="1" applyBorder="1" applyAlignment="1">
      <alignment horizontal="center" vertical="center" wrapText="1"/>
    </xf>
    <xf numFmtId="216" fontId="3" fillId="30" borderId="11" xfId="53" applyNumberFormat="1" applyFont="1" applyFill="1" applyBorder="1" applyAlignment="1" applyProtection="1">
      <alignment horizontal="center" vertical="center" wrapText="1"/>
      <protection locked="0"/>
    </xf>
    <xf numFmtId="220" fontId="51" fillId="33" borderId="35" xfId="0" applyFont="1" applyFill="1" applyBorder="1" applyAlignment="1">
      <alignment horizontal="center" vertical="center" wrapText="1"/>
    </xf>
    <xf numFmtId="220" fontId="51" fillId="33" borderId="36" xfId="0" applyFont="1" applyFill="1" applyBorder="1" applyAlignment="1">
      <alignment horizontal="center" vertical="center" wrapText="1"/>
    </xf>
    <xf numFmtId="220" fontId="8" fillId="33" borderId="36" xfId="0" applyNumberFormat="1" applyFont="1" applyFill="1" applyBorder="1" applyAlignment="1">
      <alignment horizontal="center" vertical="center" wrapText="1"/>
    </xf>
    <xf numFmtId="220" fontId="8" fillId="33" borderId="37" xfId="0" applyFont="1" applyFill="1" applyBorder="1" applyAlignment="1">
      <alignment horizontal="center" vertical="center" wrapText="1"/>
    </xf>
    <xf numFmtId="14" fontId="8" fillId="38" borderId="36" xfId="0" applyNumberFormat="1" applyFont="1" applyFill="1" applyBorder="1" applyAlignment="1">
      <alignment horizontal="center" vertical="center" wrapText="1"/>
    </xf>
    <xf numFmtId="14" fontId="8" fillId="38" borderId="37" xfId="0" applyNumberFormat="1" applyFont="1" applyFill="1" applyBorder="1" applyAlignment="1">
      <alignment horizontal="center" vertical="center" wrapText="1"/>
    </xf>
    <xf numFmtId="14" fontId="8" fillId="32" borderId="35" xfId="0" applyNumberFormat="1" applyFont="1" applyFill="1" applyBorder="1" applyAlignment="1">
      <alignment horizontal="center" vertical="center" wrapText="1"/>
    </xf>
    <xf numFmtId="220" fontId="6" fillId="30" borderId="11" xfId="0" applyFont="1" applyFill="1" applyBorder="1"/>
    <xf numFmtId="180" fontId="6" fillId="30" borderId="11" xfId="0" applyNumberFormat="1" applyFont="1" applyFill="1" applyBorder="1"/>
    <xf numFmtId="220" fontId="6" fillId="30" borderId="0" xfId="0" applyFont="1" applyFill="1" applyBorder="1"/>
    <xf numFmtId="220" fontId="65" fillId="30" borderId="0" xfId="0" applyFont="1" applyFill="1" applyBorder="1" applyAlignment="1">
      <alignment vertical="center" wrapText="1"/>
    </xf>
    <xf numFmtId="220" fontId="63" fillId="30" borderId="0" xfId="0" applyFont="1" applyFill="1" applyBorder="1" applyAlignment="1">
      <alignment vertical="center" wrapText="1"/>
    </xf>
    <xf numFmtId="220" fontId="0" fillId="30" borderId="0" xfId="0" applyFont="1" applyFill="1"/>
    <xf numFmtId="49" fontId="0" fillId="30" borderId="11" xfId="0" applyNumberFormat="1" applyFont="1" applyFill="1" applyBorder="1" applyAlignment="1" applyProtection="1">
      <alignment horizontal="center" vertical="center" wrapText="1"/>
      <protection locked="0"/>
    </xf>
    <xf numFmtId="49" fontId="6" fillId="30" borderId="16" xfId="183" applyNumberFormat="1" applyFont="1" applyFill="1" applyBorder="1" applyAlignment="1" applyProtection="1">
      <alignment horizontal="center" vertical="center"/>
      <protection hidden="1"/>
    </xf>
    <xf numFmtId="49" fontId="6" fillId="30" borderId="11" xfId="183" applyNumberFormat="1" applyFont="1" applyFill="1" applyBorder="1" applyAlignment="1" applyProtection="1">
      <alignment horizontal="center" vertical="center" wrapText="1"/>
      <protection hidden="1"/>
    </xf>
    <xf numFmtId="220" fontId="0" fillId="30" borderId="16" xfId="0" applyFill="1" applyBorder="1" applyAlignment="1">
      <alignment horizontal="center" vertical="center" wrapText="1"/>
    </xf>
    <xf numFmtId="220" fontId="0" fillId="30" borderId="24" xfId="0" applyNumberFormat="1" applyFill="1" applyBorder="1" applyAlignment="1">
      <alignment horizontal="center" vertical="center" wrapText="1"/>
    </xf>
    <xf numFmtId="14" fontId="0" fillId="30" borderId="11" xfId="0" applyNumberFormat="1" applyFill="1" applyBorder="1" applyAlignment="1">
      <alignment horizontal="center" vertical="center" wrapText="1"/>
    </xf>
    <xf numFmtId="14" fontId="0" fillId="30" borderId="11" xfId="0" applyNumberFormat="1" applyFill="1" applyBorder="1" applyAlignment="1">
      <alignment horizontal="left" vertical="center" wrapText="1"/>
    </xf>
    <xf numFmtId="220" fontId="0" fillId="30" borderId="11" xfId="0" applyFill="1" applyBorder="1" applyAlignment="1">
      <alignment horizontal="left" vertical="center" wrapText="1"/>
    </xf>
    <xf numFmtId="49" fontId="6" fillId="30" borderId="11" xfId="183" applyNumberFormat="1" applyFont="1" applyFill="1" applyBorder="1" applyAlignment="1" applyProtection="1">
      <alignment horizontal="center" vertical="center"/>
      <protection hidden="1"/>
    </xf>
    <xf numFmtId="220" fontId="72" fillId="30" borderId="11" xfId="0" applyFont="1" applyFill="1" applyBorder="1" applyAlignment="1">
      <alignment horizontal="center" vertical="center" wrapText="1"/>
    </xf>
    <xf numFmtId="220" fontId="0" fillId="30" borderId="11" xfId="0" applyFill="1" applyBorder="1" applyAlignment="1">
      <alignment horizontal="center" vertical="center"/>
    </xf>
    <xf numFmtId="49" fontId="52" fillId="30" borderId="11" xfId="183" applyNumberFormat="1" applyFont="1" applyFill="1" applyBorder="1" applyAlignment="1" applyProtection="1">
      <alignment horizontal="center" vertical="center" wrapText="1"/>
      <protection hidden="1"/>
    </xf>
    <xf numFmtId="49" fontId="0" fillId="30" borderId="11" xfId="0" applyNumberFormat="1" applyFill="1" applyBorder="1" applyAlignment="1" applyProtection="1">
      <alignment horizontal="center"/>
    </xf>
    <xf numFmtId="220" fontId="3" fillId="0" borderId="0" xfId="0" applyFont="1" applyBorder="1"/>
    <xf numFmtId="180" fontId="67" fillId="0" borderId="0" xfId="0" applyNumberFormat="1" applyFont="1" applyBorder="1"/>
    <xf numFmtId="220" fontId="67" fillId="0" borderId="0" xfId="0" applyFont="1" applyBorder="1"/>
    <xf numFmtId="14" fontId="67" fillId="0" borderId="0" xfId="0" applyNumberFormat="1" applyFont="1" applyBorder="1"/>
    <xf numFmtId="14" fontId="6" fillId="0" borderId="0" xfId="0" applyNumberFormat="1" applyFont="1" applyBorder="1"/>
    <xf numFmtId="217" fontId="67" fillId="0" borderId="0" xfId="0" applyNumberFormat="1" applyFont="1" applyBorder="1"/>
    <xf numFmtId="220" fontId="0" fillId="30" borderId="11" xfId="0" applyFont="1" applyFill="1" applyBorder="1" applyAlignment="1">
      <alignment horizontal="center" wrapText="1"/>
    </xf>
    <xf numFmtId="220" fontId="0" fillId="0" borderId="11" xfId="0" applyFont="1" applyBorder="1" applyAlignment="1">
      <alignment horizontal="center" vertical="center" wrapText="1"/>
    </xf>
    <xf numFmtId="220" fontId="66" fillId="30" borderId="40" xfId="0" applyFont="1" applyFill="1" applyBorder="1" applyAlignment="1">
      <alignment horizontal="center" vertical="center"/>
    </xf>
    <xf numFmtId="220" fontId="3" fillId="0" borderId="0" xfId="0" applyNumberFormat="1" applyFont="1" applyBorder="1"/>
    <xf numFmtId="220" fontId="8" fillId="29" borderId="41" xfId="0" applyFont="1" applyFill="1" applyBorder="1" applyAlignment="1">
      <alignment horizontal="center" vertical="center" wrapText="1"/>
    </xf>
    <xf numFmtId="220" fontId="6" fillId="30" borderId="28" xfId="183" applyNumberFormat="1" applyFont="1" applyFill="1" applyBorder="1" applyAlignment="1" applyProtection="1">
      <alignment horizontal="center" vertical="center"/>
      <protection hidden="1"/>
    </xf>
    <xf numFmtId="49" fontId="6" fillId="30" borderId="11" xfId="183" applyNumberFormat="1" applyFont="1" applyFill="1" applyBorder="1" applyAlignment="1" applyProtection="1">
      <alignment horizontal="left" vertical="center" wrapText="1"/>
      <protection hidden="1"/>
    </xf>
    <xf numFmtId="14" fontId="0" fillId="30" borderId="11" xfId="0" applyNumberFormat="1" applyFont="1" applyFill="1" applyBorder="1" applyAlignment="1">
      <alignment horizontal="center" vertical="center" wrapText="1"/>
    </xf>
    <xf numFmtId="14" fontId="69" fillId="30" borderId="11" xfId="0" applyNumberFormat="1" applyFont="1" applyFill="1" applyBorder="1" applyAlignment="1">
      <alignment horizontal="left" vertical="center" wrapText="1"/>
    </xf>
    <xf numFmtId="220" fontId="6" fillId="30" borderId="11" xfId="0" applyFont="1" applyFill="1" applyBorder="1" applyAlignment="1">
      <alignment horizontal="center" vertical="center" wrapText="1"/>
    </xf>
    <xf numFmtId="49" fontId="6" fillId="30" borderId="11" xfId="53" applyNumberFormat="1" applyFont="1" applyFill="1" applyBorder="1" applyAlignment="1" applyProtection="1">
      <alignment horizontal="center" vertical="center"/>
      <protection locked="0"/>
    </xf>
    <xf numFmtId="220" fontId="6" fillId="0" borderId="0" xfId="0" applyNumberFormat="1" applyFont="1" applyBorder="1"/>
    <xf numFmtId="220" fontId="0" fillId="0" borderId="11" xfId="0" applyBorder="1"/>
    <xf numFmtId="14" fontId="0" fillId="0" borderId="11" xfId="0" applyNumberFormat="1" applyBorder="1"/>
    <xf numFmtId="14" fontId="2" fillId="40" borderId="20" xfId="0" applyNumberFormat="1" applyFont="1" applyFill="1" applyBorder="1" applyAlignment="1">
      <alignment horizontal="center" vertical="center" wrapText="1"/>
    </xf>
    <xf numFmtId="14" fontId="2" fillId="33" borderId="20" xfId="0" applyNumberFormat="1" applyFont="1" applyFill="1" applyBorder="1" applyAlignment="1">
      <alignment horizontal="center" vertical="center" wrapText="1"/>
    </xf>
    <xf numFmtId="220" fontId="72" fillId="0" borderId="11" xfId="0" applyFont="1" applyBorder="1" applyAlignment="1">
      <alignment horizontal="center"/>
    </xf>
    <xf numFmtId="1" fontId="2" fillId="0" borderId="20" xfId="0" applyNumberFormat="1" applyFont="1" applyFill="1" applyBorder="1" applyAlignment="1">
      <alignment horizontal="center" vertical="center" wrapText="1"/>
    </xf>
    <xf numFmtId="220" fontId="0" fillId="30" borderId="11" xfId="0" applyFont="1" applyFill="1" applyBorder="1" applyAlignment="1" applyProtection="1">
      <alignment horizontal="center" vertical="center" wrapText="1"/>
      <protection locked="0"/>
    </xf>
    <xf numFmtId="216" fontId="76" fillId="41" borderId="50" xfId="53" applyNumberFormat="1" applyFont="1" applyFill="1" applyBorder="1" applyAlignment="1" applyProtection="1">
      <alignment horizontal="center" vertical="center" wrapText="1"/>
    </xf>
    <xf numFmtId="218" fontId="76" fillId="42" borderId="51" xfId="53" applyNumberFormat="1" applyFont="1" applyFill="1" applyBorder="1" applyAlignment="1" applyProtection="1">
      <alignment horizontal="center" vertical="center" wrapText="1"/>
    </xf>
    <xf numFmtId="14" fontId="76" fillId="43" borderId="51" xfId="53" applyNumberFormat="1" applyFont="1" applyFill="1" applyBorder="1" applyAlignment="1" applyProtection="1">
      <alignment horizontal="center" vertical="center" wrapText="1"/>
    </xf>
    <xf numFmtId="14" fontId="76" fillId="44" borderId="51" xfId="53" applyNumberFormat="1" applyFont="1" applyFill="1" applyBorder="1" applyAlignment="1" applyProtection="1">
      <alignment horizontal="center" vertical="center" wrapText="1"/>
    </xf>
    <xf numFmtId="14" fontId="76" fillId="45" borderId="52" xfId="53" applyNumberFormat="1" applyFont="1" applyFill="1" applyBorder="1" applyAlignment="1" applyProtection="1">
      <alignment horizontal="center" vertical="center" wrapText="1"/>
    </xf>
    <xf numFmtId="216" fontId="76" fillId="42" borderId="53" xfId="53" applyNumberFormat="1" applyFont="1" applyFill="1" applyBorder="1" applyAlignment="1" applyProtection="1">
      <alignment horizontal="center" vertical="center" wrapText="1"/>
    </xf>
    <xf numFmtId="220" fontId="72" fillId="41" borderId="54" xfId="0" applyFont="1" applyFill="1" applyBorder="1" applyAlignment="1">
      <alignment horizontal="center"/>
    </xf>
    <xf numFmtId="220" fontId="72" fillId="0" borderId="55" xfId="0" applyFont="1" applyBorder="1" applyAlignment="1">
      <alignment horizontal="center"/>
    </xf>
    <xf numFmtId="14" fontId="72" fillId="0" borderId="55" xfId="0" applyNumberFormat="1" applyFont="1" applyBorder="1" applyAlignment="1">
      <alignment horizontal="center"/>
    </xf>
    <xf numFmtId="220" fontId="72" fillId="0" borderId="56" xfId="0" applyFont="1" applyBorder="1" applyAlignment="1">
      <alignment horizontal="center"/>
    </xf>
    <xf numFmtId="220" fontId="72" fillId="0" borderId="56" xfId="0" applyFont="1" applyBorder="1" applyAlignment="1">
      <alignment horizontal="left"/>
    </xf>
    <xf numFmtId="220" fontId="72" fillId="41" borderId="57" xfId="0" applyFont="1" applyFill="1" applyBorder="1" applyAlignment="1">
      <alignment horizontal="center"/>
    </xf>
    <xf numFmtId="220" fontId="72" fillId="0" borderId="58" xfId="0" applyFont="1" applyBorder="1" applyAlignment="1">
      <alignment horizontal="center"/>
    </xf>
    <xf numFmtId="220" fontId="72" fillId="41" borderId="59" xfId="0" applyFont="1" applyFill="1" applyBorder="1" applyAlignment="1">
      <alignment horizontal="center"/>
    </xf>
    <xf numFmtId="220" fontId="72" fillId="0" borderId="60" xfId="0" applyFont="1" applyBorder="1" applyAlignment="1">
      <alignment horizontal="center"/>
    </xf>
    <xf numFmtId="220" fontId="72" fillId="41" borderId="61" xfId="0" applyFont="1" applyFill="1" applyBorder="1" applyAlignment="1">
      <alignment horizontal="center"/>
    </xf>
    <xf numFmtId="220" fontId="72" fillId="0" borderId="62" xfId="0" applyFont="1" applyBorder="1" applyAlignment="1">
      <alignment horizontal="center"/>
    </xf>
    <xf numFmtId="14" fontId="72" fillId="0" borderId="62" xfId="0" applyNumberFormat="1" applyFont="1" applyBorder="1" applyAlignment="1">
      <alignment horizontal="center"/>
    </xf>
    <xf numFmtId="220" fontId="72" fillId="0" borderId="63" xfId="0" applyFont="1" applyBorder="1" applyAlignment="1">
      <alignment horizontal="center"/>
    </xf>
    <xf numFmtId="220" fontId="72" fillId="41" borderId="64" xfId="0" applyFont="1" applyFill="1" applyBorder="1" applyAlignment="1">
      <alignment horizontal="center"/>
    </xf>
    <xf numFmtId="220" fontId="72" fillId="0" borderId="0" xfId="0" applyFont="1" applyAlignment="1">
      <alignment horizontal="left"/>
    </xf>
    <xf numFmtId="220" fontId="72" fillId="0" borderId="0" xfId="0" applyFont="1" applyFill="1" applyAlignment="1">
      <alignment horizontal="center"/>
    </xf>
    <xf numFmtId="220" fontId="72" fillId="0" borderId="0" xfId="0" applyFont="1" applyAlignment="1">
      <alignment horizontal="center"/>
    </xf>
    <xf numFmtId="220" fontId="3" fillId="0" borderId="0" xfId="0" applyFont="1" applyAlignment="1">
      <alignment horizontal="center"/>
    </xf>
    <xf numFmtId="220" fontId="3" fillId="0" borderId="0" xfId="0" applyFont="1" applyAlignment="1">
      <alignment horizontal="center" vertical="center"/>
    </xf>
    <xf numFmtId="2" fontId="2" fillId="0" borderId="20" xfId="0" applyNumberFormat="1" applyFont="1" applyFill="1" applyBorder="1" applyAlignment="1">
      <alignment horizontal="center" vertical="center" wrapText="1"/>
    </xf>
    <xf numFmtId="220" fontId="72" fillId="0" borderId="66" xfId="0" applyFont="1" applyBorder="1" applyAlignment="1">
      <alignment horizontal="left"/>
    </xf>
    <xf numFmtId="220" fontId="72" fillId="0" borderId="65" xfId="0" applyFont="1" applyBorder="1" applyAlignment="1">
      <alignment horizontal="left"/>
    </xf>
    <xf numFmtId="219" fontId="72" fillId="0" borderId="55" xfId="0" applyNumberFormat="1" applyFont="1" applyBorder="1" applyAlignment="1">
      <alignment horizontal="center"/>
    </xf>
    <xf numFmtId="219" fontId="72" fillId="0" borderId="62" xfId="0" applyNumberFormat="1" applyFont="1" applyBorder="1" applyAlignment="1">
      <alignment horizontal="center"/>
    </xf>
    <xf numFmtId="220" fontId="3" fillId="0" borderId="0" xfId="0" applyFont="1"/>
    <xf numFmtId="14" fontId="80" fillId="39" borderId="0" xfId="0" applyNumberFormat="1" applyFont="1" applyFill="1" applyAlignment="1">
      <alignment horizontal="center" vertical="center"/>
    </xf>
    <xf numFmtId="14" fontId="3" fillId="40" borderId="0" xfId="0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14" fontId="3" fillId="33" borderId="0" xfId="0" applyNumberFormat="1" applyFont="1" applyFill="1" applyAlignment="1">
      <alignment horizontal="center" vertical="center"/>
    </xf>
    <xf numFmtId="220" fontId="3" fillId="0" borderId="0" xfId="0" applyFont="1" applyAlignment="1">
      <alignment horizontal="left" vertical="center"/>
    </xf>
    <xf numFmtId="14" fontId="80" fillId="0" borderId="0" xfId="0" applyNumberFormat="1" applyFont="1" applyFill="1" applyAlignment="1">
      <alignment horizontal="center" vertical="center"/>
    </xf>
    <xf numFmtId="220" fontId="88" fillId="0" borderId="0" xfId="0" applyFont="1"/>
    <xf numFmtId="220" fontId="89" fillId="40" borderId="0" xfId="191" applyFont="1" applyFill="1"/>
    <xf numFmtId="220" fontId="88" fillId="40" borderId="0" xfId="0" applyFont="1" applyFill="1"/>
    <xf numFmtId="220" fontId="90" fillId="0" borderId="0" xfId="0" applyFont="1"/>
    <xf numFmtId="220" fontId="91" fillId="0" borderId="0" xfId="0" applyFont="1"/>
    <xf numFmtId="14" fontId="6" fillId="0" borderId="0" xfId="0" applyNumberFormat="1" applyFont="1" applyBorder="1" applyAlignment="1">
      <alignment horizontal="center" vertical="center"/>
    </xf>
    <xf numFmtId="220" fontId="6" fillId="0" borderId="0" xfId="0" applyFont="1" applyBorder="1" applyAlignment="1">
      <alignment horizontal="center" vertical="center"/>
    </xf>
    <xf numFmtId="220" fontId="92" fillId="46" borderId="11" xfId="0" applyNumberFormat="1" applyFont="1" applyFill="1" applyBorder="1" applyAlignment="1">
      <alignment horizontal="center" vertical="center"/>
    </xf>
    <xf numFmtId="220" fontId="73" fillId="46" borderId="11" xfId="0" applyFont="1" applyFill="1" applyBorder="1" applyAlignment="1">
      <alignment horizontal="center" vertical="center"/>
    </xf>
    <xf numFmtId="180" fontId="6" fillId="0" borderId="11" xfId="0" applyNumberFormat="1" applyFont="1" applyBorder="1" applyAlignment="1">
      <alignment horizontal="center"/>
    </xf>
    <xf numFmtId="14" fontId="6" fillId="0" borderId="11" xfId="0" applyNumberFormat="1" applyFont="1" applyBorder="1" applyAlignment="1">
      <alignment horizontal="center"/>
    </xf>
    <xf numFmtId="220" fontId="6" fillId="0" borderId="11" xfId="0" applyFont="1" applyBorder="1" applyAlignment="1">
      <alignment horizontal="center"/>
    </xf>
    <xf numFmtId="220" fontId="8" fillId="29" borderId="34" xfId="0" applyFont="1" applyFill="1" applyBorder="1" applyAlignment="1">
      <alignment horizontal="center" vertical="center" wrapText="1"/>
    </xf>
    <xf numFmtId="14" fontId="8" fillId="29" borderId="33" xfId="0" applyNumberFormat="1" applyFont="1" applyFill="1" applyBorder="1" applyAlignment="1">
      <alignment horizontal="center" vertical="center" wrapText="1"/>
    </xf>
    <xf numFmtId="14" fontId="0" fillId="0" borderId="16" xfId="0" applyNumberFormat="1" applyFont="1" applyBorder="1" applyAlignment="1">
      <alignment horizontal="center" vertical="center" wrapText="1"/>
    </xf>
    <xf numFmtId="220" fontId="0" fillId="30" borderId="36" xfId="0" applyFont="1" applyFill="1" applyBorder="1" applyAlignment="1">
      <alignment horizontal="center" wrapText="1"/>
    </xf>
    <xf numFmtId="220" fontId="93" fillId="0" borderId="16" xfId="0" applyFont="1" applyBorder="1" applyAlignment="1">
      <alignment horizontal="left" vertical="center" wrapText="1"/>
    </xf>
    <xf numFmtId="220" fontId="0" fillId="30" borderId="49" xfId="0" applyFont="1" applyFill="1" applyBorder="1" applyAlignment="1">
      <alignment horizontal="center" wrapText="1"/>
    </xf>
    <xf numFmtId="220" fontId="0" fillId="30" borderId="11" xfId="0" applyFont="1" applyFill="1" applyBorder="1" applyAlignment="1">
      <alignment horizontal="center" vertical="center" wrapText="1"/>
    </xf>
    <xf numFmtId="14" fontId="0" fillId="0" borderId="11" xfId="0" applyNumberFormat="1" applyFont="1" applyBorder="1" applyAlignment="1">
      <alignment horizontal="center" vertical="center" wrapText="1"/>
    </xf>
    <xf numFmtId="220" fontId="0" fillId="30" borderId="28" xfId="0" applyFill="1" applyBorder="1" applyAlignment="1">
      <alignment horizontal="center" vertical="center" wrapText="1"/>
    </xf>
    <xf numFmtId="220" fontId="0" fillId="0" borderId="0" xfId="0" applyAlignment="1"/>
    <xf numFmtId="9" fontId="6" fillId="0" borderId="11" xfId="0" applyNumberFormat="1" applyFont="1" applyBorder="1" applyAlignment="1">
      <alignment horizontal="center" vertical="center"/>
    </xf>
    <xf numFmtId="14" fontId="6" fillId="0" borderId="21" xfId="0" applyNumberFormat="1" applyFont="1" applyBorder="1" applyAlignment="1">
      <alignment horizontal="center" vertical="center"/>
    </xf>
    <xf numFmtId="220" fontId="6" fillId="0" borderId="36" xfId="0" applyFont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 vertical="center"/>
    </xf>
    <xf numFmtId="9" fontId="6" fillId="0" borderId="16" xfId="0" applyNumberFormat="1" applyFont="1" applyBorder="1" applyAlignment="1">
      <alignment horizontal="center" vertical="center"/>
    </xf>
    <xf numFmtId="220" fontId="8" fillId="0" borderId="36" xfId="0" applyFont="1" applyFill="1" applyBorder="1" applyAlignment="1">
      <alignment horizontal="center" vertical="center" wrapText="1"/>
    </xf>
    <xf numFmtId="220" fontId="8" fillId="0" borderId="17" xfId="0" applyFont="1" applyFill="1" applyBorder="1" applyAlignment="1">
      <alignment horizontal="center" vertical="center" wrapText="1"/>
    </xf>
    <xf numFmtId="220" fontId="8" fillId="0" borderId="18" xfId="0" applyFont="1" applyFill="1" applyBorder="1" applyAlignment="1">
      <alignment horizontal="center" vertical="center" wrapText="1"/>
    </xf>
    <xf numFmtId="220" fontId="8" fillId="0" borderId="41" xfId="0" applyFont="1" applyFill="1" applyBorder="1" applyAlignment="1">
      <alignment horizontal="center" vertical="center" wrapText="1"/>
    </xf>
    <xf numFmtId="220" fontId="3" fillId="0" borderId="24" xfId="0" applyNumberFormat="1" applyFont="1" applyFill="1" applyBorder="1" applyAlignment="1">
      <alignment horizontal="center" vertical="center" wrapText="1"/>
    </xf>
    <xf numFmtId="220" fontId="0" fillId="0" borderId="39" xfId="0" applyNumberFormat="1" applyFill="1" applyBorder="1" applyAlignment="1">
      <alignment horizontal="center" vertical="center" wrapText="1"/>
    </xf>
    <xf numFmtId="49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1" xfId="0" applyNumberFormat="1" applyFill="1" applyBorder="1" applyAlignment="1" applyProtection="1">
      <alignment horizontal="left"/>
    </xf>
    <xf numFmtId="49" fontId="0" fillId="0" borderId="11" xfId="0" applyNumberFormat="1" applyFill="1" applyBorder="1" applyAlignment="1" applyProtection="1">
      <alignment horizontal="center"/>
    </xf>
    <xf numFmtId="220" fontId="8" fillId="0" borderId="25" xfId="0" applyFont="1" applyFill="1" applyBorder="1" applyAlignment="1">
      <alignment horizontal="center" vertical="center" wrapText="1"/>
    </xf>
    <xf numFmtId="220" fontId="8" fillId="0" borderId="26" xfId="0" applyFont="1" applyFill="1" applyBorder="1" applyAlignment="1">
      <alignment horizontal="center" vertical="center" wrapText="1"/>
    </xf>
    <xf numFmtId="220" fontId="6" fillId="0" borderId="21" xfId="0" applyFont="1" applyFill="1" applyBorder="1" applyAlignment="1">
      <alignment horizontal="center" vertical="center" wrapText="1"/>
    </xf>
    <xf numFmtId="14" fontId="8" fillId="0" borderId="11" xfId="0" applyNumberFormat="1" applyFont="1" applyFill="1" applyBorder="1" applyAlignment="1">
      <alignment horizontal="center" vertical="center" wrapText="1"/>
    </xf>
    <xf numFmtId="220" fontId="56" fillId="0" borderId="11" xfId="0" applyFont="1" applyFill="1" applyBorder="1" applyAlignment="1">
      <alignment horizontal="center" vertical="center" wrapText="1"/>
    </xf>
    <xf numFmtId="220" fontId="57" fillId="0" borderId="11" xfId="0" applyFont="1" applyFill="1" applyBorder="1" applyAlignment="1">
      <alignment horizontal="center" vertical="center" wrapText="1"/>
    </xf>
    <xf numFmtId="220" fontId="0" fillId="0" borderId="11" xfId="0" applyNumberFormat="1" applyFont="1" applyFill="1" applyBorder="1" applyAlignment="1" applyProtection="1">
      <alignment horizontal="center" vertical="center" wrapText="1"/>
      <protection hidden="1"/>
    </xf>
    <xf numFmtId="1" fontId="0" fillId="30" borderId="24" xfId="0" applyNumberFormat="1" applyFill="1" applyBorder="1" applyAlignment="1">
      <alignment horizontal="center" vertical="center" wrapText="1"/>
    </xf>
    <xf numFmtId="1" fontId="0" fillId="30" borderId="39" xfId="0" applyNumberFormat="1" applyFill="1" applyBorder="1" applyAlignment="1">
      <alignment horizontal="center" vertical="center" wrapText="1"/>
    </xf>
    <xf numFmtId="14" fontId="9" fillId="30" borderId="11" xfId="0" applyNumberFormat="1" applyFont="1" applyFill="1" applyBorder="1" applyAlignment="1">
      <alignment horizontal="center" vertical="center" wrapText="1"/>
    </xf>
    <xf numFmtId="220" fontId="87" fillId="40" borderId="0" xfId="191" applyFill="1"/>
    <xf numFmtId="220" fontId="6" fillId="34" borderId="11" xfId="0" applyFont="1" applyFill="1" applyBorder="1"/>
    <xf numFmtId="220" fontId="0" fillId="34" borderId="0" xfId="0" applyFont="1" applyFill="1"/>
    <xf numFmtId="180" fontId="6" fillId="34" borderId="11" xfId="0" applyNumberFormat="1" applyFont="1" applyFill="1" applyBorder="1"/>
    <xf numFmtId="220" fontId="6" fillId="34" borderId="0" xfId="0" applyFont="1" applyFill="1" applyBorder="1"/>
    <xf numFmtId="180" fontId="6" fillId="47" borderId="11" xfId="0" applyNumberFormat="1" applyFont="1" applyFill="1" applyBorder="1" applyAlignment="1">
      <alignment horizontal="center" vertical="center"/>
    </xf>
    <xf numFmtId="14" fontId="0" fillId="34" borderId="11" xfId="0" applyNumberFormat="1" applyFill="1" applyBorder="1" applyAlignment="1">
      <alignment horizontal="center" vertical="center" wrapText="1"/>
    </xf>
    <xf numFmtId="220" fontId="99" fillId="0" borderId="16" xfId="183" applyNumberFormat="1" applyFont="1" applyFill="1" applyBorder="1" applyAlignment="1" applyProtection="1">
      <alignment horizontal="center" vertical="center" wrapText="1"/>
      <protection locked="0" hidden="1"/>
    </xf>
    <xf numFmtId="49" fontId="6" fillId="0" borderId="11" xfId="0" applyNumberFormat="1" applyFont="1" applyFill="1" applyBorder="1" applyAlignment="1">
      <alignment horizontal="left" vertical="center"/>
    </xf>
    <xf numFmtId="220" fontId="6" fillId="0" borderId="11" xfId="0" applyNumberFormat="1" applyFont="1" applyFill="1" applyBorder="1" applyAlignment="1">
      <alignment horizontal="left" vertical="center"/>
    </xf>
    <xf numFmtId="49" fontId="6" fillId="0" borderId="11" xfId="0" applyNumberFormat="1" applyFont="1" applyFill="1" applyBorder="1" applyAlignment="1">
      <alignment horizontal="center" vertical="center"/>
    </xf>
    <xf numFmtId="49" fontId="6" fillId="0" borderId="11" xfId="0" applyNumberFormat="1" applyFont="1" applyFill="1" applyBorder="1" applyAlignment="1">
      <alignment vertical="center"/>
    </xf>
    <xf numFmtId="49" fontId="99" fillId="0" borderId="16" xfId="183" applyNumberFormat="1" applyFont="1" applyFill="1" applyBorder="1" applyAlignment="1" applyProtection="1">
      <alignment horizontal="center" vertical="center" wrapText="1"/>
      <protection hidden="1"/>
    </xf>
    <xf numFmtId="14" fontId="0" fillId="0" borderId="16" xfId="0" applyNumberFormat="1" applyFill="1" applyBorder="1" applyAlignment="1">
      <alignment horizontal="left" vertical="center" wrapText="1"/>
    </xf>
    <xf numFmtId="220" fontId="0" fillId="0" borderId="16" xfId="0" applyFill="1" applyBorder="1" applyAlignment="1">
      <alignment horizontal="left" vertical="center" wrapText="1"/>
    </xf>
    <xf numFmtId="220" fontId="6" fillId="0" borderId="11" xfId="0" applyFont="1" applyFill="1" applyBorder="1" applyAlignment="1">
      <alignment horizontal="center" vertical="center"/>
    </xf>
    <xf numFmtId="49" fontId="99" fillId="0" borderId="11" xfId="183" applyNumberFormat="1" applyFont="1" applyFill="1" applyBorder="1" applyAlignment="1" applyProtection="1">
      <alignment horizontal="center" vertical="center" wrapText="1"/>
      <protection hidden="1"/>
    </xf>
    <xf numFmtId="49" fontId="6" fillId="30" borderId="11" xfId="0" applyNumberFormat="1" applyFont="1" applyFill="1" applyBorder="1" applyAlignment="1">
      <alignment horizontal="left" vertical="center"/>
    </xf>
    <xf numFmtId="220" fontId="6" fillId="30" borderId="11" xfId="0" applyNumberFormat="1" applyFont="1" applyFill="1" applyBorder="1" applyAlignment="1">
      <alignment horizontal="left" vertical="center"/>
    </xf>
    <xf numFmtId="49" fontId="52" fillId="0" borderId="11" xfId="0" applyNumberFormat="1" applyFont="1" applyFill="1" applyBorder="1" applyAlignment="1">
      <alignment horizontal="center" vertical="center"/>
    </xf>
    <xf numFmtId="49" fontId="6" fillId="30" borderId="11" xfId="0" applyNumberFormat="1" applyFont="1" applyFill="1" applyBorder="1" applyAlignment="1">
      <alignment horizontal="center" vertical="center"/>
    </xf>
    <xf numFmtId="49" fontId="6" fillId="30" borderId="11" xfId="0" applyNumberFormat="1" applyFont="1" applyFill="1" applyBorder="1" applyAlignment="1">
      <alignment vertical="center"/>
    </xf>
    <xf numFmtId="220" fontId="6" fillId="0" borderId="11" xfId="0" applyNumberFormat="1" applyFont="1" applyFill="1" applyBorder="1" applyAlignment="1">
      <alignment horizontal="center" vertical="center"/>
    </xf>
    <xf numFmtId="220" fontId="66" fillId="0" borderId="67" xfId="0" applyFont="1" applyFill="1" applyBorder="1" applyAlignment="1">
      <alignment horizontal="center" vertical="center" wrapText="1"/>
    </xf>
    <xf numFmtId="14" fontId="69" fillId="0" borderId="11" xfId="0" applyNumberFormat="1" applyFont="1" applyFill="1" applyBorder="1" applyAlignment="1">
      <alignment horizontal="left" vertical="center" wrapText="1"/>
    </xf>
    <xf numFmtId="220" fontId="0" fillId="0" borderId="11" xfId="0" applyNumberFormat="1" applyFill="1" applyBorder="1" applyAlignment="1">
      <alignment horizontal="left" vertical="center" wrapText="1"/>
    </xf>
    <xf numFmtId="14" fontId="0" fillId="0" borderId="11" xfId="0" applyNumberFormat="1" applyFont="1" applyBorder="1" applyAlignment="1">
      <alignment horizontal="left" vertical="center" wrapText="1"/>
    </xf>
    <xf numFmtId="49" fontId="52" fillId="0" borderId="16" xfId="183" applyNumberFormat="1" applyFont="1" applyFill="1" applyBorder="1" applyAlignment="1" applyProtection="1">
      <alignment horizontal="center" vertical="center" wrapText="1"/>
      <protection hidden="1"/>
    </xf>
    <xf numFmtId="220" fontId="6" fillId="49" borderId="11" xfId="0" applyFont="1" applyFill="1" applyBorder="1"/>
    <xf numFmtId="180" fontId="6" fillId="49" borderId="11" xfId="0" applyNumberFormat="1" applyFont="1" applyFill="1" applyBorder="1"/>
    <xf numFmtId="220" fontId="6" fillId="49" borderId="0" xfId="0" applyFont="1" applyFill="1" applyBorder="1"/>
    <xf numFmtId="220" fontId="0" fillId="49" borderId="0" xfId="0" applyFont="1" applyFill="1"/>
    <xf numFmtId="180" fontId="6" fillId="49" borderId="11" xfId="0" applyNumberFormat="1" applyFont="1" applyFill="1" applyBorder="1" applyAlignment="1">
      <alignment horizontal="center"/>
    </xf>
    <xf numFmtId="14" fontId="6" fillId="49" borderId="11" xfId="0" applyNumberFormat="1" applyFont="1" applyFill="1" applyBorder="1" applyAlignment="1">
      <alignment horizontal="center"/>
    </xf>
    <xf numFmtId="220" fontId="6" fillId="49" borderId="11" xfId="0" applyFont="1" applyFill="1" applyBorder="1" applyAlignment="1">
      <alignment horizontal="center"/>
    </xf>
    <xf numFmtId="14" fontId="62" fillId="35" borderId="11" xfId="0" applyNumberFormat="1" applyFont="1" applyFill="1" applyBorder="1"/>
    <xf numFmtId="14" fontId="62" fillId="49" borderId="11" xfId="0" applyNumberFormat="1" applyFont="1" applyFill="1" applyBorder="1"/>
    <xf numFmtId="14" fontId="62" fillId="34" borderId="11" xfId="0" applyNumberFormat="1" applyFont="1" applyFill="1" applyBorder="1"/>
    <xf numFmtId="14" fontId="62" fillId="48" borderId="11" xfId="0" applyNumberFormat="1" applyFont="1" applyFill="1" applyBorder="1"/>
    <xf numFmtId="220" fontId="6" fillId="48" borderId="11" xfId="0" applyFont="1" applyFill="1" applyBorder="1"/>
    <xf numFmtId="180" fontId="6" fillId="48" borderId="11" xfId="0" applyNumberFormat="1" applyFont="1" applyFill="1" applyBorder="1"/>
    <xf numFmtId="220" fontId="6" fillId="48" borderId="0" xfId="0" applyFont="1" applyFill="1" applyBorder="1"/>
    <xf numFmtId="220" fontId="63" fillId="48" borderId="30" xfId="0" applyFont="1" applyFill="1" applyBorder="1" applyAlignment="1">
      <alignment horizontal="center" vertical="center"/>
    </xf>
    <xf numFmtId="220" fontId="62" fillId="48" borderId="21" xfId="0" applyFont="1" applyFill="1" applyBorder="1" applyAlignment="1">
      <alignment horizontal="center" vertical="center" wrapText="1"/>
    </xf>
    <xf numFmtId="220" fontId="62" fillId="48" borderId="28" xfId="0" applyFont="1" applyFill="1" applyBorder="1" applyAlignment="1">
      <alignment horizontal="center" vertical="center" wrapText="1"/>
    </xf>
    <xf numFmtId="220" fontId="62" fillId="48" borderId="16" xfId="0" applyFont="1" applyFill="1" applyBorder="1" applyAlignment="1">
      <alignment horizontal="center" vertical="center" wrapText="1"/>
    </xf>
    <xf numFmtId="220" fontId="63" fillId="48" borderId="11" xfId="0" applyFont="1" applyFill="1" applyBorder="1" applyAlignment="1">
      <alignment horizontal="center" vertical="center"/>
    </xf>
    <xf numFmtId="220" fontId="62" fillId="48" borderId="11" xfId="0" applyFont="1" applyFill="1" applyBorder="1" applyAlignment="1">
      <alignment horizontal="center" vertical="center" wrapText="1"/>
    </xf>
    <xf numFmtId="220" fontId="71" fillId="48" borderId="11" xfId="0" applyFont="1" applyFill="1" applyBorder="1" applyAlignment="1">
      <alignment horizontal="center" vertical="center"/>
    </xf>
    <xf numFmtId="180" fontId="95" fillId="48" borderId="11" xfId="0" applyNumberFormat="1" applyFont="1" applyFill="1" applyBorder="1" applyAlignment="1">
      <alignment horizontal="center" vertical="center"/>
    </xf>
    <xf numFmtId="180" fontId="6" fillId="48" borderId="11" xfId="0" applyNumberFormat="1" applyFont="1" applyFill="1" applyBorder="1" applyAlignment="1">
      <alignment horizontal="center" vertical="center"/>
    </xf>
    <xf numFmtId="220" fontId="71" fillId="48" borderId="0" xfId="0" applyFont="1" applyFill="1" applyBorder="1"/>
    <xf numFmtId="220" fontId="96" fillId="48" borderId="11" xfId="0" applyFont="1" applyFill="1" applyBorder="1" applyAlignment="1">
      <alignment horizontal="center" vertical="center"/>
    </xf>
    <xf numFmtId="180" fontId="97" fillId="48" borderId="11" xfId="0" applyNumberFormat="1" applyFont="1" applyFill="1" applyBorder="1" applyAlignment="1">
      <alignment horizontal="center" vertical="center"/>
    </xf>
    <xf numFmtId="220" fontId="52" fillId="0" borderId="16" xfId="183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11" xfId="0" applyNumberFormat="1" applyFont="1" applyFill="1" applyBorder="1" applyAlignment="1" applyProtection="1">
      <alignment horizontal="center" vertical="center"/>
      <protection locked="0"/>
    </xf>
    <xf numFmtId="220" fontId="52" fillId="0" borderId="11" xfId="183" applyNumberFormat="1" applyFont="1" applyFill="1" applyBorder="1" applyAlignment="1" applyProtection="1">
      <alignment horizontal="center" vertical="center" wrapText="1"/>
      <protection locked="0" hidden="1"/>
    </xf>
    <xf numFmtId="220" fontId="0" fillId="0" borderId="16" xfId="0" applyFont="1" applyFill="1" applyBorder="1" applyAlignment="1">
      <alignment horizontal="center" vertical="center" wrapText="1"/>
    </xf>
    <xf numFmtId="220" fontId="62" fillId="34" borderId="11" xfId="0" applyFont="1" applyFill="1" applyBorder="1" applyAlignment="1">
      <alignment horizontal="center" vertical="center"/>
    </xf>
    <xf numFmtId="180" fontId="6" fillId="34" borderId="11" xfId="0" applyNumberFormat="1" applyFont="1" applyFill="1" applyBorder="1" applyAlignment="1">
      <alignment horizontal="center" vertical="center"/>
    </xf>
    <xf numFmtId="180" fontId="95" fillId="34" borderId="11" xfId="0" applyNumberFormat="1" applyFont="1" applyFill="1" applyBorder="1" applyAlignment="1">
      <alignment horizontal="center" vertical="center"/>
    </xf>
    <xf numFmtId="220" fontId="71" fillId="34" borderId="11" xfId="0" applyFont="1" applyFill="1" applyBorder="1" applyAlignment="1">
      <alignment horizontal="center" vertical="center"/>
    </xf>
    <xf numFmtId="180" fontId="6" fillId="39" borderId="11" xfId="0" applyNumberFormat="1" applyFont="1" applyFill="1" applyBorder="1"/>
    <xf numFmtId="220" fontId="106" fillId="0" borderId="11" xfId="0" applyFont="1" applyFill="1" applyBorder="1" applyAlignment="1">
      <alignment horizontal="center" vertical="center" wrapText="1"/>
    </xf>
    <xf numFmtId="49" fontId="107" fillId="0" borderId="11" xfId="183" applyNumberFormat="1" applyFont="1" applyFill="1" applyBorder="1" applyAlignment="1" applyProtection="1">
      <alignment horizontal="center" vertical="center" wrapText="1"/>
      <protection hidden="1"/>
    </xf>
    <xf numFmtId="14" fontId="0" fillId="34" borderId="11" xfId="0" applyNumberFormat="1" applyFont="1" applyFill="1" applyBorder="1" applyAlignment="1">
      <alignment horizontal="center" vertical="center" wrapText="1"/>
    </xf>
    <xf numFmtId="49" fontId="107" fillId="50" borderId="11" xfId="183" applyNumberFormat="1" applyFont="1" applyFill="1" applyBorder="1" applyAlignment="1" applyProtection="1">
      <alignment horizontal="center" vertical="center" wrapText="1"/>
      <protection hidden="1"/>
    </xf>
    <xf numFmtId="14" fontId="62" fillId="51" borderId="11" xfId="0" applyNumberFormat="1" applyFont="1" applyFill="1" applyBorder="1"/>
    <xf numFmtId="220" fontId="6" fillId="51" borderId="11" xfId="0" applyFont="1" applyFill="1" applyBorder="1"/>
    <xf numFmtId="180" fontId="6" fillId="51" borderId="11" xfId="0" applyNumberFormat="1" applyFont="1" applyFill="1" applyBorder="1"/>
    <xf numFmtId="220" fontId="6" fillId="51" borderId="0" xfId="0" applyFont="1" applyFill="1" applyBorder="1"/>
    <xf numFmtId="220" fontId="65" fillId="51" borderId="0" xfId="0" applyFont="1" applyFill="1" applyBorder="1" applyAlignment="1">
      <alignment vertical="center" wrapText="1"/>
    </xf>
    <xf numFmtId="220" fontId="63" fillId="51" borderId="0" xfId="0" applyFont="1" applyFill="1" applyBorder="1" applyAlignment="1">
      <alignment vertical="center" wrapText="1"/>
    </xf>
    <xf numFmtId="220" fontId="0" fillId="51" borderId="0" xfId="0" applyFont="1" applyFill="1"/>
    <xf numFmtId="220" fontId="6" fillId="52" borderId="11" xfId="0" applyFont="1" applyFill="1" applyBorder="1" applyAlignment="1">
      <alignment horizontal="center" vertical="center"/>
    </xf>
    <xf numFmtId="220" fontId="0" fillId="0" borderId="68" xfId="0" applyFill="1" applyBorder="1" applyAlignment="1">
      <alignment vertical="center"/>
    </xf>
    <xf numFmtId="220" fontId="0" fillId="37" borderId="68" xfId="0" applyFill="1" applyBorder="1" applyAlignment="1">
      <alignment vertical="center"/>
    </xf>
    <xf numFmtId="180" fontId="95" fillId="47" borderId="11" xfId="0" applyNumberFormat="1" applyFont="1" applyFill="1" applyBorder="1" applyAlignment="1">
      <alignment horizontal="center" vertical="center"/>
    </xf>
    <xf numFmtId="14" fontId="69" fillId="34" borderId="11" xfId="0" applyNumberFormat="1" applyFont="1" applyFill="1" applyBorder="1" applyAlignment="1">
      <alignment horizontal="center" vertical="center" wrapText="1"/>
    </xf>
    <xf numFmtId="180" fontId="92" fillId="46" borderId="11" xfId="0" applyNumberFormat="1" applyFont="1" applyFill="1" applyBorder="1" applyAlignment="1">
      <alignment horizontal="center" vertical="center"/>
    </xf>
    <xf numFmtId="220" fontId="62" fillId="48" borderId="11" xfId="0" applyFont="1" applyFill="1" applyBorder="1" applyAlignment="1">
      <alignment horizontal="center" vertical="center"/>
    </xf>
    <xf numFmtId="220" fontId="62" fillId="36" borderId="11" xfId="0" applyNumberFormat="1" applyFont="1" applyFill="1" applyBorder="1" applyAlignment="1">
      <alignment textRotation="180" wrapText="1"/>
    </xf>
    <xf numFmtId="220" fontId="62" fillId="34" borderId="11" xfId="0" applyNumberFormat="1" applyFont="1" applyFill="1" applyBorder="1" applyAlignment="1">
      <alignment textRotation="180" wrapText="1"/>
    </xf>
    <xf numFmtId="220" fontId="62" fillId="37" borderId="11" xfId="0" applyNumberFormat="1" applyFont="1" applyFill="1" applyBorder="1" applyAlignment="1">
      <alignment textRotation="180" wrapText="1"/>
    </xf>
    <xf numFmtId="220" fontId="66" fillId="34" borderId="67" xfId="0" applyFont="1" applyFill="1" applyBorder="1" applyAlignment="1">
      <alignment horizontal="center" vertical="center" wrapText="1"/>
    </xf>
    <xf numFmtId="220" fontId="28" fillId="0" borderId="0" xfId="0" applyFont="1" applyAlignment="1">
      <alignment horizontal="left" vertical="center"/>
    </xf>
    <xf numFmtId="14" fontId="9" fillId="0" borderId="11" xfId="0" applyNumberFormat="1" applyFont="1" applyFill="1" applyBorder="1" applyAlignment="1">
      <alignment horizontal="center" vertical="center" wrapText="1"/>
    </xf>
    <xf numFmtId="49" fontId="52" fillId="0" borderId="16" xfId="183" applyNumberFormat="1" applyFont="1" applyFill="1" applyBorder="1" applyAlignment="1" applyProtection="1">
      <alignment horizontal="center" vertical="center"/>
      <protection hidden="1"/>
    </xf>
    <xf numFmtId="14" fontId="9" fillId="0" borderId="11" xfId="0" applyNumberFormat="1" applyFont="1" applyFill="1" applyBorder="1" applyAlignment="1">
      <alignment horizontal="left" vertical="center" wrapText="1"/>
    </xf>
    <xf numFmtId="221" fontId="2" fillId="0" borderId="11" xfId="194" applyNumberFormat="1" applyFont="1" applyFill="1" applyBorder="1" applyAlignment="1" applyProtection="1">
      <alignment horizontal="center" vertical="center"/>
      <protection locked="0"/>
    </xf>
    <xf numFmtId="220" fontId="94" fillId="0" borderId="11" xfId="0" applyFont="1" applyFill="1" applyBorder="1" applyAlignment="1">
      <alignment horizontal="center" vertical="center"/>
    </xf>
    <xf numFmtId="49" fontId="2" fillId="37" borderId="11" xfId="0" applyNumberFormat="1" applyFont="1" applyFill="1" applyBorder="1" applyAlignment="1">
      <alignment horizontal="center"/>
    </xf>
    <xf numFmtId="49" fontId="2" fillId="37" borderId="11" xfId="0" applyNumberFormat="1" applyFont="1" applyFill="1" applyBorder="1" applyAlignment="1"/>
    <xf numFmtId="49" fontId="2" fillId="37" borderId="11" xfId="0" applyNumberFormat="1" applyFont="1" applyFill="1" applyBorder="1" applyAlignment="1">
      <alignment horizontal="left"/>
    </xf>
    <xf numFmtId="49" fontId="2" fillId="0" borderId="11" xfId="0" applyNumberFormat="1" applyFont="1" applyFill="1" applyBorder="1" applyAlignment="1">
      <alignment horizontal="center"/>
    </xf>
    <xf numFmtId="49" fontId="2" fillId="0" borderId="11" xfId="0" applyNumberFormat="1" applyFont="1" applyFill="1" applyBorder="1" applyAlignment="1"/>
    <xf numFmtId="49" fontId="2" fillId="0" borderId="11" xfId="0" applyNumberFormat="1" applyFont="1" applyFill="1" applyBorder="1" applyAlignment="1">
      <alignment horizontal="left"/>
    </xf>
    <xf numFmtId="216" fontId="2" fillId="0" borderId="11" xfId="194" applyNumberFormat="1" applyFont="1" applyFill="1" applyBorder="1" applyAlignment="1" applyProtection="1">
      <alignment vertical="center"/>
      <protection locked="0"/>
    </xf>
    <xf numFmtId="216" fontId="2" fillId="37" borderId="11" xfId="194" applyNumberFormat="1" applyFont="1" applyFill="1" applyBorder="1" applyAlignment="1" applyProtection="1">
      <alignment vertical="center"/>
      <protection locked="0"/>
    </xf>
    <xf numFmtId="216" fontId="2" fillId="0" borderId="11" xfId="194" applyNumberFormat="1" applyFont="1" applyFill="1" applyBorder="1" applyAlignment="1" applyProtection="1">
      <alignment horizontal="left" vertical="center"/>
      <protection locked="0"/>
    </xf>
    <xf numFmtId="220" fontId="94" fillId="37" borderId="11" xfId="0" applyFont="1" applyFill="1" applyBorder="1" applyAlignment="1">
      <alignment horizontal="center" vertical="center"/>
    </xf>
    <xf numFmtId="14" fontId="94" fillId="0" borderId="11" xfId="195" applyNumberFormat="1" applyFont="1" applyFill="1" applyBorder="1" applyAlignment="1">
      <alignment horizontal="center" vertical="center"/>
    </xf>
    <xf numFmtId="14" fontId="94" fillId="37" borderId="11" xfId="195" applyNumberFormat="1" applyFont="1" applyFill="1" applyBorder="1" applyAlignment="1">
      <alignment horizontal="center" vertical="center"/>
    </xf>
    <xf numFmtId="14" fontId="9" fillId="0" borderId="16" xfId="0" applyNumberFormat="1" applyFont="1" applyFill="1" applyBorder="1" applyAlignment="1">
      <alignment horizontal="left" vertical="center" wrapText="1"/>
    </xf>
    <xf numFmtId="220" fontId="8" fillId="29" borderId="11" xfId="0" applyFont="1" applyFill="1" applyBorder="1" applyAlignment="1">
      <alignment horizontal="center" vertical="center" wrapText="1"/>
    </xf>
    <xf numFmtId="14" fontId="69" fillId="0" borderId="11" xfId="0" applyNumberFormat="1" applyFont="1" applyFill="1" applyBorder="1" applyAlignment="1">
      <alignment horizontal="center" vertical="center" wrapText="1"/>
    </xf>
    <xf numFmtId="49" fontId="41" fillId="0" borderId="11" xfId="183" applyNumberFormat="1" applyFont="1" applyFill="1" applyBorder="1" applyAlignment="1" applyProtection="1">
      <alignment horizontal="center" vertical="center"/>
      <protection hidden="1"/>
    </xf>
    <xf numFmtId="49" fontId="41" fillId="0" borderId="11" xfId="183" applyNumberFormat="1" applyFont="1" applyFill="1" applyBorder="1" applyAlignment="1" applyProtection="1">
      <alignment horizontal="center" vertical="center" wrapText="1"/>
      <protection hidden="1"/>
    </xf>
    <xf numFmtId="220" fontId="5" fillId="0" borderId="11" xfId="0" applyNumberFormat="1" applyFont="1" applyFill="1" applyBorder="1" applyAlignment="1">
      <alignment horizontal="center" vertical="center" wrapText="1"/>
    </xf>
    <xf numFmtId="220" fontId="5" fillId="0" borderId="11" xfId="0" applyFont="1" applyFill="1" applyBorder="1" applyAlignment="1">
      <alignment horizontal="center" vertical="center" wrapText="1"/>
    </xf>
    <xf numFmtId="14" fontId="2" fillId="40" borderId="11" xfId="0" applyNumberFormat="1" applyFont="1" applyFill="1" applyBorder="1" applyAlignment="1">
      <alignment horizontal="center" vertical="center" wrapText="1"/>
    </xf>
    <xf numFmtId="14" fontId="2" fillId="33" borderId="11" xfId="0" applyNumberFormat="1" applyFont="1" applyFill="1" applyBorder="1" applyAlignment="1">
      <alignment horizontal="center" vertical="center" wrapText="1"/>
    </xf>
    <xf numFmtId="14" fontId="2" fillId="0" borderId="11" xfId="0" applyNumberFormat="1" applyFont="1" applyFill="1" applyBorder="1" applyAlignment="1">
      <alignment horizontal="left" vertical="center" wrapText="1"/>
    </xf>
    <xf numFmtId="14" fontId="2" fillId="0" borderId="11" xfId="0" applyNumberFormat="1" applyFont="1" applyFill="1" applyBorder="1" applyAlignment="1">
      <alignment horizontal="center" vertical="center" wrapText="1"/>
    </xf>
    <xf numFmtId="1" fontId="2" fillId="0" borderId="11" xfId="0" applyNumberFormat="1" applyFont="1" applyFill="1" applyBorder="1" applyAlignment="1">
      <alignment horizontal="center" vertical="center" wrapText="1"/>
    </xf>
    <xf numFmtId="220" fontId="8" fillId="0" borderId="11" xfId="0" applyFont="1" applyFill="1" applyBorder="1" applyAlignment="1">
      <alignment horizontal="center" vertical="center" wrapText="1"/>
    </xf>
    <xf numFmtId="220" fontId="51" fillId="33" borderId="11" xfId="0" applyFont="1" applyFill="1" applyBorder="1" applyAlignment="1">
      <alignment horizontal="center" vertical="center" wrapText="1"/>
    </xf>
    <xf numFmtId="220" fontId="8" fillId="33" borderId="11" xfId="0" applyNumberFormat="1" applyFont="1" applyFill="1" applyBorder="1" applyAlignment="1">
      <alignment horizontal="center" vertical="center" wrapText="1"/>
    </xf>
    <xf numFmtId="220" fontId="8" fillId="33" borderId="11" xfId="0" applyFont="1" applyFill="1" applyBorder="1" applyAlignment="1">
      <alignment horizontal="center" vertical="center" wrapText="1"/>
    </xf>
    <xf numFmtId="14" fontId="8" fillId="38" borderId="11" xfId="0" applyNumberFormat="1" applyFont="1" applyFill="1" applyBorder="1" applyAlignment="1">
      <alignment horizontal="center" vertical="center" wrapText="1"/>
    </xf>
    <xf numFmtId="14" fontId="8" fillId="32" borderId="11" xfId="0" applyNumberFormat="1" applyFont="1" applyFill="1" applyBorder="1" applyAlignment="1">
      <alignment horizontal="center" vertical="center" wrapText="1"/>
    </xf>
    <xf numFmtId="220" fontId="66" fillId="0" borderId="11" xfId="0" applyFont="1" applyFill="1" applyBorder="1" applyAlignment="1">
      <alignment horizontal="center" vertical="center" wrapText="1"/>
    </xf>
    <xf numFmtId="220" fontId="0" fillId="0" borderId="11" xfId="0" applyBorder="1" applyAlignment="1">
      <alignment vertical="center"/>
    </xf>
    <xf numFmtId="220" fontId="5" fillId="0" borderId="11" xfId="0" applyFont="1" applyFill="1" applyBorder="1" applyAlignment="1">
      <alignment vertical="center" wrapText="1"/>
    </xf>
    <xf numFmtId="220" fontId="8" fillId="0" borderId="11" xfId="0" applyFont="1" applyFill="1" applyBorder="1" applyAlignment="1">
      <alignment horizontal="center" vertical="center" wrapText="1"/>
    </xf>
    <xf numFmtId="220" fontId="5" fillId="0" borderId="45" xfId="0" applyFont="1" applyFill="1" applyBorder="1" applyAlignment="1">
      <alignment vertical="center" wrapText="1"/>
    </xf>
    <xf numFmtId="220" fontId="5" fillId="0" borderId="46" xfId="0" applyFont="1" applyFill="1" applyBorder="1" applyAlignment="1">
      <alignment vertical="center" wrapText="1"/>
    </xf>
    <xf numFmtId="220" fontId="5" fillId="0" borderId="47" xfId="0" applyFont="1" applyFill="1" applyBorder="1" applyAlignment="1">
      <alignment vertical="center" wrapText="1"/>
    </xf>
    <xf numFmtId="220" fontId="0" fillId="0" borderId="11" xfId="0" applyFill="1" applyBorder="1" applyAlignment="1">
      <alignment vertical="center"/>
    </xf>
    <xf numFmtId="14" fontId="9" fillId="30" borderId="16" xfId="0" applyNumberFormat="1" applyFont="1" applyFill="1" applyBorder="1" applyAlignment="1">
      <alignment horizontal="center" vertical="center" wrapText="1"/>
    </xf>
    <xf numFmtId="14" fontId="0" fillId="30" borderId="16" xfId="0" applyNumberFormat="1" applyFill="1" applyBorder="1" applyAlignment="1">
      <alignment horizontal="center" vertical="center" wrapText="1"/>
    </xf>
    <xf numFmtId="49" fontId="41" fillId="0" borderId="29" xfId="183" applyNumberFormat="1" applyFont="1" applyFill="1" applyBorder="1" applyAlignment="1" applyProtection="1">
      <alignment horizontal="center" vertical="center" wrapText="1"/>
      <protection hidden="1"/>
    </xf>
    <xf numFmtId="220" fontId="51" fillId="33" borderId="41" xfId="0" applyFont="1" applyFill="1" applyBorder="1" applyAlignment="1">
      <alignment horizontal="center" vertical="center" wrapText="1"/>
    </xf>
    <xf numFmtId="14" fontId="8" fillId="32" borderId="41" xfId="0" applyNumberFormat="1" applyFont="1" applyFill="1" applyBorder="1" applyAlignment="1">
      <alignment horizontal="center" vertical="center" wrapText="1"/>
    </xf>
    <xf numFmtId="14" fontId="0" fillId="0" borderId="28" xfId="0" applyNumberFormat="1" applyFill="1" applyBorder="1" applyAlignment="1">
      <alignment horizontal="center" vertical="center" wrapText="1"/>
    </xf>
    <xf numFmtId="14" fontId="0" fillId="0" borderId="21" xfId="0" applyNumberFormat="1" applyFill="1" applyBorder="1" applyAlignment="1">
      <alignment horizontal="center" vertical="center" wrapText="1"/>
    </xf>
    <xf numFmtId="49" fontId="41" fillId="0" borderId="69" xfId="183" applyNumberFormat="1" applyFont="1" applyFill="1" applyBorder="1" applyAlignment="1" applyProtection="1">
      <alignment horizontal="center" vertical="center"/>
      <protection hidden="1"/>
    </xf>
    <xf numFmtId="49" fontId="41" fillId="0" borderId="70" xfId="183" applyNumberFormat="1" applyFont="1" applyFill="1" applyBorder="1" applyAlignment="1" applyProtection="1">
      <alignment horizontal="center" vertical="center"/>
      <protection hidden="1"/>
    </xf>
    <xf numFmtId="49" fontId="41" fillId="0" borderId="71" xfId="183" applyNumberFormat="1" applyFont="1" applyFill="1" applyBorder="1" applyAlignment="1" applyProtection="1">
      <alignment horizontal="center" vertical="center" wrapText="1"/>
      <protection hidden="1"/>
    </xf>
    <xf numFmtId="49" fontId="41" fillId="0" borderId="69" xfId="183" applyNumberFormat="1" applyFont="1" applyFill="1" applyBorder="1" applyAlignment="1" applyProtection="1">
      <alignment horizontal="center" vertical="center" wrapText="1"/>
      <protection hidden="1"/>
    </xf>
    <xf numFmtId="220" fontId="5" fillId="0" borderId="69" xfId="0" applyNumberFormat="1" applyFont="1" applyFill="1" applyBorder="1" applyAlignment="1">
      <alignment horizontal="center" vertical="center" wrapText="1"/>
    </xf>
    <xf numFmtId="220" fontId="5" fillId="0" borderId="70" xfId="0" applyFont="1" applyFill="1" applyBorder="1" applyAlignment="1">
      <alignment horizontal="center" vertical="center" wrapText="1"/>
    </xf>
    <xf numFmtId="14" fontId="0" fillId="0" borderId="69" xfId="0" applyNumberFormat="1" applyFont="1" applyFill="1" applyBorder="1" applyAlignment="1">
      <alignment horizontal="center" vertical="center" wrapText="1"/>
    </xf>
    <xf numFmtId="14" fontId="2" fillId="40" borderId="69" xfId="0" applyNumberFormat="1" applyFont="1" applyFill="1" applyBorder="1" applyAlignment="1">
      <alignment horizontal="center" vertical="center" wrapText="1"/>
    </xf>
    <xf numFmtId="14" fontId="2" fillId="33" borderId="69" xfId="0" applyNumberFormat="1" applyFont="1" applyFill="1" applyBorder="1" applyAlignment="1">
      <alignment horizontal="center" vertical="center" wrapText="1"/>
    </xf>
    <xf numFmtId="14" fontId="2" fillId="0" borderId="70" xfId="0" applyNumberFormat="1" applyFont="1" applyFill="1" applyBorder="1" applyAlignment="1">
      <alignment horizontal="left" vertical="center" wrapText="1"/>
    </xf>
    <xf numFmtId="220" fontId="8" fillId="29" borderId="11" xfId="0" applyFont="1" applyFill="1" applyBorder="1" applyAlignment="1">
      <alignment horizontal="center" vertical="center" wrapText="1"/>
    </xf>
    <xf numFmtId="220" fontId="99" fillId="0" borderId="11" xfId="183" applyNumberFormat="1" applyFont="1" applyFill="1" applyBorder="1" applyAlignment="1" applyProtection="1">
      <alignment horizontal="center" vertical="center" wrapText="1"/>
      <protection locked="0" hidden="1"/>
    </xf>
    <xf numFmtId="49" fontId="6" fillId="0" borderId="1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220" fontId="6" fillId="0" borderId="11" xfId="0" applyNumberFormat="1" applyFont="1" applyFill="1" applyBorder="1" applyAlignment="1">
      <alignment horizontal="center" vertical="center" wrapText="1"/>
    </xf>
    <xf numFmtId="220" fontId="69" fillId="0" borderId="11" xfId="0" applyFont="1" applyBorder="1"/>
    <xf numFmtId="220" fontId="41" fillId="0" borderId="44" xfId="0" applyFont="1" applyFill="1" applyBorder="1" applyAlignment="1">
      <alignment horizontal="center" vertical="center" wrapText="1"/>
    </xf>
    <xf numFmtId="220" fontId="41" fillId="0" borderId="24" xfId="0" applyFont="1" applyFill="1" applyBorder="1" applyAlignment="1">
      <alignment horizontal="center" vertical="center" wrapText="1"/>
    </xf>
    <xf numFmtId="220" fontId="5" fillId="0" borderId="45" xfId="0" applyFont="1" applyFill="1" applyBorder="1" applyAlignment="1">
      <alignment horizontal="center" vertical="center" wrapText="1"/>
    </xf>
    <xf numFmtId="220" fontId="5" fillId="0" borderId="46" xfId="0" applyFont="1" applyFill="1" applyBorder="1" applyAlignment="1">
      <alignment horizontal="center" vertical="center" wrapText="1"/>
    </xf>
    <xf numFmtId="220" fontId="5" fillId="0" borderId="47" xfId="0" applyFont="1" applyFill="1" applyBorder="1" applyAlignment="1">
      <alignment horizontal="center" vertical="center" wrapText="1"/>
    </xf>
    <xf numFmtId="220" fontId="5" fillId="0" borderId="48" xfId="0" applyFont="1" applyFill="1" applyBorder="1" applyAlignment="1">
      <alignment horizontal="center" vertical="center" wrapText="1"/>
    </xf>
    <xf numFmtId="220" fontId="5" fillId="0" borderId="1" xfId="0" applyFont="1" applyFill="1" applyBorder="1" applyAlignment="1">
      <alignment horizontal="center" vertical="center" wrapText="1"/>
    </xf>
    <xf numFmtId="220" fontId="5" fillId="0" borderId="28" xfId="0" applyFont="1" applyFill="1" applyBorder="1" applyAlignment="1">
      <alignment horizontal="center" vertical="center" wrapText="1"/>
    </xf>
    <xf numFmtId="49" fontId="41" fillId="31" borderId="6" xfId="183" applyNumberFormat="1" applyFont="1" applyFill="1" applyBorder="1" applyAlignment="1" applyProtection="1">
      <alignment horizontal="center" vertical="center"/>
      <protection hidden="1"/>
    </xf>
    <xf numFmtId="49" fontId="41" fillId="31" borderId="42" xfId="183" applyNumberFormat="1" applyFont="1" applyFill="1" applyBorder="1" applyAlignment="1" applyProtection="1">
      <alignment horizontal="left" vertical="center" wrapText="1"/>
      <protection hidden="1"/>
    </xf>
    <xf numFmtId="220" fontId="41" fillId="38" borderId="6" xfId="0" applyFont="1" applyFill="1" applyBorder="1" applyAlignment="1">
      <alignment horizontal="center" vertical="center" wrapText="1"/>
    </xf>
    <xf numFmtId="220" fontId="41" fillId="38" borderId="42" xfId="0" applyFont="1" applyFill="1" applyBorder="1" applyAlignment="1">
      <alignment horizontal="left" vertical="center" wrapText="1"/>
    </xf>
    <xf numFmtId="14" fontId="41" fillId="32" borderId="43" xfId="0" applyNumberFormat="1" applyFont="1" applyFill="1" applyBorder="1" applyAlignment="1">
      <alignment horizontal="center" vertical="center" wrapText="1"/>
    </xf>
    <xf numFmtId="14" fontId="41" fillId="32" borderId="6" xfId="0" applyNumberFormat="1" applyFont="1" applyFill="1" applyBorder="1" applyAlignment="1">
      <alignment horizontal="center" vertical="center" wrapText="1"/>
    </xf>
    <xf numFmtId="14" fontId="41" fillId="33" borderId="43" xfId="0" applyNumberFormat="1" applyFont="1" applyFill="1" applyBorder="1" applyAlignment="1">
      <alignment horizontal="center" vertical="center" wrapText="1"/>
    </xf>
    <xf numFmtId="14" fontId="41" fillId="33" borderId="6" xfId="0" applyNumberFormat="1" applyFont="1" applyFill="1" applyBorder="1" applyAlignment="1">
      <alignment horizontal="center" vertical="center" wrapText="1"/>
    </xf>
    <xf numFmtId="220" fontId="41" fillId="33" borderId="6" xfId="0" applyNumberFormat="1" applyFont="1" applyFill="1" applyBorder="1" applyAlignment="1">
      <alignment horizontal="center" vertical="center" wrapText="1"/>
    </xf>
    <xf numFmtId="14" fontId="41" fillId="33" borderId="42" xfId="0" applyNumberFormat="1" applyFont="1" applyFill="1" applyBorder="1" applyAlignment="1">
      <alignment horizontal="center" vertical="center" wrapText="1"/>
    </xf>
    <xf numFmtId="220" fontId="8" fillId="29" borderId="11" xfId="0" applyFont="1" applyFill="1" applyBorder="1" applyAlignment="1">
      <alignment horizontal="center" vertical="center" wrapText="1"/>
    </xf>
    <xf numFmtId="14" fontId="41" fillId="33" borderId="11" xfId="0" applyNumberFormat="1" applyFont="1" applyFill="1" applyBorder="1" applyAlignment="1">
      <alignment horizontal="center" vertical="center" wrapText="1"/>
    </xf>
    <xf numFmtId="220" fontId="41" fillId="33" borderId="11" xfId="0" applyNumberFormat="1" applyFont="1" applyFill="1" applyBorder="1" applyAlignment="1">
      <alignment horizontal="center" vertical="center" wrapText="1"/>
    </xf>
    <xf numFmtId="220" fontId="41" fillId="38" borderId="11" xfId="0" applyFont="1" applyFill="1" applyBorder="1" applyAlignment="1">
      <alignment horizontal="center" vertical="center" wrapText="1"/>
    </xf>
    <xf numFmtId="220" fontId="41" fillId="38" borderId="11" xfId="0" applyFont="1" applyFill="1" applyBorder="1" applyAlignment="1">
      <alignment horizontal="left" vertical="center" wrapText="1"/>
    </xf>
    <xf numFmtId="14" fontId="41" fillId="32" borderId="11" xfId="0" applyNumberFormat="1" applyFont="1" applyFill="1" applyBorder="1" applyAlignment="1">
      <alignment horizontal="center" vertical="center" wrapText="1"/>
    </xf>
    <xf numFmtId="220" fontId="8" fillId="0" borderId="11" xfId="0" applyFont="1" applyFill="1" applyBorder="1" applyAlignment="1">
      <alignment horizontal="center" vertical="center" wrapText="1"/>
    </xf>
    <xf numFmtId="220" fontId="62" fillId="48" borderId="36" xfId="0" applyFont="1" applyFill="1" applyBorder="1" applyAlignment="1">
      <alignment horizontal="center" vertical="center"/>
    </xf>
    <xf numFmtId="220" fontId="62" fillId="48" borderId="11" xfId="0" applyFont="1" applyFill="1" applyBorder="1" applyAlignment="1">
      <alignment horizontal="center" vertical="center"/>
    </xf>
    <xf numFmtId="180" fontId="92" fillId="46" borderId="11" xfId="0" applyNumberFormat="1" applyFont="1" applyFill="1" applyBorder="1" applyAlignment="1">
      <alignment horizontal="center" vertical="center"/>
    </xf>
    <xf numFmtId="220" fontId="62" fillId="0" borderId="11" xfId="0" applyFont="1" applyBorder="1" applyAlignment="1">
      <alignment horizontal="center"/>
    </xf>
    <xf numFmtId="220" fontId="62" fillId="0" borderId="11" xfId="0" applyFont="1" applyBorder="1" applyAlignment="1">
      <alignment horizontal="center" wrapText="1"/>
    </xf>
  </cellXfs>
  <cellStyles count="196">
    <cellStyle name="_x000a_mouse.drv=lm" xfId="1"/>
    <cellStyle name="_x000a_mouse.drv=lm 2" xfId="2"/>
    <cellStyle name="$0" xfId="3"/>
    <cellStyle name="$0 2" xfId="4"/>
    <cellStyle name="$0.0" xfId="5"/>
    <cellStyle name="$0.00" xfId="6"/>
    <cellStyle name="$0_!!!GO" xfId="7"/>
    <cellStyle name="%0" xfId="8"/>
    <cellStyle name="%0 2" xfId="9"/>
    <cellStyle name="%0.0" xfId="10"/>
    <cellStyle name="%0_ABUS" xfId="11"/>
    <cellStyle name="’Ê‰Ý [0.00]_!!!GO" xfId="12"/>
    <cellStyle name="’Ê‰Ý_!!!GO" xfId="13"/>
    <cellStyle name="•W?_!!!GO" xfId="14"/>
    <cellStyle name="•W€_!!!GO" xfId="15"/>
    <cellStyle name="W_MazdaChunkBinning" xfId="16"/>
    <cellStyle name="0" xfId="17"/>
    <cellStyle name="0.0" xfId="18"/>
    <cellStyle name="0.00" xfId="19"/>
    <cellStyle name="0.00 2" xfId="20"/>
    <cellStyle name="0_!!!GO" xfId="21"/>
    <cellStyle name="0_!!!GO 2" xfId="22"/>
    <cellStyle name="0_ABUS" xfId="23"/>
    <cellStyle name="0_ABUS 2" xfId="24"/>
    <cellStyle name="0_Exhaust" xfId="25"/>
    <cellStyle name="0_Exhaust 2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40% - Accent1" xfId="33"/>
    <cellStyle name="40% - Accent2" xfId="34"/>
    <cellStyle name="40% - Accent3" xfId="35"/>
    <cellStyle name="40% - Accent4" xfId="36"/>
    <cellStyle name="40% - Accent5" xfId="37"/>
    <cellStyle name="40% - Accent6" xfId="38"/>
    <cellStyle name="60% - Accent1" xfId="39"/>
    <cellStyle name="60% - Accent2" xfId="40"/>
    <cellStyle name="60% - Accent3" xfId="41"/>
    <cellStyle name="60% - Accent4" xfId="42"/>
    <cellStyle name="60% - Accent5" xfId="43"/>
    <cellStyle name="60% - Accent6" xfId="44"/>
    <cellStyle name="ac" xfId="45"/>
    <cellStyle name="Accent1" xfId="46"/>
    <cellStyle name="Accent2" xfId="47"/>
    <cellStyle name="Accent3" xfId="48"/>
    <cellStyle name="Accent4" xfId="49"/>
    <cellStyle name="Accent5" xfId="50"/>
    <cellStyle name="Accent6" xfId="51"/>
    <cellStyle name="args.style" xfId="52"/>
    <cellStyle name="AutoFormat-Optionen" xfId="53"/>
    <cellStyle name="AutoFormat-Optionen 2" xfId="194"/>
    <cellStyle name="Bad" xfId="54"/>
    <cellStyle name="Calc Currency (0)" xfId="55"/>
    <cellStyle name="Calc Currency (0) 2" xfId="56"/>
    <cellStyle name="Calc Units (2)" xfId="57"/>
    <cellStyle name="Calculation" xfId="58"/>
    <cellStyle name="category" xfId="59"/>
    <cellStyle name="Check Cell" xfId="60"/>
    <cellStyle name="Comma [00]" xfId="61"/>
    <cellStyle name="Comma [00] 2" xfId="62"/>
    <cellStyle name="Comma, 0" xfId="63"/>
    <cellStyle name="Comma, 0 2" xfId="64"/>
    <cellStyle name="Comma[2]" xfId="65"/>
    <cellStyle name="Copied" xfId="66"/>
    <cellStyle name="COST1" xfId="67"/>
    <cellStyle name="Currency $" xfId="68"/>
    <cellStyle name="Currency [00]" xfId="69"/>
    <cellStyle name="Currency[2]" xfId="70"/>
    <cellStyle name="Currency[2] 2" xfId="71"/>
    <cellStyle name="custom" xfId="72"/>
    <cellStyle name="custom 2" xfId="73"/>
    <cellStyle name="date" xfId="74"/>
    <cellStyle name="Date Short" xfId="75"/>
    <cellStyle name="Date_ABUS" xfId="76"/>
    <cellStyle name="Dezimal [0]_BW153" xfId="77"/>
    <cellStyle name="Dezimal_BW153" xfId="78"/>
    <cellStyle name="dlrs_no_decimal" xfId="79"/>
    <cellStyle name="Dziesiętny [0]_Arkusz1" xfId="80"/>
    <cellStyle name="Dziesiętny_Arkusz1" xfId="81"/>
    <cellStyle name="Enter Currency (0)" xfId="82"/>
    <cellStyle name="Enter Currency (0) 2" xfId="83"/>
    <cellStyle name="Enter Currency (2)" xfId="84"/>
    <cellStyle name="Enter Units (0)" xfId="85"/>
    <cellStyle name="Enter Units (0) 2" xfId="86"/>
    <cellStyle name="Enter Units (1)" xfId="87"/>
    <cellStyle name="Enter Units (2)" xfId="88"/>
    <cellStyle name="Entered" xfId="89"/>
    <cellStyle name="Euro" xfId="90"/>
    <cellStyle name="Explanatory Text" xfId="91"/>
    <cellStyle name="ƒp[ƒZƒ“ƒg_!!!GO" xfId="92"/>
    <cellStyle name="Good" xfId="93"/>
    <cellStyle name="Grey" xfId="94"/>
    <cellStyle name="HEADER" xfId="95"/>
    <cellStyle name="Header1" xfId="96"/>
    <cellStyle name="Header2" xfId="97"/>
    <cellStyle name="Heading 1" xfId="98"/>
    <cellStyle name="Heading 2" xfId="99"/>
    <cellStyle name="Heading 3" xfId="100"/>
    <cellStyle name="Heading 4" xfId="101"/>
    <cellStyle name="HEADINGS" xfId="102"/>
    <cellStyle name="HEADINGSTOP" xfId="103"/>
    <cellStyle name="Input" xfId="104"/>
    <cellStyle name="Input [yellow]" xfId="105"/>
    <cellStyle name="Input Cells" xfId="106"/>
    <cellStyle name="Link Currency (0)" xfId="107"/>
    <cellStyle name="Link Currency (0) 2" xfId="108"/>
    <cellStyle name="Link Currency (2)" xfId="109"/>
    <cellStyle name="Link Units (0)" xfId="110"/>
    <cellStyle name="Link Units (0) 2" xfId="111"/>
    <cellStyle name="Link Units (1)" xfId="112"/>
    <cellStyle name="Link Units (2)" xfId="113"/>
    <cellStyle name="Linked Cell" xfId="114"/>
    <cellStyle name="Linked Cells" xfId="115"/>
    <cellStyle name="Millares [0]_IknvzPukWoaZnMHOkROWAqUlx" xfId="116"/>
    <cellStyle name="Millares_IknvzPukWoaZnMHOkROWAqUlx" xfId="117"/>
    <cellStyle name="Milliers [0]_!!!GO" xfId="118"/>
    <cellStyle name="Milliers_!!!GO" xfId="119"/>
    <cellStyle name="Model" xfId="120"/>
    <cellStyle name="Moeda [0]_Sheet1" xfId="121"/>
    <cellStyle name="Moeda_Sheet1" xfId="122"/>
    <cellStyle name="Moneda [0]_IknvzPukWoaZnMHOkROWAqUlx" xfId="123"/>
    <cellStyle name="Moneda_IknvzPukWoaZnMHOkROWAqUlx" xfId="124"/>
    <cellStyle name="Monétaire [0]_!!!GO" xfId="125"/>
    <cellStyle name="Monétaire_!!!GO" xfId="126"/>
    <cellStyle name="Mon閠aire [0]_!!!GO" xfId="127"/>
    <cellStyle name="Mon閠aire_!!!GO" xfId="128"/>
    <cellStyle name="Neutral" xfId="129"/>
    <cellStyle name="Normal - Style1" xfId="130"/>
    <cellStyle name="Normal 2 2" xfId="192"/>
    <cellStyle name="Normal 5" xfId="193"/>
    <cellStyle name="Normalny_Arkusz1" xfId="131"/>
    <cellStyle name="Note" xfId="132"/>
    <cellStyle name="Note 2" xfId="133"/>
    <cellStyle name="Œ…‹æØ‚è [0.00]_!!!GO" xfId="134"/>
    <cellStyle name="Œ…‹æØ‚è_!!!GO" xfId="135"/>
    <cellStyle name="Output" xfId="136"/>
    <cellStyle name="per.style" xfId="137"/>
    <cellStyle name="Percent [0]" xfId="138"/>
    <cellStyle name="Percent [00]" xfId="139"/>
    <cellStyle name="Percent [00] 2" xfId="140"/>
    <cellStyle name="Percent [2]" xfId="141"/>
    <cellStyle name="Percent [2] 2" xfId="142"/>
    <cellStyle name="Percent[0]" xfId="143"/>
    <cellStyle name="Percent[2]" xfId="144"/>
    <cellStyle name="PrePop Currency (0)" xfId="145"/>
    <cellStyle name="PrePop Currency (0) 2" xfId="146"/>
    <cellStyle name="PrePop Currency (2)" xfId="147"/>
    <cellStyle name="PrePop Units (0)" xfId="148"/>
    <cellStyle name="PrePop Units (0) 2" xfId="149"/>
    <cellStyle name="PrePop Units (1)" xfId="150"/>
    <cellStyle name="PrePop Units (2)" xfId="151"/>
    <cellStyle name="PSChar" xfId="152"/>
    <cellStyle name="PSDate" xfId="153"/>
    <cellStyle name="PSDec" xfId="154"/>
    <cellStyle name="PSHeading" xfId="155"/>
    <cellStyle name="PSInt" xfId="156"/>
    <cellStyle name="PSSpacer" xfId="157"/>
    <cellStyle name="reg_no_decimal" xfId="158"/>
    <cellStyle name="Separador de milhares [0]_Sheet1" xfId="159"/>
    <cellStyle name="Separador de milhares_Sheet1" xfId="160"/>
    <cellStyle name="STANDARD" xfId="161"/>
    <cellStyle name="subhead" xfId="162"/>
    <cellStyle name="Text Indent A" xfId="163"/>
    <cellStyle name="Text Indent B" xfId="164"/>
    <cellStyle name="Text Indent C" xfId="165"/>
    <cellStyle name="Title" xfId="166"/>
    <cellStyle name="Total" xfId="167"/>
    <cellStyle name="tttttt" xfId="168"/>
    <cellStyle name="Underline" xfId="169"/>
    <cellStyle name="Underline 2" xfId="170"/>
    <cellStyle name="Währung [0]_BW153" xfId="171"/>
    <cellStyle name="Währung_BW153" xfId="172"/>
    <cellStyle name="Walutowy [0]_Arkusz1" xfId="173"/>
    <cellStyle name="Walutowy_Arkusz1" xfId="174"/>
    <cellStyle name="Warning Text" xfId="175"/>
    <cellStyle name="weekly" xfId="176"/>
    <cellStyle name="ハイパーリンク_(CHECK)MazdaPartとGPAMasterとの差分" xfId="177"/>
    <cellStyle name="標準_(CHECK)MazdaPartとGPAMasterとの差分" xfId="178"/>
    <cellStyle name="表示済みのハイパーリンク_(CHECK)MazdaPartとGPAMasterとの差分" xfId="179"/>
    <cellStyle name="差_C520 PVP&amp;R Tracking List_2012-8-11" xfId="180"/>
    <cellStyle name="差_C520 PVP&amp;R Tracking List_2012-8-16" xfId="181"/>
    <cellStyle name="常规" xfId="0" builtinId="0"/>
    <cellStyle name="常规 10 2" xfId="195"/>
    <cellStyle name="常规 2" xfId="182"/>
    <cellStyle name="常规_LP list" xfId="183"/>
    <cellStyle name="超链接" xfId="191" builtinId="8"/>
    <cellStyle name="好_C520 PVP&amp;R Tracking List_2012-8-11" xfId="184"/>
    <cellStyle name="好_C520 PVP&amp;R Tracking List_2012-8-16" xfId="185"/>
    <cellStyle name="桁区切り [0.00]_(CHECK)MazdaPartとGPAMasterとの差分" xfId="186"/>
    <cellStyle name="桁区切り_(CHECK)MazdaPartとGPAMasterとの差分" xfId="187"/>
    <cellStyle name="通貨 [0.00]_(CHECK)MazdaPartとGPAMasterとの差分" xfId="188"/>
    <cellStyle name="通貨_(CHECK)MazdaPartとGPAMasterとの差分" xfId="189"/>
    <cellStyle name="一般_Localization Metrics-20020513E-out2" xfId="190"/>
  </cellStyles>
  <dxfs count="112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99"/>
        </patternFill>
      </fill>
    </dxf>
    <dxf>
      <font>
        <color theme="1"/>
      </font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99"/>
      <color rgb="FFFFFF66"/>
      <color rgb="FFFF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800" b="1" i="0" baseline="0">
                <a:effectLst/>
              </a:rPr>
              <a:t>C490MCA PV Completion Glide Path</a:t>
            </a:r>
            <a:r>
              <a:rPr lang="en-US" altLang="zh-CN" sz="1200" b="0" i="0" baseline="0">
                <a:effectLst/>
              </a:rPr>
              <a:t>-by quantity</a:t>
            </a:r>
            <a:endParaRPr lang="zh-CN" altLang="zh-CN" sz="1200">
              <a:effectLst/>
            </a:endParaRPr>
          </a:p>
        </c:rich>
      </c:tx>
      <c:layout>
        <c:manualLayout>
          <c:xMode val="edge"/>
          <c:yMode val="edge"/>
          <c:x val="0.20470582325534667"/>
          <c:y val="2.12200747633818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9785186055203825E-2"/>
          <c:y val="0.15102254361388651"/>
          <c:w val="0.92076636125682465"/>
          <c:h val="0.66441577075182012"/>
        </c:manualLayout>
      </c:layout>
      <c:lineChart>
        <c:grouping val="standard"/>
        <c:varyColors val="0"/>
        <c:ser>
          <c:idx val="0"/>
          <c:order val="0"/>
          <c:tx>
            <c:strRef>
              <c:f>'Glide Path of PV completion'!$AF$3</c:f>
              <c:strCache>
                <c:ptCount val="1"/>
                <c:pt idx="0">
                  <c:v>PV Completed PN (Plan)</c:v>
                </c:pt>
              </c:strCache>
            </c:strRef>
          </c:tx>
          <c:spPr>
            <a:ln w="12700"/>
          </c:spPr>
          <c:dLbls>
            <c:dLbl>
              <c:idx val="0"/>
              <c:layout>
                <c:manualLayout>
                  <c:x val="-1.6312056636374004E-2"/>
                  <c:y val="-2.369392881053812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C8-43AB-ACF7-8A1F5910889F}"/>
                </c:ext>
              </c:extLst>
            </c:dLbl>
            <c:dLbl>
              <c:idx val="1"/>
              <c:layout>
                <c:manualLayout>
                  <c:x val="-2.5374310323248449E-2"/>
                  <c:y val="-2.7078775783472137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C8-43AB-ACF7-8A1F5910889F}"/>
                </c:ext>
              </c:extLst>
            </c:dLbl>
            <c:dLbl>
              <c:idx val="2"/>
              <c:layout>
                <c:manualLayout>
                  <c:x val="-2.5374310323248415E-2"/>
                  <c:y val="-2.369392881053812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C8-43AB-ACF7-8A1F5910889F}"/>
                </c:ext>
              </c:extLst>
            </c:dLbl>
            <c:dLbl>
              <c:idx val="3"/>
              <c:layout>
                <c:manualLayout>
                  <c:x val="-3.2033426418042438E-2"/>
                  <c:y val="-3.341409624662936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C8-43AB-ACF7-8A1F5910889F}"/>
                </c:ext>
              </c:extLst>
            </c:dLbl>
            <c:dLbl>
              <c:idx val="4"/>
              <c:layout>
                <c:manualLayout>
                  <c:x val="-4.2711235224056579E-2"/>
                  <c:y val="-3.341409624662936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C8-43AB-ACF7-8A1F5910889F}"/>
                </c:ext>
              </c:extLst>
            </c:dLbl>
            <c:dLbl>
              <c:idx val="5"/>
              <c:layout>
                <c:manualLayout>
                  <c:x val="-2.9897864656839607E-2"/>
                  <c:y val="-3.341409624662936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C8-43AB-ACF7-8A1F5910889F}"/>
                </c:ext>
              </c:extLst>
            </c:dLbl>
            <c:dLbl>
              <c:idx val="6"/>
              <c:layout>
                <c:manualLayout>
                  <c:x val="-1.9220055850825462E-2"/>
                  <c:y val="-2.970141888589276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C8-43AB-ACF7-8A1F5910889F}"/>
                </c:ext>
              </c:extLst>
            </c:dLbl>
            <c:dLbl>
              <c:idx val="7"/>
              <c:layout>
                <c:manualLayout>
                  <c:x val="-2.7186761060623336E-2"/>
                  <c:y val="-3.0463622756406156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C8-43AB-ACF7-8A1F5910889F}"/>
                </c:ext>
              </c:extLst>
            </c:dLbl>
            <c:dLbl>
              <c:idx val="8"/>
              <c:layout>
                <c:manualLayout>
                  <c:x val="-1.6312056636374004E-2"/>
                  <c:y val="-3.0463622756406156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C8-43AB-ACF7-8A1F5910889F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'Glide Path of PV completion'!$A$4:$A$42</c:f>
              <c:numCache>
                <c:formatCode>m/d/yyyy</c:formatCode>
                <c:ptCount val="39"/>
                <c:pt idx="0">
                  <c:v>43099</c:v>
                </c:pt>
                <c:pt idx="1">
                  <c:v>43130</c:v>
                </c:pt>
                <c:pt idx="2">
                  <c:v>43159</c:v>
                </c:pt>
                <c:pt idx="3">
                  <c:v>43168</c:v>
                </c:pt>
                <c:pt idx="4">
                  <c:v>43175</c:v>
                </c:pt>
                <c:pt idx="5">
                  <c:v>43220</c:v>
                </c:pt>
                <c:pt idx="6">
                  <c:v>43250</c:v>
                </c:pt>
                <c:pt idx="7">
                  <c:v>43278</c:v>
                </c:pt>
                <c:pt idx="8">
                  <c:v>43299</c:v>
                </c:pt>
                <c:pt idx="9">
                  <c:v>43342</c:v>
                </c:pt>
                <c:pt idx="10">
                  <c:v>43369</c:v>
                </c:pt>
                <c:pt idx="11">
                  <c:v>43390</c:v>
                </c:pt>
                <c:pt idx="12">
                  <c:v>43404</c:v>
                </c:pt>
                <c:pt idx="13">
                  <c:v>43056</c:v>
                </c:pt>
                <c:pt idx="14">
                  <c:v>43237</c:v>
                </c:pt>
                <c:pt idx="15">
                  <c:v>43070</c:v>
                </c:pt>
                <c:pt idx="16">
                  <c:v>43077</c:v>
                </c:pt>
                <c:pt idx="17">
                  <c:v>43084</c:v>
                </c:pt>
                <c:pt idx="18">
                  <c:v>43091</c:v>
                </c:pt>
                <c:pt idx="19">
                  <c:v>43098</c:v>
                </c:pt>
                <c:pt idx="20">
                  <c:v>43105</c:v>
                </c:pt>
                <c:pt idx="21">
                  <c:v>43112</c:v>
                </c:pt>
                <c:pt idx="22">
                  <c:v>43119</c:v>
                </c:pt>
                <c:pt idx="23">
                  <c:v>43126</c:v>
                </c:pt>
                <c:pt idx="24">
                  <c:v>43130</c:v>
                </c:pt>
                <c:pt idx="25">
                  <c:v>43133</c:v>
                </c:pt>
                <c:pt idx="26">
                  <c:v>43140</c:v>
                </c:pt>
                <c:pt idx="27">
                  <c:v>43147</c:v>
                </c:pt>
                <c:pt idx="28">
                  <c:v>43154</c:v>
                </c:pt>
                <c:pt idx="29">
                  <c:v>43161</c:v>
                </c:pt>
                <c:pt idx="30">
                  <c:v>43164</c:v>
                </c:pt>
                <c:pt idx="31">
                  <c:v>43168</c:v>
                </c:pt>
                <c:pt idx="32">
                  <c:v>43175</c:v>
                </c:pt>
                <c:pt idx="33">
                  <c:v>43182</c:v>
                </c:pt>
                <c:pt idx="34">
                  <c:v>43189</c:v>
                </c:pt>
                <c:pt idx="35">
                  <c:v>43220</c:v>
                </c:pt>
                <c:pt idx="36">
                  <c:v>43222</c:v>
                </c:pt>
                <c:pt idx="37">
                  <c:v>43235</c:v>
                </c:pt>
                <c:pt idx="38">
                  <c:v>43251</c:v>
                </c:pt>
              </c:numCache>
            </c:numRef>
          </c:cat>
          <c:val>
            <c:numRef>
              <c:f>'Glide Path of PV completion'!$AF$4:$AF$42</c:f>
              <c:numCache>
                <c:formatCode>[$-409]d\-mmm\-yy;@</c:formatCode>
                <c:ptCount val="3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10</c:v>
                </c:pt>
                <c:pt idx="4">
                  <c:v>10</c:v>
                </c:pt>
                <c:pt idx="5">
                  <c:v>26</c:v>
                </c:pt>
                <c:pt idx="6">
                  <c:v>111</c:v>
                </c:pt>
                <c:pt idx="7">
                  <c:v>372</c:v>
                </c:pt>
                <c:pt idx="8">
                  <c:v>395</c:v>
                </c:pt>
                <c:pt idx="9">
                  <c:v>421</c:v>
                </c:pt>
                <c:pt idx="10">
                  <c:v>421</c:v>
                </c:pt>
                <c:pt idx="11">
                  <c:v>421</c:v>
                </c:pt>
                <c:pt idx="12">
                  <c:v>445</c:v>
                </c:pt>
                <c:pt idx="13">
                  <c:v>0</c:v>
                </c:pt>
                <c:pt idx="14">
                  <c:v>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16</c:v>
                </c:pt>
                <c:pt idx="35">
                  <c:v>26</c:v>
                </c:pt>
                <c:pt idx="36">
                  <c:v>34</c:v>
                </c:pt>
                <c:pt idx="37">
                  <c:v>55</c:v>
                </c:pt>
                <c:pt idx="38">
                  <c:v>445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14C8-43AB-ACF7-8A1F5910889F}"/>
            </c:ext>
          </c:extLst>
        </c:ser>
        <c:ser>
          <c:idx val="1"/>
          <c:order val="1"/>
          <c:tx>
            <c:strRef>
              <c:f>'Glide Path of PV completion'!$AG$3</c:f>
              <c:strCache>
                <c:ptCount val="1"/>
                <c:pt idx="0">
                  <c:v>PV Completed (Forecast)</c:v>
                </c:pt>
              </c:strCache>
            </c:strRef>
          </c:tx>
          <c:spPr>
            <a:ln w="12700"/>
          </c:spPr>
          <c:dLbls>
            <c:dLbl>
              <c:idx val="0"/>
              <c:layout>
                <c:manualLayout>
                  <c:x val="-7.2498029494995567E-3"/>
                  <c:y val="2.369392881053812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C8-43AB-ACF7-8A1F5910889F}"/>
                </c:ext>
              </c:extLst>
            </c:dLbl>
            <c:dLbl>
              <c:idx val="1"/>
              <c:layout>
                <c:manualLayout>
                  <c:x val="-1.8124507373748891E-2"/>
                  <c:y val="2.369392881053812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C8-43AB-ACF7-8A1F5910889F}"/>
                </c:ext>
              </c:extLst>
            </c:dLbl>
            <c:dLbl>
              <c:idx val="2"/>
              <c:layout>
                <c:manualLayout>
                  <c:x val="-1.812450737374856E-3"/>
                  <c:y val="1.3539387891736069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C8-43AB-ACF7-8A1F5910889F}"/>
                </c:ext>
              </c:extLst>
            </c:dLbl>
            <c:dLbl>
              <c:idx val="6"/>
              <c:layout>
                <c:manualLayout>
                  <c:x val="-1.2813370567216974E-2"/>
                  <c:y val="1.4850709442946381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C8-43AB-ACF7-8A1F5910889F}"/>
                </c:ext>
              </c:extLst>
            </c:dLbl>
            <c:dLbl>
              <c:idx val="7"/>
              <c:layout>
                <c:manualLayout>
                  <c:x val="-1.2687155161624225E-2"/>
                  <c:y val="2.0309081837604104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C8-43AB-ACF7-8A1F5910889F}"/>
                </c:ext>
              </c:extLst>
            </c:dLbl>
            <c:dLbl>
              <c:idx val="8"/>
              <c:layout>
                <c:manualLayout>
                  <c:x val="-1.9936958111123781E-2"/>
                  <c:y val="2.369392881053812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C8-43AB-ACF7-8A1F5910889F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'Glide Path of PV completion'!$A$4:$A$42</c:f>
              <c:numCache>
                <c:formatCode>m/d/yyyy</c:formatCode>
                <c:ptCount val="39"/>
                <c:pt idx="0">
                  <c:v>43099</c:v>
                </c:pt>
                <c:pt idx="1">
                  <c:v>43130</c:v>
                </c:pt>
                <c:pt idx="2">
                  <c:v>43159</c:v>
                </c:pt>
                <c:pt idx="3">
                  <c:v>43168</c:v>
                </c:pt>
                <c:pt idx="4">
                  <c:v>43175</c:v>
                </c:pt>
                <c:pt idx="5">
                  <c:v>43220</c:v>
                </c:pt>
                <c:pt idx="6">
                  <c:v>43250</c:v>
                </c:pt>
                <c:pt idx="7">
                  <c:v>43278</c:v>
                </c:pt>
                <c:pt idx="8">
                  <c:v>43299</c:v>
                </c:pt>
                <c:pt idx="9">
                  <c:v>43342</c:v>
                </c:pt>
                <c:pt idx="10">
                  <c:v>43369</c:v>
                </c:pt>
                <c:pt idx="11">
                  <c:v>43390</c:v>
                </c:pt>
                <c:pt idx="12">
                  <c:v>43404</c:v>
                </c:pt>
                <c:pt idx="13">
                  <c:v>43056</c:v>
                </c:pt>
                <c:pt idx="14">
                  <c:v>43237</c:v>
                </c:pt>
                <c:pt idx="15">
                  <c:v>43070</c:v>
                </c:pt>
                <c:pt idx="16">
                  <c:v>43077</c:v>
                </c:pt>
                <c:pt idx="17">
                  <c:v>43084</c:v>
                </c:pt>
                <c:pt idx="18">
                  <c:v>43091</c:v>
                </c:pt>
                <c:pt idx="19">
                  <c:v>43098</c:v>
                </c:pt>
                <c:pt idx="20">
                  <c:v>43105</c:v>
                </c:pt>
                <c:pt idx="21">
                  <c:v>43112</c:v>
                </c:pt>
                <c:pt idx="22">
                  <c:v>43119</c:v>
                </c:pt>
                <c:pt idx="23">
                  <c:v>43126</c:v>
                </c:pt>
                <c:pt idx="24">
                  <c:v>43130</c:v>
                </c:pt>
                <c:pt idx="25">
                  <c:v>43133</c:v>
                </c:pt>
                <c:pt idx="26">
                  <c:v>43140</c:v>
                </c:pt>
                <c:pt idx="27">
                  <c:v>43147</c:v>
                </c:pt>
                <c:pt idx="28">
                  <c:v>43154</c:v>
                </c:pt>
                <c:pt idx="29">
                  <c:v>43161</c:v>
                </c:pt>
                <c:pt idx="30">
                  <c:v>43164</c:v>
                </c:pt>
                <c:pt idx="31">
                  <c:v>43168</c:v>
                </c:pt>
                <c:pt idx="32">
                  <c:v>43175</c:v>
                </c:pt>
                <c:pt idx="33">
                  <c:v>43182</c:v>
                </c:pt>
                <c:pt idx="34">
                  <c:v>43189</c:v>
                </c:pt>
                <c:pt idx="35">
                  <c:v>43220</c:v>
                </c:pt>
                <c:pt idx="36">
                  <c:v>43222</c:v>
                </c:pt>
                <c:pt idx="37">
                  <c:v>43235</c:v>
                </c:pt>
                <c:pt idx="38">
                  <c:v>43251</c:v>
                </c:pt>
              </c:numCache>
            </c:numRef>
          </c:cat>
          <c:val>
            <c:numRef>
              <c:f>'Glide Path of PV completion'!$AG$4:$AG$42</c:f>
              <c:numCache>
                <c:formatCode>[$-409]d\-mmm\-yy;@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17</c:v>
                </c:pt>
                <c:pt idx="6">
                  <c:v>104</c:v>
                </c:pt>
                <c:pt idx="7">
                  <c:v>371</c:v>
                </c:pt>
                <c:pt idx="8">
                  <c:v>372</c:v>
                </c:pt>
                <c:pt idx="9">
                  <c:v>402</c:v>
                </c:pt>
                <c:pt idx="10">
                  <c:v>402</c:v>
                </c:pt>
                <c:pt idx="11">
                  <c:v>424</c:v>
                </c:pt>
                <c:pt idx="12">
                  <c:v>446</c:v>
                </c:pt>
                <c:pt idx="13">
                  <c:v>0</c:v>
                </c:pt>
                <c:pt idx="14">
                  <c:v>47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12</c:v>
                </c:pt>
                <c:pt idx="35">
                  <c:v>17</c:v>
                </c:pt>
                <c:pt idx="36">
                  <c:v>25</c:v>
                </c:pt>
                <c:pt idx="37">
                  <c:v>47</c:v>
                </c:pt>
                <c:pt idx="38">
                  <c:v>446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14C8-43AB-ACF7-8A1F5910889F}"/>
            </c:ext>
          </c:extLst>
        </c:ser>
        <c:ser>
          <c:idx val="2"/>
          <c:order val="2"/>
          <c:tx>
            <c:strRef>
              <c:f>'Glide Path of PV completion'!$AH$3</c:f>
              <c:strCache>
                <c:ptCount val="1"/>
                <c:pt idx="0">
                  <c:v>PV Completed (Actual)</c:v>
                </c:pt>
              </c:strCache>
            </c:strRef>
          </c:tx>
          <c:spPr>
            <a:ln w="12700"/>
          </c:spPr>
          <c:cat>
            <c:numRef>
              <c:f>'Glide Path of PV completion'!$A$4:$A$42</c:f>
              <c:numCache>
                <c:formatCode>m/d/yyyy</c:formatCode>
                <c:ptCount val="39"/>
                <c:pt idx="0">
                  <c:v>43099</c:v>
                </c:pt>
                <c:pt idx="1">
                  <c:v>43130</c:v>
                </c:pt>
                <c:pt idx="2">
                  <c:v>43159</c:v>
                </c:pt>
                <c:pt idx="3">
                  <c:v>43168</c:v>
                </c:pt>
                <c:pt idx="4">
                  <c:v>43175</c:v>
                </c:pt>
                <c:pt idx="5">
                  <c:v>43220</c:v>
                </c:pt>
                <c:pt idx="6">
                  <c:v>43250</c:v>
                </c:pt>
                <c:pt idx="7">
                  <c:v>43278</c:v>
                </c:pt>
                <c:pt idx="8">
                  <c:v>43299</c:v>
                </c:pt>
                <c:pt idx="9">
                  <c:v>43342</c:v>
                </c:pt>
                <c:pt idx="10">
                  <c:v>43369</c:v>
                </c:pt>
                <c:pt idx="11">
                  <c:v>43390</c:v>
                </c:pt>
                <c:pt idx="12">
                  <c:v>43404</c:v>
                </c:pt>
                <c:pt idx="13">
                  <c:v>43056</c:v>
                </c:pt>
                <c:pt idx="14">
                  <c:v>43237</c:v>
                </c:pt>
                <c:pt idx="15">
                  <c:v>43070</c:v>
                </c:pt>
                <c:pt idx="16">
                  <c:v>43077</c:v>
                </c:pt>
                <c:pt idx="17">
                  <c:v>43084</c:v>
                </c:pt>
                <c:pt idx="18">
                  <c:v>43091</c:v>
                </c:pt>
                <c:pt idx="19">
                  <c:v>43098</c:v>
                </c:pt>
                <c:pt idx="20">
                  <c:v>43105</c:v>
                </c:pt>
                <c:pt idx="21">
                  <c:v>43112</c:v>
                </c:pt>
                <c:pt idx="22">
                  <c:v>43119</c:v>
                </c:pt>
                <c:pt idx="23">
                  <c:v>43126</c:v>
                </c:pt>
                <c:pt idx="24">
                  <c:v>43130</c:v>
                </c:pt>
                <c:pt idx="25">
                  <c:v>43133</c:v>
                </c:pt>
                <c:pt idx="26">
                  <c:v>43140</c:v>
                </c:pt>
                <c:pt idx="27">
                  <c:v>43147</c:v>
                </c:pt>
                <c:pt idx="28">
                  <c:v>43154</c:v>
                </c:pt>
                <c:pt idx="29">
                  <c:v>43161</c:v>
                </c:pt>
                <c:pt idx="30">
                  <c:v>43164</c:v>
                </c:pt>
                <c:pt idx="31">
                  <c:v>43168</c:v>
                </c:pt>
                <c:pt idx="32">
                  <c:v>43175</c:v>
                </c:pt>
                <c:pt idx="33">
                  <c:v>43182</c:v>
                </c:pt>
                <c:pt idx="34">
                  <c:v>43189</c:v>
                </c:pt>
                <c:pt idx="35">
                  <c:v>43220</c:v>
                </c:pt>
                <c:pt idx="36">
                  <c:v>43222</c:v>
                </c:pt>
                <c:pt idx="37">
                  <c:v>43235</c:v>
                </c:pt>
                <c:pt idx="38">
                  <c:v>43251</c:v>
                </c:pt>
              </c:numCache>
            </c:numRef>
          </c:cat>
          <c:val>
            <c:numRef>
              <c:f>'Glide Path of PV completion'!$AH$4:$AH$42</c:f>
              <c:numCache>
                <c:formatCode>[$-409]d\-mmm\-yy;@</c:formatCode>
                <c:ptCount val="39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14C8-43AB-ACF7-8A1F59108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676416"/>
        <c:axId val="237677952"/>
      </c:lineChart>
      <c:catAx>
        <c:axId val="2376764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37677952"/>
        <c:crosses val="autoZero"/>
        <c:auto val="0"/>
        <c:lblAlgn val="ctr"/>
        <c:lblOffset val="100"/>
        <c:noMultiLvlLbl val="0"/>
      </c:catAx>
      <c:valAx>
        <c:axId val="237677952"/>
        <c:scaling>
          <c:orientation val="minMax"/>
        </c:scaling>
        <c:delete val="0"/>
        <c:axPos val="l"/>
        <c:majorGridlines/>
        <c:numFmt formatCode="[$-409]d\-mmm\-yy;@" sourceLinked="1"/>
        <c:majorTickMark val="none"/>
        <c:minorTickMark val="none"/>
        <c:tickLblPos val="nextTo"/>
        <c:crossAx val="237676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6.3594921448216102E-2"/>
          <c:y val="0.88457951020585246"/>
          <c:w val="0.91726715978684481"/>
          <c:h val="9.41440171218267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CD539MCA PV Completion Glide Path</a:t>
            </a:r>
            <a:endParaRPr lang="zh-CN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319541316486249E-2"/>
          <c:y val="0.16316315299297265"/>
          <c:w val="0.89399010471265838"/>
          <c:h val="0.64516445824457525"/>
        </c:manualLayout>
      </c:layout>
      <c:lineChart>
        <c:grouping val="standard"/>
        <c:varyColors val="0"/>
        <c:ser>
          <c:idx val="0"/>
          <c:order val="0"/>
          <c:tx>
            <c:strRef>
              <c:f>'Glide Path of PV completion'!$AJ$3</c:f>
              <c:strCache>
                <c:ptCount val="1"/>
                <c:pt idx="0">
                  <c:v>Completion Percentage (Forecast)</c:v>
                </c:pt>
              </c:strCache>
            </c:strRef>
          </c:tx>
          <c:spPr>
            <a:ln w="31750" cap="rnd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6"/>
            <c:spPr>
              <a:solidFill>
                <a:srgbClr val="C00000"/>
              </a:solidFill>
              <a:ln w="12700">
                <a:solidFill>
                  <a:srgbClr val="C0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1"/>
              <c:layout>
                <c:manualLayout>
                  <c:x val="-1.7667557518128665E-2"/>
                  <c:y val="-2.83002128984217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3-493A-8400-524A2CA7D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'Glide Path of PV completion'!$A$4:$A$16</c:f>
              <c:numCache>
                <c:formatCode>m/d/yyyy</c:formatCode>
                <c:ptCount val="13"/>
                <c:pt idx="0">
                  <c:v>43099</c:v>
                </c:pt>
                <c:pt idx="1">
                  <c:v>43130</c:v>
                </c:pt>
                <c:pt idx="2">
                  <c:v>43159</c:v>
                </c:pt>
                <c:pt idx="3">
                  <c:v>43168</c:v>
                </c:pt>
                <c:pt idx="4">
                  <c:v>43175</c:v>
                </c:pt>
                <c:pt idx="5">
                  <c:v>43220</c:v>
                </c:pt>
                <c:pt idx="6">
                  <c:v>43250</c:v>
                </c:pt>
                <c:pt idx="7">
                  <c:v>43278</c:v>
                </c:pt>
                <c:pt idx="8">
                  <c:v>43299</c:v>
                </c:pt>
                <c:pt idx="9">
                  <c:v>43342</c:v>
                </c:pt>
                <c:pt idx="10">
                  <c:v>43369</c:v>
                </c:pt>
                <c:pt idx="11">
                  <c:v>43390</c:v>
                </c:pt>
                <c:pt idx="12">
                  <c:v>43404</c:v>
                </c:pt>
              </c:numCache>
            </c:numRef>
          </c:cat>
          <c:val>
            <c:numRef>
              <c:f>'Glide Path of PV completion'!$AJ$4:$AJ$16</c:f>
              <c:numCache>
                <c:formatCode>0.0%</c:formatCode>
                <c:ptCount val="13"/>
                <c:pt idx="3">
                  <c:v>1.3483146067415731E-2</c:v>
                </c:pt>
                <c:pt idx="4">
                  <c:v>1.3483146067415731E-2</c:v>
                </c:pt>
                <c:pt idx="5">
                  <c:v>3.8202247191011236E-2</c:v>
                </c:pt>
                <c:pt idx="6">
                  <c:v>0.23370786516853934</c:v>
                </c:pt>
                <c:pt idx="7">
                  <c:v>0.83370786516853934</c:v>
                </c:pt>
                <c:pt idx="8">
                  <c:v>0.83595505617977528</c:v>
                </c:pt>
                <c:pt idx="9">
                  <c:v>0.90337078651685399</c:v>
                </c:pt>
                <c:pt idx="10">
                  <c:v>0.90337078651685399</c:v>
                </c:pt>
                <c:pt idx="11">
                  <c:v>0.95280898876404496</c:v>
                </c:pt>
                <c:pt idx="12">
                  <c:v>1.002247191011236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23-493A-8400-524A2CA7DCB3}"/>
            </c:ext>
          </c:extLst>
        </c:ser>
        <c:ser>
          <c:idx val="1"/>
          <c:order val="1"/>
          <c:tx>
            <c:strRef>
              <c:f>'Glide Path of PV completion'!$AK$3</c:f>
              <c:strCache>
                <c:ptCount val="1"/>
                <c:pt idx="0">
                  <c:v>Completion Percentage (Actual)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1.873536160877113E-2"/>
                  <c:y val="4.014291768171102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3-493A-8400-524A2CA7DCB3}"/>
                </c:ext>
              </c:extLst>
            </c:dLbl>
            <c:dLbl>
              <c:idx val="1"/>
              <c:layout>
                <c:manualLayout>
                  <c:x val="-1.8735361608771109E-2"/>
                  <c:y val="1.4772720774928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3-493A-8400-524A2CA7DCB3}"/>
                </c:ext>
              </c:extLst>
            </c:dLbl>
            <c:dLbl>
              <c:idx val="2"/>
              <c:layout>
                <c:manualLayout>
                  <c:x val="-1.9811332344061551E-2"/>
                  <c:y val="9.393506271549849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3-493A-8400-524A2CA7DCB3}"/>
                </c:ext>
              </c:extLst>
            </c:dLbl>
            <c:dLbl>
              <c:idx val="3"/>
              <c:layout>
                <c:manualLayout>
                  <c:x val="-7.9756542558667275E-3"/>
                  <c:y val="9.393506271549948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3F-4F5A-B9E2-41A8357BC1E2}"/>
                </c:ext>
              </c:extLst>
            </c:dLbl>
            <c:dLbl>
              <c:idx val="4"/>
              <c:layout>
                <c:manualLayout>
                  <c:x val="-1.8735361608771109E-2"/>
                  <c:y val="2.2841542529997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A3F-4F5A-B9E2-41A8357BC1E2}"/>
                </c:ext>
              </c:extLst>
            </c:dLbl>
            <c:dLbl>
              <c:idx val="6"/>
              <c:layout>
                <c:manualLayout>
                  <c:x val="-8.5563412190087108E-3"/>
                  <c:y val="3.24185852781004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23-493A-8400-524A2CA7D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'Glide Path of PV completion'!$A$4:$A$16</c:f>
              <c:numCache>
                <c:formatCode>m/d/yyyy</c:formatCode>
                <c:ptCount val="13"/>
                <c:pt idx="0">
                  <c:v>43099</c:v>
                </c:pt>
                <c:pt idx="1">
                  <c:v>43130</c:v>
                </c:pt>
                <c:pt idx="2">
                  <c:v>43159</c:v>
                </c:pt>
                <c:pt idx="3">
                  <c:v>43168</c:v>
                </c:pt>
                <c:pt idx="4">
                  <c:v>43175</c:v>
                </c:pt>
                <c:pt idx="5">
                  <c:v>43220</c:v>
                </c:pt>
                <c:pt idx="6">
                  <c:v>43250</c:v>
                </c:pt>
                <c:pt idx="7">
                  <c:v>43278</c:v>
                </c:pt>
                <c:pt idx="8">
                  <c:v>43299</c:v>
                </c:pt>
                <c:pt idx="9">
                  <c:v>43342</c:v>
                </c:pt>
                <c:pt idx="10">
                  <c:v>43369</c:v>
                </c:pt>
                <c:pt idx="11">
                  <c:v>43390</c:v>
                </c:pt>
                <c:pt idx="12">
                  <c:v>43404</c:v>
                </c:pt>
              </c:numCache>
            </c:numRef>
          </c:cat>
          <c:val>
            <c:numRef>
              <c:f>'Glide Path of PV completion'!$AK$4:$AK$16</c:f>
              <c:numCache>
                <c:formatCode>0.0%</c:formatCode>
                <c:ptCount val="13"/>
                <c:pt idx="0">
                  <c:v>0</c:v>
                </c:pt>
                <c:pt idx="1">
                  <c:v>4.4943820224719105E-3</c:v>
                </c:pt>
                <c:pt idx="2">
                  <c:v>4.4943820224719105E-3</c:v>
                </c:pt>
                <c:pt idx="3">
                  <c:v>4.4943820224719105E-3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023-493A-8400-524A2CA7D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93248"/>
        <c:axId val="237495040"/>
      </c:lineChart>
      <c:catAx>
        <c:axId val="237493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7495040"/>
        <c:crosses val="autoZero"/>
        <c:auto val="0"/>
        <c:lblAlgn val="ctr"/>
        <c:lblOffset val="100"/>
        <c:tickLblSkip val="1"/>
        <c:noMultiLvlLbl val="1"/>
      </c:catAx>
      <c:valAx>
        <c:axId val="23749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2060"/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749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800" b="1" i="0" baseline="0">
                <a:effectLst/>
              </a:rPr>
              <a:t>CD539MCA PV start Glide Path</a:t>
            </a:r>
            <a:endParaRPr lang="zh-CN" altLang="zh-CN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'Glide Path of PV completion'!$F$77</c:f>
              <c:strCache>
                <c:ptCount val="1"/>
                <c:pt idx="0">
                  <c:v>Plan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'Glide Path of PV completion'!$E$78:$E$108</c:f>
              <c:numCache>
                <c:formatCode>m/d/yyyy</c:formatCode>
                <c:ptCount val="31"/>
                <c:pt idx="0">
                  <c:v>43119</c:v>
                </c:pt>
                <c:pt idx="1">
                  <c:v>43126</c:v>
                </c:pt>
                <c:pt idx="2">
                  <c:v>43133</c:v>
                </c:pt>
                <c:pt idx="3">
                  <c:v>43140</c:v>
                </c:pt>
                <c:pt idx="4">
                  <c:v>43147</c:v>
                </c:pt>
                <c:pt idx="5">
                  <c:v>43154</c:v>
                </c:pt>
                <c:pt idx="6">
                  <c:v>43161</c:v>
                </c:pt>
                <c:pt idx="7">
                  <c:v>43168</c:v>
                </c:pt>
                <c:pt idx="8">
                  <c:v>43175</c:v>
                </c:pt>
                <c:pt idx="9">
                  <c:v>43182</c:v>
                </c:pt>
                <c:pt idx="10">
                  <c:v>43189</c:v>
                </c:pt>
                <c:pt idx="11">
                  <c:v>43196</c:v>
                </c:pt>
                <c:pt idx="12">
                  <c:v>43203</c:v>
                </c:pt>
                <c:pt idx="13">
                  <c:v>43210</c:v>
                </c:pt>
                <c:pt idx="14">
                  <c:v>43217</c:v>
                </c:pt>
                <c:pt idx="15">
                  <c:v>43224</c:v>
                </c:pt>
                <c:pt idx="16">
                  <c:v>43231</c:v>
                </c:pt>
                <c:pt idx="17">
                  <c:v>43238</c:v>
                </c:pt>
                <c:pt idx="18">
                  <c:v>43245</c:v>
                </c:pt>
                <c:pt idx="19">
                  <c:v>43252</c:v>
                </c:pt>
                <c:pt idx="20">
                  <c:v>43259</c:v>
                </c:pt>
                <c:pt idx="21">
                  <c:v>43266</c:v>
                </c:pt>
                <c:pt idx="22">
                  <c:v>43273</c:v>
                </c:pt>
                <c:pt idx="23">
                  <c:v>43280</c:v>
                </c:pt>
                <c:pt idx="24">
                  <c:v>43287</c:v>
                </c:pt>
                <c:pt idx="25">
                  <c:v>43294</c:v>
                </c:pt>
                <c:pt idx="26">
                  <c:v>43301</c:v>
                </c:pt>
                <c:pt idx="27">
                  <c:v>43308</c:v>
                </c:pt>
                <c:pt idx="28">
                  <c:v>43315</c:v>
                </c:pt>
                <c:pt idx="29">
                  <c:v>43322</c:v>
                </c:pt>
                <c:pt idx="30">
                  <c:v>43329</c:v>
                </c:pt>
              </c:numCache>
            </c:numRef>
          </c:cat>
          <c:val>
            <c:numRef>
              <c:f>'Glide Path of PV completion'!$F$78:$F$108</c:f>
              <c:numCache>
                <c:formatCode>[$-409]d\-mmm\-yy;@</c:formatCode>
                <c:ptCount val="31"/>
                <c:pt idx="0">
                  <c:v>69</c:v>
                </c:pt>
                <c:pt idx="1">
                  <c:v>82</c:v>
                </c:pt>
                <c:pt idx="2">
                  <c:v>82</c:v>
                </c:pt>
                <c:pt idx="3">
                  <c:v>98</c:v>
                </c:pt>
                <c:pt idx="4">
                  <c:v>131</c:v>
                </c:pt>
                <c:pt idx="5">
                  <c:v>132</c:v>
                </c:pt>
                <c:pt idx="6">
                  <c:v>258</c:v>
                </c:pt>
                <c:pt idx="7">
                  <c:v>272</c:v>
                </c:pt>
                <c:pt idx="8">
                  <c:v>282</c:v>
                </c:pt>
                <c:pt idx="9">
                  <c:v>295</c:v>
                </c:pt>
                <c:pt idx="10">
                  <c:v>297</c:v>
                </c:pt>
                <c:pt idx="11">
                  <c:v>305</c:v>
                </c:pt>
                <c:pt idx="12">
                  <c:v>306</c:v>
                </c:pt>
                <c:pt idx="13">
                  <c:v>374</c:v>
                </c:pt>
                <c:pt idx="14">
                  <c:v>375</c:v>
                </c:pt>
                <c:pt idx="15">
                  <c:v>376</c:v>
                </c:pt>
                <c:pt idx="16">
                  <c:v>377</c:v>
                </c:pt>
                <c:pt idx="17">
                  <c:v>377</c:v>
                </c:pt>
                <c:pt idx="18">
                  <c:v>377</c:v>
                </c:pt>
                <c:pt idx="19">
                  <c:v>403</c:v>
                </c:pt>
                <c:pt idx="20">
                  <c:v>403</c:v>
                </c:pt>
                <c:pt idx="21">
                  <c:v>403</c:v>
                </c:pt>
                <c:pt idx="22">
                  <c:v>403</c:v>
                </c:pt>
                <c:pt idx="23">
                  <c:v>403</c:v>
                </c:pt>
                <c:pt idx="24">
                  <c:v>403</c:v>
                </c:pt>
                <c:pt idx="25">
                  <c:v>403</c:v>
                </c:pt>
                <c:pt idx="26">
                  <c:v>427</c:v>
                </c:pt>
                <c:pt idx="27">
                  <c:v>427</c:v>
                </c:pt>
                <c:pt idx="28">
                  <c:v>427</c:v>
                </c:pt>
                <c:pt idx="29">
                  <c:v>427</c:v>
                </c:pt>
                <c:pt idx="30">
                  <c:v>427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D73-4221-B917-E3B5BD5F8C8D}"/>
            </c:ext>
          </c:extLst>
        </c:ser>
        <c:ser>
          <c:idx val="1"/>
          <c:order val="1"/>
          <c:tx>
            <c:strRef>
              <c:f>'Glide Path of PV completion'!$G$77</c:f>
              <c:strCache>
                <c:ptCount val="1"/>
                <c:pt idx="0">
                  <c:v>Forecast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squar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6022562480785712E-2"/>
                  <c:y val="9.9327406090578465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73-4221-B917-E3B5BD5F8C8D}"/>
                </c:ext>
              </c:extLst>
            </c:dLbl>
            <c:dLbl>
              <c:idx val="1"/>
              <c:layout>
                <c:manualLayout>
                  <c:x val="-2.6022562480785705E-2"/>
                  <c:y val="2.2738771342019081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73-4221-B917-E3B5BD5F8C8D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'Glide Path of PV completion'!$E$78:$E$108</c:f>
              <c:numCache>
                <c:formatCode>m/d/yyyy</c:formatCode>
                <c:ptCount val="31"/>
                <c:pt idx="0">
                  <c:v>43119</c:v>
                </c:pt>
                <c:pt idx="1">
                  <c:v>43126</c:v>
                </c:pt>
                <c:pt idx="2">
                  <c:v>43133</c:v>
                </c:pt>
                <c:pt idx="3">
                  <c:v>43140</c:v>
                </c:pt>
                <c:pt idx="4">
                  <c:v>43147</c:v>
                </c:pt>
                <c:pt idx="5">
                  <c:v>43154</c:v>
                </c:pt>
                <c:pt idx="6">
                  <c:v>43161</c:v>
                </c:pt>
                <c:pt idx="7">
                  <c:v>43168</c:v>
                </c:pt>
                <c:pt idx="8">
                  <c:v>43175</c:v>
                </c:pt>
                <c:pt idx="9">
                  <c:v>43182</c:v>
                </c:pt>
                <c:pt idx="10">
                  <c:v>43189</c:v>
                </c:pt>
                <c:pt idx="11">
                  <c:v>43196</c:v>
                </c:pt>
                <c:pt idx="12">
                  <c:v>43203</c:v>
                </c:pt>
                <c:pt idx="13">
                  <c:v>43210</c:v>
                </c:pt>
                <c:pt idx="14">
                  <c:v>43217</c:v>
                </c:pt>
                <c:pt idx="15">
                  <c:v>43224</c:v>
                </c:pt>
                <c:pt idx="16">
                  <c:v>43231</c:v>
                </c:pt>
                <c:pt idx="17">
                  <c:v>43238</c:v>
                </c:pt>
                <c:pt idx="18">
                  <c:v>43245</c:v>
                </c:pt>
                <c:pt idx="19">
                  <c:v>43252</c:v>
                </c:pt>
                <c:pt idx="20">
                  <c:v>43259</c:v>
                </c:pt>
                <c:pt idx="21">
                  <c:v>43266</c:v>
                </c:pt>
                <c:pt idx="22">
                  <c:v>43273</c:v>
                </c:pt>
                <c:pt idx="23">
                  <c:v>43280</c:v>
                </c:pt>
                <c:pt idx="24">
                  <c:v>43287</c:v>
                </c:pt>
                <c:pt idx="25">
                  <c:v>43294</c:v>
                </c:pt>
                <c:pt idx="26">
                  <c:v>43301</c:v>
                </c:pt>
                <c:pt idx="27">
                  <c:v>43308</c:v>
                </c:pt>
                <c:pt idx="28">
                  <c:v>43315</c:v>
                </c:pt>
                <c:pt idx="29">
                  <c:v>43322</c:v>
                </c:pt>
                <c:pt idx="30">
                  <c:v>43329</c:v>
                </c:pt>
              </c:numCache>
            </c:numRef>
          </c:cat>
          <c:val>
            <c:numRef>
              <c:f>'Glide Path of PV completion'!$G$78:$G$108</c:f>
              <c:numCache>
                <c:formatCode>[$-409]d\-mmm\-yy;@</c:formatCode>
                <c:ptCount val="31"/>
                <c:pt idx="2">
                  <c:v>65</c:v>
                </c:pt>
                <c:pt idx="3">
                  <c:v>81</c:v>
                </c:pt>
                <c:pt idx="4">
                  <c:v>95</c:v>
                </c:pt>
                <c:pt idx="5">
                  <c:v>96</c:v>
                </c:pt>
                <c:pt idx="6">
                  <c:v>109</c:v>
                </c:pt>
                <c:pt idx="7">
                  <c:v>114</c:v>
                </c:pt>
                <c:pt idx="8">
                  <c:v>153</c:v>
                </c:pt>
                <c:pt idx="9">
                  <c:v>167</c:v>
                </c:pt>
                <c:pt idx="10">
                  <c:v>169</c:v>
                </c:pt>
                <c:pt idx="11">
                  <c:v>291</c:v>
                </c:pt>
                <c:pt idx="12">
                  <c:v>292</c:v>
                </c:pt>
                <c:pt idx="13">
                  <c:v>362</c:v>
                </c:pt>
                <c:pt idx="14">
                  <c:v>363</c:v>
                </c:pt>
                <c:pt idx="15">
                  <c:v>368</c:v>
                </c:pt>
                <c:pt idx="16">
                  <c:v>374</c:v>
                </c:pt>
                <c:pt idx="17">
                  <c:v>374</c:v>
                </c:pt>
                <c:pt idx="18">
                  <c:v>378</c:v>
                </c:pt>
                <c:pt idx="19">
                  <c:v>404</c:v>
                </c:pt>
                <c:pt idx="20">
                  <c:v>404</c:v>
                </c:pt>
                <c:pt idx="21">
                  <c:v>404</c:v>
                </c:pt>
                <c:pt idx="22">
                  <c:v>404</c:v>
                </c:pt>
                <c:pt idx="23">
                  <c:v>404</c:v>
                </c:pt>
                <c:pt idx="24">
                  <c:v>404</c:v>
                </c:pt>
                <c:pt idx="25">
                  <c:v>404</c:v>
                </c:pt>
                <c:pt idx="26">
                  <c:v>428</c:v>
                </c:pt>
                <c:pt idx="27">
                  <c:v>428</c:v>
                </c:pt>
                <c:pt idx="28">
                  <c:v>428</c:v>
                </c:pt>
                <c:pt idx="29">
                  <c:v>428</c:v>
                </c:pt>
                <c:pt idx="30">
                  <c:v>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D73-4221-B917-E3B5BD5F8C8D}"/>
            </c:ext>
          </c:extLst>
        </c:ser>
        <c:ser>
          <c:idx val="2"/>
          <c:order val="2"/>
          <c:tx>
            <c:strRef>
              <c:f>'Glide Path of PV completion'!$H$77</c:f>
              <c:strCache>
                <c:ptCount val="1"/>
                <c:pt idx="0">
                  <c:v>Actual</c:v>
                </c:pt>
              </c:strCache>
            </c:strRef>
          </c:tx>
          <c:dLbls>
            <c:dLbl>
              <c:idx val="0"/>
              <c:layout>
                <c:manualLayout>
                  <c:x val="-2.7821534422613352E-2"/>
                  <c:y val="1.8088119049258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B3-4B2C-B4F9-0EA2C7143593}"/>
                </c:ext>
              </c:extLst>
            </c:dLbl>
            <c:dLbl>
              <c:idx val="1"/>
              <c:layout>
                <c:manualLayout>
                  <c:x val="-2.7821534422613342E-2"/>
                  <c:y val="2.1102805557467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B3-4B2C-B4F9-0EA2C714359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'Glide Path of PV completion'!$E$78:$E$108</c:f>
              <c:numCache>
                <c:formatCode>m/d/yyyy</c:formatCode>
                <c:ptCount val="31"/>
                <c:pt idx="0">
                  <c:v>43119</c:v>
                </c:pt>
                <c:pt idx="1">
                  <c:v>43126</c:v>
                </c:pt>
                <c:pt idx="2">
                  <c:v>43133</c:v>
                </c:pt>
                <c:pt idx="3">
                  <c:v>43140</c:v>
                </c:pt>
                <c:pt idx="4">
                  <c:v>43147</c:v>
                </c:pt>
                <c:pt idx="5">
                  <c:v>43154</c:v>
                </c:pt>
                <c:pt idx="6">
                  <c:v>43161</c:v>
                </c:pt>
                <c:pt idx="7">
                  <c:v>43168</c:v>
                </c:pt>
                <c:pt idx="8">
                  <c:v>43175</c:v>
                </c:pt>
                <c:pt idx="9">
                  <c:v>43182</c:v>
                </c:pt>
                <c:pt idx="10">
                  <c:v>43189</c:v>
                </c:pt>
                <c:pt idx="11">
                  <c:v>43196</c:v>
                </c:pt>
                <c:pt idx="12">
                  <c:v>43203</c:v>
                </c:pt>
                <c:pt idx="13">
                  <c:v>43210</c:v>
                </c:pt>
                <c:pt idx="14">
                  <c:v>43217</c:v>
                </c:pt>
                <c:pt idx="15">
                  <c:v>43224</c:v>
                </c:pt>
                <c:pt idx="16">
                  <c:v>43231</c:v>
                </c:pt>
                <c:pt idx="17">
                  <c:v>43238</c:v>
                </c:pt>
                <c:pt idx="18">
                  <c:v>43245</c:v>
                </c:pt>
                <c:pt idx="19">
                  <c:v>43252</c:v>
                </c:pt>
                <c:pt idx="20">
                  <c:v>43259</c:v>
                </c:pt>
                <c:pt idx="21">
                  <c:v>43266</c:v>
                </c:pt>
                <c:pt idx="22">
                  <c:v>43273</c:v>
                </c:pt>
                <c:pt idx="23">
                  <c:v>43280</c:v>
                </c:pt>
                <c:pt idx="24">
                  <c:v>43287</c:v>
                </c:pt>
                <c:pt idx="25">
                  <c:v>43294</c:v>
                </c:pt>
                <c:pt idx="26">
                  <c:v>43301</c:v>
                </c:pt>
                <c:pt idx="27">
                  <c:v>43308</c:v>
                </c:pt>
                <c:pt idx="28">
                  <c:v>43315</c:v>
                </c:pt>
                <c:pt idx="29">
                  <c:v>43322</c:v>
                </c:pt>
                <c:pt idx="30">
                  <c:v>43329</c:v>
                </c:pt>
              </c:numCache>
            </c:numRef>
          </c:cat>
          <c:val>
            <c:numRef>
              <c:f>'Glide Path of PV completion'!$H$78:$H$108</c:f>
              <c:numCache>
                <c:formatCode>[$-409]d\-mmm\-yy;@</c:formatCode>
                <c:ptCount val="31"/>
                <c:pt idx="0">
                  <c:v>57</c:v>
                </c:pt>
                <c:pt idx="1">
                  <c:v>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D73-4221-B917-E3B5BD5F8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050304"/>
        <c:axId val="238064384"/>
      </c:lineChart>
      <c:catAx>
        <c:axId val="23805030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238064384"/>
        <c:crosses val="autoZero"/>
        <c:auto val="0"/>
        <c:lblAlgn val="ctr"/>
        <c:lblOffset val="100"/>
        <c:noMultiLvlLbl val="1"/>
      </c:catAx>
      <c:valAx>
        <c:axId val="238064384"/>
        <c:scaling>
          <c:orientation val="minMax"/>
        </c:scaling>
        <c:delete val="0"/>
        <c:axPos val="l"/>
        <c:numFmt formatCode="[$-409]d\-mmm\-yy;@" sourceLinked="1"/>
        <c:majorTickMark val="out"/>
        <c:minorTickMark val="none"/>
        <c:tickLblPos val="nextTo"/>
        <c:crossAx val="238050304"/>
        <c:crosses val="autoZero"/>
        <c:crossBetween val="between"/>
      </c:valAx>
      <c:spPr>
        <a:ln>
          <a:solidFill>
            <a:schemeClr val="accent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accent1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fmlaLink="'Tracking List'!$CE$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fmlaLink="'Tracking List'!$CE$4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checked="Checked" firstButton="1" fmlaLink="'Tracking List'!$CE$4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checked="Checked" firstButton="1" fmlaLink="'Tracking List'!$CE$4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83820</xdr:rowOff>
        </xdr:from>
        <xdr:to>
          <xdr:col>2</xdr:col>
          <xdr:colOff>106680</xdr:colOff>
          <xdr:row>0</xdr:row>
          <xdr:rowOff>373380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22860</xdr:rowOff>
        </xdr:from>
        <xdr:to>
          <xdr:col>2</xdr:col>
          <xdr:colOff>106680</xdr:colOff>
          <xdr:row>1</xdr:row>
          <xdr:rowOff>304800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Unfreeze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83820</xdr:rowOff>
        </xdr:from>
        <xdr:to>
          <xdr:col>2</xdr:col>
          <xdr:colOff>975360</xdr:colOff>
          <xdr:row>0</xdr:row>
          <xdr:rowOff>373380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119343</xdr:colOff>
          <xdr:row>0</xdr:row>
          <xdr:rowOff>56030</xdr:rowOff>
        </xdr:from>
        <xdr:to>
          <xdr:col>22</xdr:col>
          <xdr:colOff>750794</xdr:colOff>
          <xdr:row>0</xdr:row>
          <xdr:rowOff>299758</xdr:rowOff>
        </xdr:to>
        <xdr:grpSp>
          <xdr:nvGrpSpPr>
            <xdr:cNvPr id="2" name="Group 1"/>
            <xdr:cNvGrpSpPr/>
          </xdr:nvGrpSpPr>
          <xdr:grpSpPr>
            <a:xfrm>
              <a:off x="16318567" y="56030"/>
              <a:ext cx="1294839" cy="243728"/>
              <a:chOff x="13027988" y="92448"/>
              <a:chExt cx="1281366" cy="243728"/>
            </a:xfrm>
          </xdr:grpSpPr>
          <xdr:sp macro="" textlink="">
            <xdr:nvSpPr>
              <xdr:cNvPr id="4100" name="Option Button 4" hidden="1">
                <a:extLst>
                  <a:ext uri="{63B3BB69-23CF-44E3-9099-C40C66FF867C}">
                    <a14:compatExt spid="_x0000_s4100"/>
                  </a:ext>
                </a:extLst>
              </xdr:cNvPr>
              <xdr:cNvSpPr/>
            </xdr:nvSpPr>
            <xdr:spPr>
              <a:xfrm>
                <a:off x="13027988" y="92448"/>
                <a:ext cx="687480" cy="243728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Start</a:t>
                </a:r>
              </a:p>
            </xdr:txBody>
          </xdr:sp>
          <xdr:sp macro="" textlink="">
            <xdr:nvSpPr>
              <xdr:cNvPr id="4101" name="Option Button 5" hidden="1">
                <a:extLst>
                  <a:ext uri="{63B3BB69-23CF-44E3-9099-C40C66FF867C}">
                    <a14:compatExt spid="_x0000_s4101"/>
                  </a:ext>
                </a:extLst>
              </xdr:cNvPr>
              <xdr:cNvSpPr/>
            </xdr:nvSpPr>
            <xdr:spPr>
              <a:xfrm>
                <a:off x="13623553" y="93569"/>
                <a:ext cx="685801" cy="238125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Complete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35859</xdr:colOff>
          <xdr:row>0</xdr:row>
          <xdr:rowOff>92449</xdr:rowOff>
        </xdr:from>
        <xdr:to>
          <xdr:col>26</xdr:col>
          <xdr:colOff>867335</xdr:colOff>
          <xdr:row>0</xdr:row>
          <xdr:rowOff>382681</xdr:rowOff>
        </xdr:to>
        <xdr:grpSp>
          <xdr:nvGrpSpPr>
            <xdr:cNvPr id="3" name="Group 2"/>
            <xdr:cNvGrpSpPr/>
          </xdr:nvGrpSpPr>
          <xdr:grpSpPr>
            <a:xfrm>
              <a:off x="17866659" y="92449"/>
              <a:ext cx="3780864" cy="290232"/>
              <a:chOff x="12687300" y="92449"/>
              <a:chExt cx="3352801" cy="290232"/>
            </a:xfrm>
          </xdr:grpSpPr>
          <xdr:sp macro="" textlink="">
            <xdr:nvSpPr>
              <xdr:cNvPr id="4102" name="Button 6" hidden="1">
                <a:extLst>
                  <a:ext uri="{63B3BB69-23CF-44E3-9099-C40C66FF867C}">
                    <a14:compatExt spid="_x0000_s4102"/>
                  </a:ext>
                </a:extLst>
              </xdr:cNvPr>
              <xdr:cNvSpPr/>
            </xdr:nvSpPr>
            <xdr:spPr>
              <a:xfrm>
                <a:off x="12687300" y="96931"/>
                <a:ext cx="855569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Overdue</a:t>
                </a:r>
              </a:p>
            </xdr:txBody>
          </xdr:sp>
          <xdr:sp macro="" textlink="">
            <xdr:nvSpPr>
              <xdr:cNvPr id="4103" name="Button 7" hidden="1">
                <a:extLst>
                  <a:ext uri="{63B3BB69-23CF-44E3-9099-C40C66FF867C}">
                    <a14:compatExt spid="_x0000_s4103"/>
                  </a:ext>
                </a:extLst>
              </xdr:cNvPr>
              <xdr:cNvSpPr/>
            </xdr:nvSpPr>
            <xdr:spPr>
              <a:xfrm>
                <a:off x="13619629" y="92449"/>
                <a:ext cx="1183341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FF9900"/>
                    </a:solidFill>
                    <a:latin typeface="Arial"/>
                    <a:cs typeface="Arial"/>
                  </a:rPr>
                  <a:t>1w Lookahead</a:t>
                </a:r>
              </a:p>
            </xdr:txBody>
          </xdr:sp>
          <xdr:sp macro="" textlink="">
            <xdr:nvSpPr>
              <xdr:cNvPr id="4104" name="Button 8" hidden="1">
                <a:extLst>
                  <a:ext uri="{63B3BB69-23CF-44E3-9099-C40C66FF867C}">
                    <a14:compatExt spid="_x0000_s4104"/>
                  </a:ext>
                </a:extLst>
              </xdr:cNvPr>
              <xdr:cNvSpPr/>
            </xdr:nvSpPr>
            <xdr:spPr>
              <a:xfrm>
                <a:off x="14848916" y="92449"/>
                <a:ext cx="1191185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2w Lookahead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83820</xdr:rowOff>
        </xdr:from>
        <xdr:to>
          <xdr:col>2</xdr:col>
          <xdr:colOff>106680</xdr:colOff>
          <xdr:row>1</xdr:row>
          <xdr:rowOff>373380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22860</xdr:rowOff>
        </xdr:from>
        <xdr:to>
          <xdr:col>2</xdr:col>
          <xdr:colOff>106680</xdr:colOff>
          <xdr:row>1</xdr:row>
          <xdr:rowOff>304800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Unfreeze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83820</xdr:rowOff>
        </xdr:from>
        <xdr:to>
          <xdr:col>2</xdr:col>
          <xdr:colOff>975360</xdr:colOff>
          <xdr:row>1</xdr:row>
          <xdr:rowOff>373380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119343</xdr:colOff>
          <xdr:row>0</xdr:row>
          <xdr:rowOff>56030</xdr:rowOff>
        </xdr:from>
        <xdr:to>
          <xdr:col>17</xdr:col>
          <xdr:colOff>607919</xdr:colOff>
          <xdr:row>1</xdr:row>
          <xdr:rowOff>4483</xdr:rowOff>
        </xdr:to>
        <xdr:grpSp>
          <xdr:nvGrpSpPr>
            <xdr:cNvPr id="5" name="Group 1"/>
            <xdr:cNvGrpSpPr/>
          </xdr:nvGrpSpPr>
          <xdr:grpSpPr>
            <a:xfrm>
              <a:off x="8596592" y="56030"/>
              <a:ext cx="1345823" cy="300878"/>
              <a:chOff x="13027955" y="92448"/>
              <a:chExt cx="1281379" cy="243728"/>
            </a:xfrm>
          </xdr:grpSpPr>
          <xdr:sp macro="" textlink="">
            <xdr:nvSpPr>
              <xdr:cNvPr id="28676" name="Option Button 4" hidden="1">
                <a:extLst>
                  <a:ext uri="{63B3BB69-23CF-44E3-9099-C40C66FF867C}">
                    <a14:compatExt spid="_x0000_s28676"/>
                  </a:ext>
                </a:extLst>
              </xdr:cNvPr>
              <xdr:cNvSpPr/>
            </xdr:nvSpPr>
            <xdr:spPr>
              <a:xfrm>
                <a:off x="13027955" y="92448"/>
                <a:ext cx="687480" cy="243728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Start</a:t>
                </a:r>
              </a:p>
            </xdr:txBody>
          </xdr:sp>
          <xdr:sp macro="" textlink="">
            <xdr:nvSpPr>
              <xdr:cNvPr id="28677" name="Option Button 5" hidden="1">
                <a:extLst>
                  <a:ext uri="{63B3BB69-23CF-44E3-9099-C40C66FF867C}">
                    <a14:compatExt spid="_x0000_s28677"/>
                  </a:ext>
                </a:extLst>
              </xdr:cNvPr>
              <xdr:cNvSpPr/>
            </xdr:nvSpPr>
            <xdr:spPr>
              <a:xfrm>
                <a:off x="13623534" y="93569"/>
                <a:ext cx="685800" cy="238125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Complete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35859</xdr:colOff>
          <xdr:row>0</xdr:row>
          <xdr:rowOff>92449</xdr:rowOff>
        </xdr:from>
        <xdr:to>
          <xdr:col>22</xdr:col>
          <xdr:colOff>560</xdr:colOff>
          <xdr:row>1</xdr:row>
          <xdr:rowOff>1681</xdr:rowOff>
        </xdr:to>
        <xdr:grpSp>
          <xdr:nvGrpSpPr>
            <xdr:cNvPr id="8" name="Group 2"/>
            <xdr:cNvGrpSpPr/>
          </xdr:nvGrpSpPr>
          <xdr:grpSpPr>
            <a:xfrm>
              <a:off x="10246660" y="92449"/>
              <a:ext cx="3412755" cy="261657"/>
              <a:chOff x="12687301" y="92449"/>
              <a:chExt cx="3352788" cy="290232"/>
            </a:xfrm>
          </xdr:grpSpPr>
          <xdr:sp macro="" textlink="">
            <xdr:nvSpPr>
              <xdr:cNvPr id="28678" name="Button 6" hidden="1">
                <a:extLst>
                  <a:ext uri="{63B3BB69-23CF-44E3-9099-C40C66FF867C}">
                    <a14:compatExt spid="_x0000_s28678"/>
                  </a:ext>
                </a:extLst>
              </xdr:cNvPr>
              <xdr:cNvSpPr/>
            </xdr:nvSpPr>
            <xdr:spPr>
              <a:xfrm>
                <a:off x="12687301" y="96931"/>
                <a:ext cx="855566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Overdue</a:t>
                </a:r>
              </a:p>
            </xdr:txBody>
          </xdr:sp>
          <xdr:sp macro="" textlink="">
            <xdr:nvSpPr>
              <xdr:cNvPr id="28679" name="Button 7" hidden="1">
                <a:extLst>
                  <a:ext uri="{63B3BB69-23CF-44E3-9099-C40C66FF867C}">
                    <a14:compatExt spid="_x0000_s28679"/>
                  </a:ext>
                </a:extLst>
              </xdr:cNvPr>
              <xdr:cNvSpPr/>
            </xdr:nvSpPr>
            <xdr:spPr>
              <a:xfrm>
                <a:off x="13619629" y="92449"/>
                <a:ext cx="1183341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FF9900"/>
                    </a:solidFill>
                    <a:latin typeface="Arial"/>
                    <a:cs typeface="Arial"/>
                  </a:rPr>
                  <a:t>1w Lookahead</a:t>
                </a:r>
              </a:p>
            </xdr:txBody>
          </xdr:sp>
          <xdr:sp macro="" textlink="">
            <xdr:nvSpPr>
              <xdr:cNvPr id="28680" name="Button 8" hidden="1">
                <a:extLst>
                  <a:ext uri="{63B3BB69-23CF-44E3-9099-C40C66FF867C}">
                    <a14:compatExt spid="_x0000_s28680"/>
                  </a:ext>
                </a:extLst>
              </xdr:cNvPr>
              <xdr:cNvSpPr/>
            </xdr:nvSpPr>
            <xdr:spPr>
              <a:xfrm>
                <a:off x="14848904" y="92449"/>
                <a:ext cx="1191185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2w Lookahead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68580</xdr:colOff>
          <xdr:row>2</xdr:row>
          <xdr:rowOff>22860</xdr:rowOff>
        </xdr:from>
        <xdr:to>
          <xdr:col>4</xdr:col>
          <xdr:colOff>144780</xdr:colOff>
          <xdr:row>3</xdr:row>
          <xdr:rowOff>137160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Report  -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182880</xdr:colOff>
          <xdr:row>2</xdr:row>
          <xdr:rowOff>22860</xdr:rowOff>
        </xdr:from>
        <xdr:to>
          <xdr:col>5</xdr:col>
          <xdr:colOff>556260</xdr:colOff>
          <xdr:row>3</xdr:row>
          <xdr:rowOff>137160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Report  - 2w Look Ahead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594360</xdr:colOff>
          <xdr:row>2</xdr:row>
          <xdr:rowOff>22860</xdr:rowOff>
        </xdr:from>
        <xdr:to>
          <xdr:col>6</xdr:col>
          <xdr:colOff>152400</xdr:colOff>
          <xdr:row>3</xdr:row>
          <xdr:rowOff>137160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Pring List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617220</xdr:colOff>
          <xdr:row>2</xdr:row>
          <xdr:rowOff>22860</xdr:rowOff>
        </xdr:from>
        <xdr:to>
          <xdr:col>9</xdr:col>
          <xdr:colOff>571500</xdr:colOff>
          <xdr:row>3</xdr:row>
          <xdr:rowOff>137160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Merge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175260</xdr:colOff>
          <xdr:row>2</xdr:row>
          <xdr:rowOff>22860</xdr:rowOff>
        </xdr:from>
        <xdr:to>
          <xdr:col>7</xdr:col>
          <xdr:colOff>365760</xdr:colOff>
          <xdr:row>3</xdr:row>
          <xdr:rowOff>137160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Pring List (XLS)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182880</xdr:colOff>
          <xdr:row>2</xdr:row>
          <xdr:rowOff>22860</xdr:rowOff>
        </xdr:from>
        <xdr:to>
          <xdr:col>11</xdr:col>
          <xdr:colOff>419100</xdr:colOff>
          <xdr:row>3</xdr:row>
          <xdr:rowOff>137160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eMail Report -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182880</xdr:colOff>
          <xdr:row>2</xdr:row>
          <xdr:rowOff>22860</xdr:rowOff>
        </xdr:from>
        <xdr:to>
          <xdr:col>13</xdr:col>
          <xdr:colOff>647700</xdr:colOff>
          <xdr:row>3</xdr:row>
          <xdr:rowOff>137160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83820</xdr:rowOff>
        </xdr:from>
        <xdr:to>
          <xdr:col>2</xdr:col>
          <xdr:colOff>106680</xdr:colOff>
          <xdr:row>1</xdr:row>
          <xdr:rowOff>373380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22860</xdr:rowOff>
        </xdr:from>
        <xdr:to>
          <xdr:col>2</xdr:col>
          <xdr:colOff>106680</xdr:colOff>
          <xdr:row>1</xdr:row>
          <xdr:rowOff>304800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Unfreeze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83820</xdr:rowOff>
        </xdr:from>
        <xdr:to>
          <xdr:col>2</xdr:col>
          <xdr:colOff>975360</xdr:colOff>
          <xdr:row>1</xdr:row>
          <xdr:rowOff>373380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119343</xdr:colOff>
          <xdr:row>0</xdr:row>
          <xdr:rowOff>56030</xdr:rowOff>
        </xdr:from>
        <xdr:to>
          <xdr:col>17</xdr:col>
          <xdr:colOff>607919</xdr:colOff>
          <xdr:row>1</xdr:row>
          <xdr:rowOff>4483</xdr:rowOff>
        </xdr:to>
        <xdr:grpSp>
          <xdr:nvGrpSpPr>
            <xdr:cNvPr id="5" name="Group 1"/>
            <xdr:cNvGrpSpPr/>
          </xdr:nvGrpSpPr>
          <xdr:grpSpPr>
            <a:xfrm>
              <a:off x="7024966" y="56030"/>
              <a:ext cx="1241060" cy="300878"/>
              <a:chOff x="13027941" y="92448"/>
              <a:chExt cx="1281408" cy="243728"/>
            </a:xfrm>
          </xdr:grpSpPr>
          <xdr:sp macro="" textlink="">
            <xdr:nvSpPr>
              <xdr:cNvPr id="19460" name="Option Button 4" hidden="1">
                <a:extLst>
                  <a:ext uri="{63B3BB69-23CF-44E3-9099-C40C66FF867C}">
                    <a14:compatExt spid="_x0000_s19460"/>
                  </a:ext>
                </a:extLst>
              </xdr:cNvPr>
              <xdr:cNvSpPr/>
            </xdr:nvSpPr>
            <xdr:spPr>
              <a:xfrm>
                <a:off x="13027941" y="92448"/>
                <a:ext cx="687481" cy="243728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Start</a:t>
                </a:r>
              </a:p>
            </xdr:txBody>
          </xdr:sp>
          <xdr:sp macro="" textlink="">
            <xdr:nvSpPr>
              <xdr:cNvPr id="19461" name="Option Button 5" hidden="1">
                <a:extLst>
                  <a:ext uri="{63B3BB69-23CF-44E3-9099-C40C66FF867C}">
                    <a14:compatExt spid="_x0000_s19461"/>
                  </a:ext>
                </a:extLst>
              </xdr:cNvPr>
              <xdr:cNvSpPr/>
            </xdr:nvSpPr>
            <xdr:spPr>
              <a:xfrm>
                <a:off x="13623549" y="93569"/>
                <a:ext cx="685800" cy="238125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Complete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-4754807</xdr:colOff>
          <xdr:row>0</xdr:row>
          <xdr:rowOff>9102</xdr:rowOff>
        </xdr:from>
        <xdr:to>
          <xdr:col>0</xdr:col>
          <xdr:colOff>-4754807</xdr:colOff>
          <xdr:row>0</xdr:row>
          <xdr:rowOff>9102</xdr:rowOff>
        </xdr:to>
        <xdr:grpSp>
          <xdr:nvGrpSpPr>
            <xdr:cNvPr id="8" name="Group 2"/>
            <xdr:cNvGrpSpPr/>
          </xdr:nvGrpSpPr>
          <xdr:grpSpPr>
            <a:xfrm>
              <a:off x="-4754807" y="9102"/>
              <a:ext cx="0" cy="0"/>
              <a:chOff x="0" y="0"/>
              <a:chExt cx="0" cy="0"/>
            </a:xfrm>
          </xdr:grpSpPr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0</xdr:row>
          <xdr:rowOff>95250</xdr:rowOff>
        </xdr:from>
        <xdr:to>
          <xdr:col>22</xdr:col>
          <xdr:colOff>0</xdr:colOff>
          <xdr:row>1</xdr:row>
          <xdr:rowOff>0</xdr:rowOff>
        </xdr:to>
        <xdr:grpSp>
          <xdr:nvGrpSpPr>
            <xdr:cNvPr id="19584" name="Group 128"/>
            <xdr:cNvGrpSpPr>
              <a:grpSpLocks/>
            </xdr:cNvGrpSpPr>
          </xdr:nvGrpSpPr>
          <xdr:grpSpPr bwMode="auto">
            <a:xfrm>
              <a:off x="8305800" y="95250"/>
              <a:ext cx="3448050" cy="257175"/>
              <a:chOff x="126873" y="924"/>
              <a:chExt cx="33527" cy="2902"/>
            </a:xfrm>
          </xdr:grpSpPr>
        </xdr:grp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83820</xdr:rowOff>
        </xdr:from>
        <xdr:to>
          <xdr:col>2</xdr:col>
          <xdr:colOff>106680</xdr:colOff>
          <xdr:row>1</xdr:row>
          <xdr:rowOff>373380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22860</xdr:rowOff>
        </xdr:from>
        <xdr:to>
          <xdr:col>2</xdr:col>
          <xdr:colOff>106680</xdr:colOff>
          <xdr:row>1</xdr:row>
          <xdr:rowOff>304800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Unfreeze Panes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83820</xdr:rowOff>
        </xdr:from>
        <xdr:to>
          <xdr:col>2</xdr:col>
          <xdr:colOff>975360</xdr:colOff>
          <xdr:row>1</xdr:row>
          <xdr:rowOff>373380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119343</xdr:colOff>
          <xdr:row>0</xdr:row>
          <xdr:rowOff>56030</xdr:rowOff>
        </xdr:from>
        <xdr:to>
          <xdr:col>18</xdr:col>
          <xdr:colOff>607919</xdr:colOff>
          <xdr:row>1</xdr:row>
          <xdr:rowOff>4483</xdr:rowOff>
        </xdr:to>
        <xdr:grpSp>
          <xdr:nvGrpSpPr>
            <xdr:cNvPr id="5" name="Group 1"/>
            <xdr:cNvGrpSpPr/>
          </xdr:nvGrpSpPr>
          <xdr:grpSpPr>
            <a:xfrm>
              <a:off x="12197067" y="56030"/>
              <a:ext cx="1736354" cy="300878"/>
              <a:chOff x="13027980" y="92448"/>
              <a:chExt cx="1281385" cy="243728"/>
            </a:xfrm>
          </xdr:grpSpPr>
          <xdr:sp macro="" textlink="">
            <xdr:nvSpPr>
              <xdr:cNvPr id="23556" name="Option Button 4" hidden="1">
                <a:extLst>
                  <a:ext uri="{63B3BB69-23CF-44E3-9099-C40C66FF867C}">
                    <a14:compatExt spid="_x0000_s23556"/>
                  </a:ext>
                </a:extLst>
              </xdr:cNvPr>
              <xdr:cNvSpPr/>
            </xdr:nvSpPr>
            <xdr:spPr>
              <a:xfrm>
                <a:off x="13027980" y="92448"/>
                <a:ext cx="687481" cy="243728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Start</a:t>
                </a:r>
              </a:p>
            </xdr:txBody>
          </xdr:sp>
          <xdr:sp macro="" textlink="">
            <xdr:nvSpPr>
              <xdr:cNvPr id="23557" name="Option Button 5" hidden="1">
                <a:extLst>
                  <a:ext uri="{63B3BB69-23CF-44E3-9099-C40C66FF867C}">
                    <a14:compatExt spid="_x0000_s23557"/>
                  </a:ext>
                </a:extLst>
              </xdr:cNvPr>
              <xdr:cNvSpPr/>
            </xdr:nvSpPr>
            <xdr:spPr>
              <a:xfrm>
                <a:off x="13623565" y="93569"/>
                <a:ext cx="685800" cy="238125"/>
              </a:xfrm>
              <a:prstGeom prst="rect">
                <a:avLst/>
              </a:prstGeom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altLang="zh-C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Complete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35859</xdr:colOff>
          <xdr:row>0</xdr:row>
          <xdr:rowOff>92449</xdr:rowOff>
        </xdr:from>
        <xdr:to>
          <xdr:col>23</xdr:col>
          <xdr:colOff>560</xdr:colOff>
          <xdr:row>1</xdr:row>
          <xdr:rowOff>1681</xdr:rowOff>
        </xdr:to>
        <xdr:grpSp>
          <xdr:nvGrpSpPr>
            <xdr:cNvPr id="8" name="Group 2"/>
            <xdr:cNvGrpSpPr/>
          </xdr:nvGrpSpPr>
          <xdr:grpSpPr>
            <a:xfrm>
              <a:off x="13970934" y="92449"/>
              <a:ext cx="2403101" cy="261657"/>
              <a:chOff x="12687304" y="92449"/>
              <a:chExt cx="3352789" cy="290232"/>
            </a:xfrm>
          </xdr:grpSpPr>
          <xdr:sp macro="" textlink="">
            <xdr:nvSpPr>
              <xdr:cNvPr id="23558" name="Button 6" hidden="1">
                <a:extLst>
                  <a:ext uri="{63B3BB69-23CF-44E3-9099-C40C66FF867C}">
                    <a14:compatExt spid="_x0000_s23558"/>
                  </a:ext>
                </a:extLst>
              </xdr:cNvPr>
              <xdr:cNvSpPr/>
            </xdr:nvSpPr>
            <xdr:spPr>
              <a:xfrm>
                <a:off x="12687304" y="96931"/>
                <a:ext cx="855571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Overdue</a:t>
                </a:r>
              </a:p>
            </xdr:txBody>
          </xdr:sp>
          <xdr:sp macro="" textlink="">
            <xdr:nvSpPr>
              <xdr:cNvPr id="23559" name="Button 7" hidden="1">
                <a:extLst>
                  <a:ext uri="{63B3BB69-23CF-44E3-9099-C40C66FF867C}">
                    <a14:compatExt spid="_x0000_s23559"/>
                  </a:ext>
                </a:extLst>
              </xdr:cNvPr>
              <xdr:cNvSpPr/>
            </xdr:nvSpPr>
            <xdr:spPr>
              <a:xfrm>
                <a:off x="13619629" y="92449"/>
                <a:ext cx="1183341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FF9900"/>
                    </a:solidFill>
                    <a:latin typeface="Arial"/>
                    <a:cs typeface="Arial"/>
                  </a:rPr>
                  <a:t>1w Lookahead</a:t>
                </a:r>
              </a:p>
            </xdr:txBody>
          </xdr:sp>
          <xdr:sp macro="" textlink="">
            <xdr:nvSpPr>
              <xdr:cNvPr id="23560" name="Button 8" hidden="1">
                <a:extLst>
                  <a:ext uri="{63B3BB69-23CF-44E3-9099-C40C66FF867C}">
                    <a14:compatExt spid="_x0000_s23560"/>
                  </a:ext>
                </a:extLst>
              </xdr:cNvPr>
              <xdr:cNvSpPr/>
            </xdr:nvSpPr>
            <xdr:spPr>
              <a:xfrm>
                <a:off x="14848908" y="92449"/>
                <a:ext cx="1191185" cy="285750"/>
              </a:xfrm>
              <a:prstGeom prst="rect">
                <a:avLst/>
              </a:prstGeom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altLang="zh-CN" sz="1000" b="1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2w Lookahead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83820</xdr:rowOff>
        </xdr:from>
        <xdr:to>
          <xdr:col>2</xdr:col>
          <xdr:colOff>975360</xdr:colOff>
          <xdr:row>1</xdr:row>
          <xdr:rowOff>373380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369794</xdr:colOff>
      <xdr:row>36</xdr:row>
      <xdr:rowOff>43145</xdr:rowOff>
    </xdr:from>
    <xdr:to>
      <xdr:col>52</xdr:col>
      <xdr:colOff>25212</xdr:colOff>
      <xdr:row>65</xdr:row>
      <xdr:rowOff>11205</xdr:rowOff>
    </xdr:to>
    <xdr:graphicFrame macro="">
      <xdr:nvGraphicFramePr>
        <xdr:cNvPr id="2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225019</xdr:colOff>
      <xdr:row>45</xdr:row>
      <xdr:rowOff>1701</xdr:rowOff>
    </xdr:from>
    <xdr:to>
      <xdr:col>32</xdr:col>
      <xdr:colOff>3001</xdr:colOff>
      <xdr:row>75</xdr:row>
      <xdr:rowOff>80142</xdr:rowOff>
    </xdr:to>
    <xdr:graphicFrame macro="">
      <xdr:nvGraphicFramePr>
        <xdr:cNvPr id="3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123967</xdr:colOff>
      <xdr:row>76</xdr:row>
      <xdr:rowOff>12467</xdr:rowOff>
    </xdr:from>
    <xdr:to>
      <xdr:col>28</xdr:col>
      <xdr:colOff>41743</xdr:colOff>
      <xdr:row>101</xdr:row>
      <xdr:rowOff>57990</xdr:rowOff>
    </xdr:to>
    <xdr:graphicFrame macro="">
      <xdr:nvGraphicFramePr>
        <xdr:cNvPr id="4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202406</xdr:colOff>
      <xdr:row>49</xdr:row>
      <xdr:rowOff>28915</xdr:rowOff>
    </xdr:from>
    <xdr:to>
      <xdr:col>11</xdr:col>
      <xdr:colOff>204107</xdr:colOff>
      <xdr:row>68</xdr:row>
      <xdr:rowOff>0</xdr:rowOff>
    </xdr:to>
    <xdr:cxnSp macro="">
      <xdr:nvCxnSpPr>
        <xdr:cNvPr id="5" name="直接连接符 4"/>
        <xdr:cNvCxnSpPr/>
      </xdr:nvCxnSpPr>
      <xdr:spPr bwMode="auto">
        <a:xfrm flipV="1">
          <a:off x="5619750" y="9327696"/>
          <a:ext cx="1701" cy="291192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0.80534</cdr:x>
      <cdr:y>0.13619</cdr:y>
    </cdr:from>
    <cdr:to>
      <cdr:x>0.80646</cdr:x>
      <cdr:y>0.86955</cdr:y>
    </cdr:to>
    <cdr:cxnSp macro="">
      <cdr:nvCxnSpPr>
        <cdr:cNvPr id="2" name="直接连接符 1"/>
        <cdr:cNvCxnSpPr/>
      </cdr:nvCxnSpPr>
      <cdr:spPr bwMode="auto">
        <a:xfrm xmlns:a="http://schemas.openxmlformats.org/drawingml/2006/main" flipV="1">
          <a:off x="4462660" y="484301"/>
          <a:ext cx="6207" cy="2607965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chemeClr val="tx2">
              <a:lumMod val="60000"/>
              <a:lumOff val="40000"/>
            </a:schemeClr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0.66528</cdr:x>
      <cdr:y>0.12415</cdr:y>
    </cdr:from>
    <cdr:to>
      <cdr:x>0.66639</cdr:x>
      <cdr:y>0.85751</cdr:y>
    </cdr:to>
    <cdr:cxnSp macro="">
      <cdr:nvCxnSpPr>
        <cdr:cNvPr id="6" name="直接连接符 5"/>
        <cdr:cNvCxnSpPr/>
      </cdr:nvCxnSpPr>
      <cdr:spPr bwMode="auto">
        <a:xfrm xmlns:a="http://schemas.openxmlformats.org/drawingml/2006/main" flipV="1">
          <a:off x="3686521" y="441509"/>
          <a:ext cx="6150" cy="2607965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chemeClr val="tx2">
              <a:lumMod val="60000"/>
              <a:lumOff val="40000"/>
            </a:schemeClr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0.80897</cdr:x>
      <cdr:y>0.60807</cdr:y>
    </cdr:from>
    <cdr:to>
      <cdr:x>0.93751</cdr:x>
      <cdr:y>0.73769</cdr:y>
    </cdr:to>
    <cdr:sp macro="" textlink="">
      <cdr:nvSpPr>
        <cdr:cNvPr id="7" name="TextBox 3"/>
        <cdr:cNvSpPr txBox="1"/>
      </cdr:nvSpPr>
      <cdr:spPr>
        <a:xfrm xmlns:a="http://schemas.openxmlformats.org/drawingml/2006/main">
          <a:off x="4482780" y="2162425"/>
          <a:ext cx="712225" cy="460953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lnSpc>
              <a:spcPts val="800"/>
            </a:lnSpc>
          </a:pPr>
          <a:r>
            <a:rPr lang="en-US" altLang="zh-CN" sz="900"/>
            <a:t>PP Assy  Build Start:</a:t>
          </a:r>
        </a:p>
        <a:p xmlns:a="http://schemas.openxmlformats.org/drawingml/2006/main">
          <a:pPr>
            <a:lnSpc>
              <a:spcPts val="800"/>
            </a:lnSpc>
          </a:pPr>
          <a:r>
            <a:rPr lang="en-US" altLang="zh-CN" sz="900"/>
            <a:t>2018/5/30</a:t>
          </a:r>
          <a:endParaRPr lang="zh-CN" altLang="en-US" sz="900"/>
        </a:p>
      </cdr:txBody>
    </cdr:sp>
  </cdr:relSizeAnchor>
  <cdr:relSizeAnchor xmlns:cdr="http://schemas.openxmlformats.org/drawingml/2006/chartDrawing">
    <cdr:from>
      <cdr:x>0.67113</cdr:x>
      <cdr:y>0.60773</cdr:y>
    </cdr:from>
    <cdr:to>
      <cdr:x>0.7934</cdr:x>
      <cdr:y>0.73766</cdr:y>
    </cdr:to>
    <cdr:sp macro="" textlink="">
      <cdr:nvSpPr>
        <cdr:cNvPr id="8" name="TextBox 3"/>
        <cdr:cNvSpPr txBox="1"/>
      </cdr:nvSpPr>
      <cdr:spPr>
        <a:xfrm xmlns:a="http://schemas.openxmlformats.org/drawingml/2006/main">
          <a:off x="3744166" y="2064870"/>
          <a:ext cx="682136" cy="441464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lnSpc>
              <a:spcPts val="700"/>
            </a:lnSpc>
          </a:pPr>
          <a:r>
            <a:rPr lang="en-US" altLang="zh-CN" sz="900"/>
            <a:t>TTAssy  Build Start:</a:t>
          </a:r>
        </a:p>
        <a:p xmlns:a="http://schemas.openxmlformats.org/drawingml/2006/main">
          <a:pPr>
            <a:lnSpc>
              <a:spcPts val="700"/>
            </a:lnSpc>
          </a:pPr>
          <a:r>
            <a:rPr lang="en-US" altLang="zh-CN" sz="900"/>
            <a:t>2018/3/14</a:t>
          </a:r>
          <a:endParaRPr lang="zh-CN" altLang="en-US" sz="900"/>
        </a:p>
      </cdr:txBody>
    </cdr:sp>
  </cdr:relSizeAnchor>
  <cdr:relSizeAnchor xmlns:cdr="http://schemas.openxmlformats.org/drawingml/2006/chartDrawing">
    <cdr:from>
      <cdr:x>0.59203</cdr:x>
      <cdr:y>0.15512</cdr:y>
    </cdr:from>
    <cdr:to>
      <cdr:x>0.59314</cdr:x>
      <cdr:y>0.88848</cdr:y>
    </cdr:to>
    <cdr:cxnSp macro="">
      <cdr:nvCxnSpPr>
        <cdr:cNvPr id="9" name="直接连接符 8"/>
        <cdr:cNvCxnSpPr/>
      </cdr:nvCxnSpPr>
      <cdr:spPr bwMode="auto">
        <a:xfrm xmlns:a="http://schemas.openxmlformats.org/drawingml/2006/main" flipV="1">
          <a:off x="3302907" y="527050"/>
          <a:ext cx="6192" cy="2491740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chemeClr val="tx2">
              <a:lumMod val="60000"/>
              <a:lumOff val="40000"/>
            </a:schemeClr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0.46033</cdr:x>
      <cdr:y>0.6357</cdr:y>
    </cdr:from>
    <cdr:to>
      <cdr:x>0.5826</cdr:x>
      <cdr:y>0.74209</cdr:y>
    </cdr:to>
    <cdr:sp macro="" textlink="">
      <cdr:nvSpPr>
        <cdr:cNvPr id="10" name="TextBox 3"/>
        <cdr:cNvSpPr txBox="1"/>
      </cdr:nvSpPr>
      <cdr:spPr>
        <a:xfrm xmlns:a="http://schemas.openxmlformats.org/drawingml/2006/main">
          <a:off x="2568122" y="2159907"/>
          <a:ext cx="682136" cy="361497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lnSpc>
              <a:spcPts val="700"/>
            </a:lnSpc>
          </a:pPr>
          <a:r>
            <a:rPr lang="en-US" altLang="zh-CN" sz="900"/>
            <a:t>TTAssy  MRD</a:t>
          </a:r>
        </a:p>
        <a:p xmlns:a="http://schemas.openxmlformats.org/drawingml/2006/main">
          <a:pPr>
            <a:lnSpc>
              <a:spcPts val="700"/>
            </a:lnSpc>
          </a:pPr>
          <a:r>
            <a:rPr lang="en-US" altLang="zh-CN" sz="900"/>
            <a:t>2018/2/13</a:t>
          </a:r>
          <a:endParaRPr lang="zh-CN" altLang="en-US" sz="9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0.57887</cdr:x>
      <cdr:y>0.28226</cdr:y>
    </cdr:from>
    <cdr:to>
      <cdr:x>0.64789</cdr:x>
      <cdr:y>0.40054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3914775" y="1000125"/>
          <a:ext cx="46672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0.65305</cdr:x>
      <cdr:y>0.09708</cdr:y>
    </cdr:from>
    <cdr:to>
      <cdr:x>0.69566</cdr:x>
      <cdr:y>0.15626</cdr:y>
    </cdr:to>
    <cdr:sp macro="" textlink="">
      <cdr:nvSpPr>
        <cdr:cNvPr id="15" name="TextBox 1"/>
        <cdr:cNvSpPr txBox="1"/>
      </cdr:nvSpPr>
      <cdr:spPr>
        <a:xfrm xmlns:a="http://schemas.openxmlformats.org/drawingml/2006/main">
          <a:off x="7708106" y="458400"/>
          <a:ext cx="502938" cy="27944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CN" sz="800" b="1">
              <a:solidFill>
                <a:srgbClr val="00B050"/>
              </a:solidFill>
            </a:rPr>
            <a:t>TT TCF</a:t>
          </a:r>
        </a:p>
      </cdr:txBody>
    </cdr:sp>
  </cdr:relSizeAnchor>
  <cdr:relSizeAnchor xmlns:cdr="http://schemas.openxmlformats.org/drawingml/2006/chartDrawing">
    <cdr:from>
      <cdr:x>0.31547</cdr:x>
      <cdr:y>0.11003</cdr:y>
    </cdr:from>
    <cdr:to>
      <cdr:x>0.36122</cdr:x>
      <cdr:y>0.15507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3723604" y="519541"/>
          <a:ext cx="540001" cy="21267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solidFill>
                <a:sysClr val="windowText" lastClr="000000"/>
              </a:solidFill>
            </a:rPr>
            <a:t>Today</a:t>
          </a:r>
        </a:p>
      </cdr:txBody>
    </cdr:sp>
  </cdr:relSizeAnchor>
  <cdr:relSizeAnchor xmlns:cdr="http://schemas.openxmlformats.org/drawingml/2006/chartDrawing">
    <cdr:from>
      <cdr:x>0.57887</cdr:x>
      <cdr:y>0.28226</cdr:y>
    </cdr:from>
    <cdr:to>
      <cdr:x>0.64789</cdr:x>
      <cdr:y>0.40054</cdr:y>
    </cdr:to>
    <cdr:sp macro="" textlink="">
      <cdr:nvSpPr>
        <cdr:cNvPr id="13" name="TextBox 8"/>
        <cdr:cNvSpPr txBox="1"/>
      </cdr:nvSpPr>
      <cdr:spPr>
        <a:xfrm xmlns:a="http://schemas.openxmlformats.org/drawingml/2006/main">
          <a:off x="3914775" y="1000125"/>
          <a:ext cx="46672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0.60806</cdr:x>
      <cdr:y>0.15644</cdr:y>
    </cdr:from>
    <cdr:to>
      <cdr:x>0.61079</cdr:x>
      <cdr:y>0.81321</cdr:y>
    </cdr:to>
    <cdr:cxnSp macro="">
      <cdr:nvCxnSpPr>
        <cdr:cNvPr id="16" name="直接连接符 13"/>
        <cdr:cNvCxnSpPr/>
      </cdr:nvCxnSpPr>
      <cdr:spPr bwMode="auto">
        <a:xfrm xmlns:a="http://schemas.openxmlformats.org/drawingml/2006/main" flipV="1">
          <a:off x="7177162" y="738699"/>
          <a:ext cx="32223" cy="3101188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rgbClr val="00B05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0.67689</cdr:x>
      <cdr:y>0.14507</cdr:y>
    </cdr:from>
    <cdr:to>
      <cdr:x>0.67962</cdr:x>
      <cdr:y>0.80184</cdr:y>
    </cdr:to>
    <cdr:cxnSp macro="">
      <cdr:nvCxnSpPr>
        <cdr:cNvPr id="21" name="直接连接符 7"/>
        <cdr:cNvCxnSpPr/>
      </cdr:nvCxnSpPr>
      <cdr:spPr bwMode="auto">
        <a:xfrm xmlns:a="http://schemas.openxmlformats.org/drawingml/2006/main" flipV="1">
          <a:off x="7989509" y="685003"/>
          <a:ext cx="32223" cy="3101188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rgbClr val="00B05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0.81857</cdr:x>
      <cdr:y>0.16037</cdr:y>
    </cdr:from>
    <cdr:to>
      <cdr:x>0.81857</cdr:x>
      <cdr:y>0.80963</cdr:y>
    </cdr:to>
    <cdr:cxnSp macro="">
      <cdr:nvCxnSpPr>
        <cdr:cNvPr id="22" name="直接连接符 9"/>
        <cdr:cNvCxnSpPr/>
      </cdr:nvCxnSpPr>
      <cdr:spPr bwMode="auto">
        <a:xfrm xmlns:a="http://schemas.openxmlformats.org/drawingml/2006/main" flipV="1">
          <a:off x="9661804" y="757256"/>
          <a:ext cx="0" cy="30657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rgbClr val="00B05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0.79463</cdr:x>
      <cdr:y>0.09706</cdr:y>
    </cdr:from>
    <cdr:to>
      <cdr:x>0.84252</cdr:x>
      <cdr:y>0.15609</cdr:y>
    </cdr:to>
    <cdr:sp macro="" textlink="">
      <cdr:nvSpPr>
        <cdr:cNvPr id="24" name="TextBox 1"/>
        <cdr:cNvSpPr txBox="1"/>
      </cdr:nvSpPr>
      <cdr:spPr>
        <a:xfrm xmlns:a="http://schemas.openxmlformats.org/drawingml/2006/main">
          <a:off x="9379274" y="458298"/>
          <a:ext cx="565260" cy="27873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CN" sz="800" b="1">
              <a:solidFill>
                <a:srgbClr val="00B050"/>
              </a:solidFill>
            </a:rPr>
            <a:t>PP MRD</a:t>
          </a:r>
        </a:p>
      </cdr:txBody>
    </cdr:sp>
  </cdr:relSizeAnchor>
  <cdr:relSizeAnchor xmlns:cdr="http://schemas.openxmlformats.org/drawingml/2006/chartDrawing">
    <cdr:from>
      <cdr:x>0.57792</cdr:x>
      <cdr:y>0.09989</cdr:y>
    </cdr:from>
    <cdr:to>
      <cdr:x>0.62838</cdr:x>
      <cdr:y>0.15375</cdr:y>
    </cdr:to>
    <cdr:sp macro="" textlink="">
      <cdr:nvSpPr>
        <cdr:cNvPr id="17" name="TextBox 1"/>
        <cdr:cNvSpPr txBox="1"/>
      </cdr:nvSpPr>
      <cdr:spPr>
        <a:xfrm xmlns:a="http://schemas.openxmlformats.org/drawingml/2006/main">
          <a:off x="6821368" y="471661"/>
          <a:ext cx="595594" cy="2543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CN" sz="800" b="1">
              <a:solidFill>
                <a:srgbClr val="00B050"/>
              </a:solidFill>
            </a:rPr>
            <a:t>TT MRD</a:t>
          </a:r>
        </a:p>
      </cdr:txBody>
    </cdr:sp>
  </cdr:relSizeAnchor>
  <cdr:relSizeAnchor xmlns:cdr="http://schemas.openxmlformats.org/drawingml/2006/chartDrawing">
    <cdr:from>
      <cdr:x>0.88632</cdr:x>
      <cdr:y>0.15247</cdr:y>
    </cdr:from>
    <cdr:to>
      <cdr:x>0.88632</cdr:x>
      <cdr:y>0.80173</cdr:y>
    </cdr:to>
    <cdr:cxnSp macro="">
      <cdr:nvCxnSpPr>
        <cdr:cNvPr id="11" name="直接连接符 10"/>
        <cdr:cNvCxnSpPr/>
      </cdr:nvCxnSpPr>
      <cdr:spPr bwMode="auto">
        <a:xfrm xmlns:a="http://schemas.openxmlformats.org/drawingml/2006/main" flipV="1">
          <a:off x="10461494" y="719923"/>
          <a:ext cx="0" cy="30657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22225" cap="flat" cmpd="sng" algn="ctr">
          <a:solidFill>
            <a:srgbClr val="00B05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0.86652</cdr:x>
      <cdr:y>0.09451</cdr:y>
    </cdr:from>
    <cdr:to>
      <cdr:x>0.90913</cdr:x>
      <cdr:y>0.15369</cdr:y>
    </cdr:to>
    <cdr:sp macro="" textlink="">
      <cdr:nvSpPr>
        <cdr:cNvPr id="12" name="TextBox 1"/>
        <cdr:cNvSpPr txBox="1"/>
      </cdr:nvSpPr>
      <cdr:spPr>
        <a:xfrm xmlns:a="http://schemas.openxmlformats.org/drawingml/2006/main">
          <a:off x="10227773" y="446265"/>
          <a:ext cx="502939" cy="27944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CN" sz="800" b="1">
              <a:solidFill>
                <a:srgbClr val="00B050"/>
              </a:solidFill>
            </a:rPr>
            <a:t>PP TCF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&#65411;&#65438;&#65405;&#65400;&#65412;&#65391;&#65420;&#65439;/&#29983;&#30000;/&#32113;&#26989;&#21209;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wgan\My%20Documents\CD132\CD132%20Timing\PIKCHAR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4.ford.com/xls/Wow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DOCUME~1\aball7\LOCALS~1\Temp\BoM%20FAP%20CMs%20(PostPA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Lwu8\C307\C307%20Stampings%20parts\C307%205%20Door\RFQ\BOM_chunk1231214_v4.0(2)_Tracking%2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USSIA\WWB3_97\RUSPROF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windows\TEMP\Chunk1-2-3%20Manual%20(for%20cost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FAP\b%20%20%20Part%20Costs\12\Chunk12%20(Cost%20for%20Purchasing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5.ford.com/windows/TEMP/FAP%20C1_Brand_Unique%20SUMMARY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teams\finance\C1_Plattform\Shared\Reporting\Report%2019\TotalSC_CostbyChunk_19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4.ford.com/xls/clq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4.ford.com/DOCUME~1/Owner/LOCALS~1/Temp/Temporary%20Directory%201%20for%20puma.zip/BISO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4.ford.com/My%20Documents/Murali/Satyam/GMIR/B-CAR-2%20TOA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Users\gmoores\My%20Documents\QOS\DRIVER\QOS_METRICS_TEMPLATE_SPLIT_2008-01-1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CFMA%20Programs\10%20BOM\AVBOM\C520\2011-5-27\C520%20AVBOM%202011-5-16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FAP\b%20%20%20Part%20Costs\09\TA%20versus%20RA%20versus%20CS%20Prices%20C214-C307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q9010201\proj\TDC\Engineering\BIW_PMT\C346\windows\TEMP\Europ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社外運転"/>
      <sheetName val="統業務01"/>
      <sheetName val="Input"/>
      <sheetName val="Vols&amp;Fixed Cost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Input"/>
      <sheetName val="Dates"/>
      <sheetName val="PICS"/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TimingChart"/>
      <sheetName val="USD"/>
      <sheetName val="CARSEG.XLS"/>
      <sheetName val="Vendor Tooling - NEW"/>
      <sheetName val="series pricing"/>
      <sheetName val="Exchange"/>
      <sheetName val="PURCHASING INPUT"/>
    </sheetNames>
    <sheetDataSet>
      <sheetData sheetId="0"/>
      <sheetData sheetId="1" refreshError="1">
        <row r="1">
          <cell r="G1" t="str">
            <v>Label 1</v>
          </cell>
          <cell r="H1" t="str">
            <v>Start Date</v>
          </cell>
          <cell r="I1" t="str">
            <v>End   Date</v>
          </cell>
          <cell r="M1" t="str">
            <v>Label Type</v>
          </cell>
          <cell r="N1" t="str">
            <v>Label 2</v>
          </cell>
          <cell r="O1" t="str">
            <v>Start Date</v>
          </cell>
          <cell r="P1" t="str">
            <v>End   Date</v>
          </cell>
          <cell r="S1" t="str">
            <v>Step</v>
          </cell>
          <cell r="T1" t="str">
            <v>Label Type</v>
          </cell>
          <cell r="V1" t="str">
            <v>Start Date</v>
          </cell>
          <cell r="W1" t="str">
            <v>End   Date</v>
          </cell>
          <cell r="Y1" t="str">
            <v>Color</v>
          </cell>
          <cell r="Z1" t="str">
            <v>Step</v>
          </cell>
          <cell r="AC1" t="str">
            <v>Start Date</v>
          </cell>
          <cell r="AD1" t="str">
            <v>End   Date</v>
          </cell>
          <cell r="AE1" t="str">
            <v>Symbol</v>
          </cell>
          <cell r="AF1" t="str">
            <v>Color</v>
          </cell>
          <cell r="AJ1" t="str">
            <v>Start Date</v>
          </cell>
          <cell r="AK1" t="str">
            <v>End   Date</v>
          </cell>
          <cell r="AL1" t="str">
            <v>Symbol</v>
          </cell>
          <cell r="AQ1" t="str">
            <v>Start Date</v>
          </cell>
          <cell r="AR1" t="str">
            <v>End   Date</v>
          </cell>
          <cell r="AW1" t="str">
            <v>Label 7</v>
          </cell>
          <cell r="AX1" t="str">
            <v>Start Date</v>
          </cell>
          <cell r="AY1" t="str">
            <v>End   Date</v>
          </cell>
          <cell r="BC1" t="str">
            <v>Label Type</v>
          </cell>
          <cell r="BD1" t="str">
            <v>Label 8</v>
          </cell>
          <cell r="BE1" t="str">
            <v>Start Date</v>
          </cell>
          <cell r="BF1" t="str">
            <v>End   Date</v>
          </cell>
          <cell r="BI1" t="str">
            <v>Step</v>
          </cell>
          <cell r="BJ1" t="str">
            <v>Label Type</v>
          </cell>
          <cell r="BL1" t="str">
            <v>Start Date</v>
          </cell>
          <cell r="BM1" t="str">
            <v>End   Date</v>
          </cell>
          <cell r="BO1" t="str">
            <v>Color</v>
          </cell>
          <cell r="BP1" t="str">
            <v>Step</v>
          </cell>
          <cell r="BS1" t="str">
            <v>Start Date</v>
          </cell>
          <cell r="BT1" t="str">
            <v>End   Date</v>
          </cell>
          <cell r="BU1" t="str">
            <v>Symbol</v>
          </cell>
          <cell r="BV1" t="str">
            <v>Color</v>
          </cell>
          <cell r="BZ1" t="str">
            <v>Start Date</v>
          </cell>
          <cell r="CA1" t="str">
            <v>End   Date</v>
          </cell>
          <cell r="CB1" t="str">
            <v>Symbol</v>
          </cell>
          <cell r="CG1" t="str">
            <v>Start Date</v>
          </cell>
          <cell r="CH1" t="str">
            <v>End   Date</v>
          </cell>
          <cell r="CM1" t="str">
            <v>Label 13</v>
          </cell>
          <cell r="CN1" t="str">
            <v>Start Date</v>
          </cell>
          <cell r="CO1" t="str">
            <v>End   Date</v>
          </cell>
          <cell r="CS1" t="str">
            <v>Label Type</v>
          </cell>
          <cell r="CT1" t="str">
            <v>Label 14</v>
          </cell>
          <cell r="CU1" t="str">
            <v>Start Date</v>
          </cell>
          <cell r="CV1" t="str">
            <v>End   Date</v>
          </cell>
          <cell r="CY1" t="str">
            <v>Step</v>
          </cell>
          <cell r="CZ1" t="str">
            <v>Label Type</v>
          </cell>
          <cell r="DB1" t="str">
            <v>Start Date</v>
          </cell>
          <cell r="DC1" t="str">
            <v>End   Date</v>
          </cell>
          <cell r="DE1" t="str">
            <v>Color</v>
          </cell>
          <cell r="DF1" t="str">
            <v>Step</v>
          </cell>
          <cell r="DI1" t="str">
            <v>Start Date</v>
          </cell>
          <cell r="DJ1" t="str">
            <v>End   Date</v>
          </cell>
          <cell r="DK1" t="str">
            <v>Symbol</v>
          </cell>
          <cell r="DL1" t="str">
            <v>Color</v>
          </cell>
          <cell r="DP1" t="str">
            <v>Start Date</v>
          </cell>
          <cell r="DQ1" t="str">
            <v>End   Date</v>
          </cell>
          <cell r="DR1" t="str">
            <v>Symbol</v>
          </cell>
          <cell r="DW1" t="str">
            <v>Start Date</v>
          </cell>
          <cell r="DX1" t="str">
            <v>End   Date</v>
          </cell>
          <cell r="ED1" t="str">
            <v>Start Date</v>
          </cell>
          <cell r="EE1" t="str">
            <v>End   Date</v>
          </cell>
          <cell r="EK1" t="str">
            <v>Start Date</v>
          </cell>
          <cell r="EL1" t="str">
            <v>End   Date</v>
          </cell>
          <cell r="ER1" t="str">
            <v>Start Date</v>
          </cell>
          <cell r="ES1" t="str">
            <v>End   Date</v>
          </cell>
          <cell r="EY1" t="str">
            <v>Start Date</v>
          </cell>
          <cell r="EZ1" t="str">
            <v>End   Date</v>
          </cell>
          <cell r="FF1" t="str">
            <v>Start Date</v>
          </cell>
          <cell r="FG1" t="str">
            <v>End   Date</v>
          </cell>
          <cell r="FM1" t="str">
            <v>Start Date</v>
          </cell>
          <cell r="FN1" t="str">
            <v>End   Date</v>
          </cell>
          <cell r="FT1" t="str">
            <v>Start Date</v>
          </cell>
          <cell r="FU1" t="str">
            <v>End   Date</v>
          </cell>
        </row>
        <row r="2">
          <cell r="H2">
            <v>37245</v>
          </cell>
          <cell r="I2">
            <v>37247</v>
          </cell>
          <cell r="N2" t="str">
            <v>&lt;KO&gt;</v>
          </cell>
          <cell r="O2">
            <v>37246</v>
          </cell>
          <cell r="S2">
            <v>0</v>
          </cell>
          <cell r="V2">
            <v>37327</v>
          </cell>
          <cell r="W2">
            <v>37329</v>
          </cell>
          <cell r="AC2">
            <v>37328</v>
          </cell>
          <cell r="AE2" t="str">
            <v>Key!SC</v>
          </cell>
          <cell r="AF2" t="str">
            <v>black</v>
          </cell>
          <cell r="AJ2">
            <v>37412</v>
          </cell>
          <cell r="AK2">
            <v>37414</v>
          </cell>
          <cell r="AL2" t="str">
            <v>Holiday</v>
          </cell>
          <cell r="AQ2">
            <v>37413</v>
          </cell>
          <cell r="AR2">
            <v>0</v>
          </cell>
          <cell r="AW2">
            <v>0</v>
          </cell>
          <cell r="AX2">
            <v>37419</v>
          </cell>
          <cell r="AY2">
            <v>37421</v>
          </cell>
          <cell r="BC2">
            <v>0</v>
          </cell>
          <cell r="BD2" t="str">
            <v>&lt;PA&gt;</v>
          </cell>
          <cell r="BE2">
            <v>37420</v>
          </cell>
          <cell r="BF2">
            <v>0</v>
          </cell>
          <cell r="BI2">
            <v>0</v>
          </cell>
          <cell r="BL2">
            <v>37493</v>
          </cell>
          <cell r="BM2">
            <v>37495</v>
          </cell>
          <cell r="BO2">
            <v>0</v>
          </cell>
          <cell r="BP2">
            <v>0</v>
          </cell>
          <cell r="BS2">
            <v>37494</v>
          </cell>
          <cell r="BT2">
            <v>0</v>
          </cell>
          <cell r="BU2" t="str">
            <v>Key!ST</v>
          </cell>
          <cell r="BV2" t="str">
            <v>black</v>
          </cell>
          <cell r="BZ2">
            <v>37507</v>
          </cell>
          <cell r="CA2">
            <v>37509</v>
          </cell>
          <cell r="CB2" t="str">
            <v>Holiday</v>
          </cell>
          <cell r="CG2">
            <v>37508</v>
          </cell>
          <cell r="CH2">
            <v>0</v>
          </cell>
          <cell r="CM2">
            <v>0</v>
          </cell>
          <cell r="CN2">
            <v>37809</v>
          </cell>
          <cell r="CO2">
            <v>37811</v>
          </cell>
          <cell r="CT2" t="str">
            <v>&lt;LR&gt;</v>
          </cell>
          <cell r="CU2">
            <v>37810</v>
          </cell>
          <cell r="CY2">
            <v>0</v>
          </cell>
          <cell r="DB2">
            <v>37887</v>
          </cell>
          <cell r="DC2">
            <v>37889</v>
          </cell>
          <cell r="DI2">
            <v>37888</v>
          </cell>
          <cell r="DK2" t="str">
            <v>key!LS</v>
          </cell>
          <cell r="DL2" t="str">
            <v>black</v>
          </cell>
          <cell r="DP2">
            <v>37923</v>
          </cell>
          <cell r="DQ2">
            <v>37925</v>
          </cell>
          <cell r="DR2" t="str">
            <v>Holiday</v>
          </cell>
          <cell r="DW2">
            <v>37924</v>
          </cell>
        </row>
        <row r="3">
          <cell r="G3" t="str">
            <v>File Set Up(N/A)</v>
          </cell>
          <cell r="H3">
            <v>37347</v>
          </cell>
          <cell r="I3">
            <v>37376</v>
          </cell>
          <cell r="M3" t="str">
            <v>over</v>
          </cell>
          <cell r="N3" t="str">
            <v>PFDB (5/30-6/10)</v>
          </cell>
          <cell r="O3">
            <v>37406</v>
          </cell>
          <cell r="P3">
            <v>37417</v>
          </cell>
          <cell r="S3">
            <v>1</v>
          </cell>
          <cell r="T3" t="str">
            <v>over</v>
          </cell>
          <cell r="V3">
            <v>37420</v>
          </cell>
          <cell r="W3">
            <v>37452</v>
          </cell>
          <cell r="Y3" t="str">
            <v>yellow</v>
          </cell>
          <cell r="Z3">
            <v>2</v>
          </cell>
          <cell r="AC3">
            <v>37438</v>
          </cell>
          <cell r="AD3">
            <v>37483</v>
          </cell>
          <cell r="AF3" t="str">
            <v>yellow</v>
          </cell>
          <cell r="AJ3">
            <v>37456</v>
          </cell>
          <cell r="AK3">
            <v>37471</v>
          </cell>
          <cell r="AL3">
            <v>0</v>
          </cell>
          <cell r="AQ3">
            <v>37575</v>
          </cell>
          <cell r="AR3">
            <v>37586</v>
          </cell>
          <cell r="AW3" t="str">
            <v>Static Build (11/29-3/26)</v>
          </cell>
          <cell r="AX3">
            <v>37589</v>
          </cell>
          <cell r="AY3">
            <v>37706</v>
          </cell>
          <cell r="BC3" t="str">
            <v>over</v>
          </cell>
          <cell r="BD3" t="str">
            <v>Color Release (3/11-3/26)</v>
          </cell>
          <cell r="BE3">
            <v>37691</v>
          </cell>
          <cell r="BF3">
            <v>37706</v>
          </cell>
          <cell r="BI3">
            <v>4</v>
          </cell>
          <cell r="BJ3" t="str">
            <v>over</v>
          </cell>
        </row>
        <row r="4">
          <cell r="G4" t="str">
            <v>Sketch (11/20-1/30)</v>
          </cell>
          <cell r="H4">
            <v>37215</v>
          </cell>
          <cell r="I4">
            <v>37286</v>
          </cell>
          <cell r="M4" t="str">
            <v>over</v>
          </cell>
          <cell r="N4" t="str">
            <v>Picture Clay (3/15-6/5)</v>
          </cell>
          <cell r="O4">
            <v>37330</v>
          </cell>
          <cell r="P4">
            <v>37412</v>
          </cell>
          <cell r="S4">
            <v>1</v>
          </cell>
          <cell r="T4" t="str">
            <v>over</v>
          </cell>
          <cell r="V4">
            <v>37413</v>
          </cell>
          <cell r="W4">
            <v>37489</v>
          </cell>
          <cell r="Y4" t="str">
            <v>yellow</v>
          </cell>
          <cell r="Z4">
            <v>2</v>
          </cell>
          <cell r="AC4">
            <v>37469</v>
          </cell>
          <cell r="AD4">
            <v>37509</v>
          </cell>
          <cell r="AF4" t="str">
            <v>yellow</v>
          </cell>
          <cell r="AJ4">
            <v>37487</v>
          </cell>
          <cell r="AK4">
            <v>37508</v>
          </cell>
          <cell r="AL4">
            <v>0</v>
          </cell>
          <cell r="AQ4">
            <v>37496</v>
          </cell>
          <cell r="AR4">
            <v>37557</v>
          </cell>
          <cell r="AW4">
            <v>0</v>
          </cell>
          <cell r="AX4">
            <v>0</v>
          </cell>
          <cell r="AY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I4">
            <v>0</v>
          </cell>
          <cell r="BJ4">
            <v>0</v>
          </cell>
        </row>
        <row r="5">
          <cell r="G5" t="str">
            <v>Sketch (4/1-5/15)</v>
          </cell>
          <cell r="H5">
            <v>37347</v>
          </cell>
          <cell r="I5">
            <v>37391</v>
          </cell>
          <cell r="M5" t="str">
            <v>over</v>
          </cell>
          <cell r="N5" t="str">
            <v>Prototype (5/1-6/20)</v>
          </cell>
          <cell r="O5">
            <v>37377</v>
          </cell>
          <cell r="P5">
            <v>37427</v>
          </cell>
          <cell r="S5">
            <v>1</v>
          </cell>
          <cell r="T5" t="str">
            <v>over</v>
          </cell>
          <cell r="V5">
            <v>37438</v>
          </cell>
          <cell r="W5">
            <v>37452</v>
          </cell>
          <cell r="Y5" t="str">
            <v>yellow</v>
          </cell>
          <cell r="Z5">
            <v>2</v>
          </cell>
        </row>
        <row r="6">
          <cell r="G6" t="str">
            <v>Sourcing &amp; Target agreement (4/15-6/5)</v>
          </cell>
          <cell r="H6">
            <v>37361</v>
          </cell>
          <cell r="I6">
            <v>37412</v>
          </cell>
          <cell r="M6" t="str">
            <v>left</v>
          </cell>
          <cell r="N6" t="str">
            <v>Long lead time PO Release(6/17-7/10)</v>
          </cell>
          <cell r="O6">
            <v>37424</v>
          </cell>
          <cell r="P6">
            <v>37447</v>
          </cell>
          <cell r="S6">
            <v>2</v>
          </cell>
          <cell r="T6" t="str">
            <v>left</v>
          </cell>
          <cell r="V6">
            <v>37432</v>
          </cell>
          <cell r="W6">
            <v>37487</v>
          </cell>
          <cell r="Y6" t="str">
            <v>yellow</v>
          </cell>
          <cell r="Z6">
            <v>0</v>
          </cell>
          <cell r="AC6">
            <v>37487</v>
          </cell>
          <cell r="AD6">
            <v>37536</v>
          </cell>
          <cell r="AF6" t="str">
            <v>yellow</v>
          </cell>
          <cell r="AJ6">
            <v>37546</v>
          </cell>
          <cell r="AK6">
            <v>37641</v>
          </cell>
          <cell r="AL6">
            <v>0</v>
          </cell>
          <cell r="AQ6">
            <v>0</v>
          </cell>
          <cell r="AR6">
            <v>0</v>
          </cell>
          <cell r="AW6">
            <v>0</v>
          </cell>
          <cell r="AX6">
            <v>0</v>
          </cell>
          <cell r="AY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I6">
            <v>0</v>
          </cell>
          <cell r="BJ6">
            <v>0</v>
          </cell>
        </row>
        <row r="7">
          <cell r="G7" t="str">
            <v>DVP development (5/16-6/10)</v>
          </cell>
          <cell r="H7">
            <v>37392</v>
          </cell>
          <cell r="I7">
            <v>37417</v>
          </cell>
          <cell r="M7" t="str">
            <v>left</v>
          </cell>
          <cell r="N7" t="str">
            <v>Euro supplier DVP and change confirmed (6/15-7/15)</v>
          </cell>
          <cell r="O7">
            <v>37422</v>
          </cell>
          <cell r="P7">
            <v>37452</v>
          </cell>
          <cell r="S7">
            <v>2</v>
          </cell>
          <cell r="T7" t="str">
            <v>over</v>
          </cell>
          <cell r="V7">
            <v>37514</v>
          </cell>
          <cell r="W7">
            <v>37799</v>
          </cell>
          <cell r="Y7" t="str">
            <v>yellow</v>
          </cell>
          <cell r="Z7">
            <v>0</v>
          </cell>
          <cell r="AC7">
            <v>37653</v>
          </cell>
          <cell r="AD7">
            <v>37863</v>
          </cell>
          <cell r="AF7" t="str">
            <v>yellow</v>
          </cell>
          <cell r="AJ7">
            <v>37746</v>
          </cell>
          <cell r="AK7">
            <v>0</v>
          </cell>
          <cell r="AL7">
            <v>0</v>
          </cell>
          <cell r="AQ7">
            <v>37799</v>
          </cell>
          <cell r="AR7">
            <v>37830</v>
          </cell>
          <cell r="AW7">
            <v>0</v>
          </cell>
          <cell r="AX7">
            <v>0</v>
          </cell>
          <cell r="AY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I7">
            <v>0</v>
          </cell>
          <cell r="BJ7">
            <v>0</v>
          </cell>
        </row>
        <row r="8">
          <cell r="G8" t="str">
            <v>Eng'g P/O (5/15-5/22)</v>
          </cell>
          <cell r="H8">
            <v>37756</v>
          </cell>
          <cell r="I8">
            <v>37763</v>
          </cell>
          <cell r="M8" t="str">
            <v>left</v>
          </cell>
          <cell r="N8" t="str">
            <v>Durability Test (5/23-9/24)</v>
          </cell>
          <cell r="O8">
            <v>37764</v>
          </cell>
          <cell r="P8">
            <v>37888</v>
          </cell>
          <cell r="S8">
            <v>1</v>
          </cell>
          <cell r="T8" t="str">
            <v>over</v>
          </cell>
          <cell r="V8">
            <v>37810</v>
          </cell>
          <cell r="Y8" t="str">
            <v>black</v>
          </cell>
          <cell r="Z8">
            <v>2</v>
          </cell>
          <cell r="AC8">
            <v>37889</v>
          </cell>
          <cell r="AF8" t="str">
            <v>black</v>
          </cell>
          <cell r="AJ8">
            <v>0</v>
          </cell>
          <cell r="AK8">
            <v>0</v>
          </cell>
          <cell r="AL8">
            <v>0</v>
          </cell>
          <cell r="AQ8">
            <v>0</v>
          </cell>
          <cell r="AR8">
            <v>0</v>
          </cell>
          <cell r="AW8">
            <v>0</v>
          </cell>
          <cell r="AX8">
            <v>0</v>
          </cell>
          <cell r="AY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I8">
            <v>0</v>
          </cell>
        </row>
        <row r="9">
          <cell r="G9" t="str">
            <v>Certification (5/23-10/7)</v>
          </cell>
          <cell r="H9">
            <v>37764</v>
          </cell>
          <cell r="I9">
            <v>37901</v>
          </cell>
          <cell r="M9" t="str">
            <v>over</v>
          </cell>
        </row>
        <row r="10">
          <cell r="G10" t="str">
            <v>Stock Pile Parts Release (2/3)</v>
          </cell>
          <cell r="H10">
            <v>37655</v>
          </cell>
          <cell r="M10" t="str">
            <v>left</v>
          </cell>
          <cell r="N10" t="str">
            <v>1PP Order (3/21)</v>
          </cell>
          <cell r="O10">
            <v>37701</v>
          </cell>
          <cell r="S10">
            <v>0</v>
          </cell>
          <cell r="T10" t="str">
            <v>left</v>
          </cell>
          <cell r="V10">
            <v>37751</v>
          </cell>
          <cell r="Y10" t="str">
            <v>black</v>
          </cell>
          <cell r="Z10">
            <v>2</v>
          </cell>
          <cell r="AC10">
            <v>37778</v>
          </cell>
          <cell r="AF10" t="str">
            <v>black</v>
          </cell>
          <cell r="AJ10">
            <v>37826</v>
          </cell>
          <cell r="AK10">
            <v>0</v>
          </cell>
          <cell r="AL10">
            <v>0</v>
          </cell>
          <cell r="AQ10">
            <v>0</v>
          </cell>
          <cell r="AR10">
            <v>0</v>
          </cell>
          <cell r="AW10">
            <v>0</v>
          </cell>
          <cell r="AX10">
            <v>0</v>
          </cell>
          <cell r="AY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I10">
            <v>0</v>
          </cell>
        </row>
        <row r="11">
          <cell r="G11" t="str">
            <v>1PP (6/16-7/4)</v>
          </cell>
          <cell r="H11">
            <v>37788</v>
          </cell>
          <cell r="I11">
            <v>37806</v>
          </cell>
          <cell r="M11" t="str">
            <v>over</v>
          </cell>
          <cell r="N11" t="str">
            <v>2PP (8/4-9/2)</v>
          </cell>
          <cell r="O11">
            <v>37837</v>
          </cell>
          <cell r="P11">
            <v>37866</v>
          </cell>
          <cell r="S11">
            <v>1</v>
          </cell>
          <cell r="T11" t="str">
            <v>over</v>
          </cell>
          <cell r="V11">
            <v>37889</v>
          </cell>
          <cell r="Y11" t="str">
            <v>black</v>
          </cell>
          <cell r="Z11">
            <v>2</v>
          </cell>
          <cell r="AC11">
            <v>37890</v>
          </cell>
          <cell r="AD11">
            <v>37909</v>
          </cell>
          <cell r="AF11" t="str">
            <v>yellow</v>
          </cell>
          <cell r="AJ11">
            <v>37924</v>
          </cell>
          <cell r="AK11">
            <v>0</v>
          </cell>
          <cell r="AL11" t="str">
            <v>star!</v>
          </cell>
          <cell r="AQ11">
            <v>0</v>
          </cell>
          <cell r="AR11">
            <v>0</v>
          </cell>
          <cell r="AW11">
            <v>0</v>
          </cell>
          <cell r="AX11">
            <v>0</v>
          </cell>
          <cell r="AY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I11">
            <v>0</v>
          </cell>
          <cell r="BJ1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gineers"/>
      <sheetName val="Feature Families"/>
      <sheetName val="Wow"/>
      <sheetName val="Parts Requiring Orders"/>
      <sheetName val="3 CCM BoM"/>
    </sheetNames>
    <definedNames>
      <definedName name="Addtolist"/>
      <definedName name="CancelDialog1"/>
      <definedName name="Deletefromlist"/>
      <definedName name="NextKey1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ve the file here!"/>
      <sheetName val="Change Log"/>
      <sheetName val="Summary"/>
      <sheetName val="Only EU Costs"/>
      <sheetName val="With Non-EU Content"/>
      <sheetName val="3 CCM BoM"/>
      <sheetName val="PURCHASING INPUT"/>
      <sheetName val="X-Ra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N1" t="str">
            <v>Usage Code x Material Cost (USD - @ Program Rates)</v>
          </cell>
        </row>
        <row r="3">
          <cell r="O3" t="str">
            <v>Chunk-</v>
          </cell>
          <cell r="AN3" t="str">
            <v>TW 4 dr
Ghia 1.8L FN 4F27E</v>
          </cell>
          <cell r="AO3" t="str">
            <v>TH 5 dr
Comfort 1.6L FN (Hofu)</v>
          </cell>
          <cell r="AP3" t="str">
            <v>AU 4 dr
Core 1.8L MT</v>
          </cell>
          <cell r="AZ3" t="str">
            <v>TH 5 dr
Comfort 1.6L FN (Hofu)</v>
          </cell>
          <cell r="BT3" t="str">
            <v>Cost x Usage</v>
          </cell>
          <cell r="BX3" t="str">
            <v>Cost x Usage</v>
          </cell>
          <cell r="CB3" t="str">
            <v>Cost x Usage</v>
          </cell>
        </row>
        <row r="5">
          <cell r="O5">
            <v>1</v>
          </cell>
          <cell r="AN5">
            <v>36.956506409783621</v>
          </cell>
          <cell r="AO5">
            <v>0</v>
          </cell>
          <cell r="AP5">
            <v>0</v>
          </cell>
          <cell r="AZ5">
            <v>0</v>
          </cell>
          <cell r="BT5">
            <v>49.811265437754244</v>
          </cell>
          <cell r="BX5">
            <v>0</v>
          </cell>
          <cell r="CB5">
            <v>0</v>
          </cell>
          <cell r="CE5" t="str">
            <v>1LOCAL</v>
          </cell>
          <cell r="CF5" t="str">
            <v>1LOCAL</v>
          </cell>
          <cell r="CG5" t="str">
            <v>1LOCAL</v>
          </cell>
        </row>
        <row r="6">
          <cell r="O6">
            <v>1</v>
          </cell>
          <cell r="AN6">
            <v>0</v>
          </cell>
          <cell r="AO6">
            <v>0</v>
          </cell>
          <cell r="AP6">
            <v>0</v>
          </cell>
          <cell r="AZ6">
            <v>0</v>
          </cell>
          <cell r="BT6">
            <v>0</v>
          </cell>
          <cell r="BX6">
            <v>0</v>
          </cell>
          <cell r="CB6">
            <v>0</v>
          </cell>
          <cell r="CE6" t="str">
            <v>1EU</v>
          </cell>
          <cell r="CF6" t="str">
            <v>1EU</v>
          </cell>
          <cell r="CG6" t="str">
            <v>1EU</v>
          </cell>
        </row>
        <row r="7">
          <cell r="O7">
            <v>1</v>
          </cell>
          <cell r="AN7">
            <v>0</v>
          </cell>
          <cell r="AO7">
            <v>0</v>
          </cell>
          <cell r="AP7">
            <v>0</v>
          </cell>
          <cell r="AZ7">
            <v>0</v>
          </cell>
          <cell r="BT7">
            <v>0</v>
          </cell>
          <cell r="BX7">
            <v>0</v>
          </cell>
          <cell r="CB7">
            <v>0</v>
          </cell>
          <cell r="CE7" t="str">
            <v>1EU</v>
          </cell>
          <cell r="CF7" t="str">
            <v>1EU</v>
          </cell>
          <cell r="CG7" t="str">
            <v>1EU</v>
          </cell>
        </row>
        <row r="8">
          <cell r="O8">
            <v>1</v>
          </cell>
          <cell r="AN8">
            <v>0</v>
          </cell>
          <cell r="AO8">
            <v>0</v>
          </cell>
          <cell r="AP8">
            <v>0</v>
          </cell>
          <cell r="AZ8">
            <v>0</v>
          </cell>
          <cell r="BT8">
            <v>0</v>
          </cell>
          <cell r="BX8">
            <v>0</v>
          </cell>
          <cell r="CB8">
            <v>0</v>
          </cell>
          <cell r="CE8" t="str">
            <v>1EU</v>
          </cell>
          <cell r="CF8" t="str">
            <v>1EU</v>
          </cell>
          <cell r="CG8" t="str">
            <v>1EU</v>
          </cell>
        </row>
        <row r="9">
          <cell r="O9">
            <v>1</v>
          </cell>
          <cell r="AN9">
            <v>0</v>
          </cell>
          <cell r="AO9">
            <v>0</v>
          </cell>
          <cell r="AP9">
            <v>0</v>
          </cell>
          <cell r="AZ9">
            <v>0</v>
          </cell>
          <cell r="BT9">
            <v>0</v>
          </cell>
          <cell r="BX9">
            <v>0</v>
          </cell>
          <cell r="CB9">
            <v>0</v>
          </cell>
          <cell r="CE9" t="str">
            <v>1EU</v>
          </cell>
          <cell r="CF9" t="str">
            <v>1EU</v>
          </cell>
          <cell r="CG9" t="str">
            <v>1EU</v>
          </cell>
        </row>
        <row r="10">
          <cell r="O10">
            <v>1</v>
          </cell>
          <cell r="AN10">
            <v>0</v>
          </cell>
          <cell r="AO10">
            <v>0</v>
          </cell>
          <cell r="AP10">
            <v>0</v>
          </cell>
          <cell r="AZ10">
            <v>0</v>
          </cell>
          <cell r="BT10">
            <v>0</v>
          </cell>
          <cell r="BX10">
            <v>35.627221753948767</v>
          </cell>
          <cell r="CB10">
            <v>35.627221753948767</v>
          </cell>
          <cell r="CE10" t="str">
            <v>1LOCAL</v>
          </cell>
          <cell r="CF10" t="str">
            <v>1LOCAL</v>
          </cell>
          <cell r="CG10" t="str">
            <v>1LOCAL</v>
          </cell>
        </row>
        <row r="11">
          <cell r="O11">
            <v>1</v>
          </cell>
          <cell r="AN11">
            <v>0</v>
          </cell>
          <cell r="AO11">
            <v>7.4338864346333278</v>
          </cell>
          <cell r="AP11">
            <v>7.4338864346333278</v>
          </cell>
          <cell r="AZ11">
            <v>16.742549999999998</v>
          </cell>
          <cell r="BT11">
            <v>0</v>
          </cell>
          <cell r="BX11">
            <v>0</v>
          </cell>
          <cell r="CB11">
            <v>0</v>
          </cell>
          <cell r="CE11" t="str">
            <v>1EU</v>
          </cell>
          <cell r="CF11" t="str">
            <v>1EU</v>
          </cell>
          <cell r="CG11" t="str">
            <v>1EU</v>
          </cell>
        </row>
        <row r="12">
          <cell r="O12">
            <v>1</v>
          </cell>
          <cell r="AN12">
            <v>1.7486656896190202E-2</v>
          </cell>
          <cell r="AO12">
            <v>1.7486656896190202E-2</v>
          </cell>
          <cell r="AP12">
            <v>1.7486656896190202E-2</v>
          </cell>
          <cell r="AZ12">
            <v>1.8888888888888889E-2</v>
          </cell>
          <cell r="BT12">
            <v>1.7486656896190202E-2</v>
          </cell>
          <cell r="BX12">
            <v>1.7486656896190202E-2</v>
          </cell>
          <cell r="CB12">
            <v>1.7486656896190202E-2</v>
          </cell>
          <cell r="CE12" t="str">
            <v>1LOCAL</v>
          </cell>
          <cell r="CF12" t="str">
            <v>1LOCAL</v>
          </cell>
          <cell r="CG12" t="str">
            <v>1LOCAL</v>
          </cell>
        </row>
        <row r="13">
          <cell r="O13">
            <v>1</v>
          </cell>
          <cell r="AN13">
            <v>0</v>
          </cell>
          <cell r="AO13">
            <v>3.8326637408943931</v>
          </cell>
          <cell r="AP13">
            <v>3.8326637408943931</v>
          </cell>
          <cell r="AZ13">
            <v>8.6318999999999999</v>
          </cell>
          <cell r="BT13">
            <v>0</v>
          </cell>
          <cell r="BX13">
            <v>0</v>
          </cell>
          <cell r="CB13">
            <v>0</v>
          </cell>
          <cell r="CE13" t="str">
            <v>1EU</v>
          </cell>
          <cell r="CF13" t="str">
            <v>1EU</v>
          </cell>
          <cell r="CG13" t="str">
            <v>1EU</v>
          </cell>
        </row>
        <row r="14">
          <cell r="O14">
            <v>1</v>
          </cell>
          <cell r="AN14">
            <v>0</v>
          </cell>
          <cell r="AO14">
            <v>3.304978153379948</v>
          </cell>
          <cell r="AP14">
            <v>3.304978153379948</v>
          </cell>
          <cell r="AZ14">
            <v>3.57</v>
          </cell>
          <cell r="BT14">
            <v>0</v>
          </cell>
          <cell r="BX14">
            <v>0</v>
          </cell>
          <cell r="CB14">
            <v>0</v>
          </cell>
          <cell r="CE14" t="str">
            <v>1EU</v>
          </cell>
          <cell r="CF14" t="str">
            <v>1EU</v>
          </cell>
          <cell r="CG14" t="str">
            <v>1EU</v>
          </cell>
        </row>
        <row r="15">
          <cell r="O15">
            <v>1</v>
          </cell>
          <cell r="AN15">
            <v>0</v>
          </cell>
          <cell r="AO15">
            <v>0</v>
          </cell>
          <cell r="AP15">
            <v>0</v>
          </cell>
          <cell r="AZ15">
            <v>0</v>
          </cell>
          <cell r="BT15">
            <v>0</v>
          </cell>
          <cell r="BX15">
            <v>0</v>
          </cell>
          <cell r="CB15">
            <v>0</v>
          </cell>
          <cell r="CE15" t="str">
            <v>1EU</v>
          </cell>
          <cell r="CF15" t="str">
            <v>1EU</v>
          </cell>
          <cell r="CG15" t="str">
            <v>1EU</v>
          </cell>
        </row>
        <row r="16">
          <cell r="O16">
            <v>1</v>
          </cell>
          <cell r="AN16">
            <v>0</v>
          </cell>
          <cell r="AO16">
            <v>0</v>
          </cell>
          <cell r="AP16">
            <v>0</v>
          </cell>
          <cell r="AZ16">
            <v>0</v>
          </cell>
          <cell r="BT16">
            <v>0</v>
          </cell>
          <cell r="BX16">
            <v>0</v>
          </cell>
          <cell r="CB16">
            <v>0</v>
          </cell>
          <cell r="CE16" t="str">
            <v>1LOCAL</v>
          </cell>
          <cell r="CF16" t="str">
            <v>1LOCAL</v>
          </cell>
          <cell r="CG16" t="str">
            <v>1LOCAL</v>
          </cell>
        </row>
        <row r="17">
          <cell r="O17">
            <v>1</v>
          </cell>
          <cell r="AN17">
            <v>0.49065501996957211</v>
          </cell>
          <cell r="AO17">
            <v>0.49065501996957211</v>
          </cell>
          <cell r="AP17">
            <v>0.49065501996957211</v>
          </cell>
          <cell r="AZ17">
            <v>0.53</v>
          </cell>
          <cell r="BT17">
            <v>0.49065501996957211</v>
          </cell>
          <cell r="BX17">
            <v>0.49065501996957211</v>
          </cell>
          <cell r="CB17">
            <v>0.49065501996957211</v>
          </cell>
          <cell r="CE17" t="str">
            <v>1LOCAL</v>
          </cell>
          <cell r="CF17" t="str">
            <v>1LOCAL</v>
          </cell>
          <cell r="CG17" t="str">
            <v>1LOCAL</v>
          </cell>
        </row>
        <row r="18">
          <cell r="O18">
            <v>1</v>
          </cell>
          <cell r="AN18">
            <v>0</v>
          </cell>
          <cell r="AO18">
            <v>0.73135370901124908</v>
          </cell>
          <cell r="AP18">
            <v>0.73135370901124908</v>
          </cell>
          <cell r="AZ18">
            <v>0.79</v>
          </cell>
          <cell r="BT18">
            <v>0</v>
          </cell>
          <cell r="BX18">
            <v>0</v>
          </cell>
          <cell r="CB18">
            <v>0</v>
          </cell>
          <cell r="CE18" t="str">
            <v>1EU</v>
          </cell>
          <cell r="CF18" t="str">
            <v>1EU</v>
          </cell>
          <cell r="CG18" t="str">
            <v>1EU</v>
          </cell>
        </row>
        <row r="19">
          <cell r="O19">
            <v>1</v>
          </cell>
          <cell r="AN19">
            <v>0</v>
          </cell>
          <cell r="AO19">
            <v>0.86558951636141501</v>
          </cell>
          <cell r="AP19">
            <v>0.86558951636141501</v>
          </cell>
          <cell r="AZ19">
            <v>0.93500000000000005</v>
          </cell>
          <cell r="BT19">
            <v>0</v>
          </cell>
          <cell r="BX19">
            <v>0</v>
          </cell>
          <cell r="CB19">
            <v>0</v>
          </cell>
          <cell r="CE19" t="str">
            <v>1EU</v>
          </cell>
          <cell r="CF19" t="str">
            <v>1EU</v>
          </cell>
          <cell r="CG19" t="str">
            <v>1EU</v>
          </cell>
        </row>
        <row r="20">
          <cell r="O20">
            <v>1</v>
          </cell>
          <cell r="AN20">
            <v>0</v>
          </cell>
          <cell r="AO20">
            <v>0.79615720221477737</v>
          </cell>
          <cell r="AP20">
            <v>0.79615720221477737</v>
          </cell>
          <cell r="AZ20">
            <v>0.86</v>
          </cell>
          <cell r="BT20">
            <v>0</v>
          </cell>
          <cell r="BX20">
            <v>0</v>
          </cell>
          <cell r="CB20">
            <v>0</v>
          </cell>
          <cell r="CE20" t="str">
            <v>1EU</v>
          </cell>
          <cell r="CF20" t="str">
            <v>1EU</v>
          </cell>
          <cell r="CG20" t="str">
            <v>1EU</v>
          </cell>
        </row>
        <row r="21">
          <cell r="O21">
            <v>1</v>
          </cell>
          <cell r="AN21">
            <v>0</v>
          </cell>
          <cell r="AO21">
            <v>1.0553711750288908</v>
          </cell>
          <cell r="AP21">
            <v>1.0553711750288908</v>
          </cell>
          <cell r="AZ21">
            <v>1.1399999999999999</v>
          </cell>
          <cell r="BT21">
            <v>0</v>
          </cell>
          <cell r="BX21">
            <v>0</v>
          </cell>
          <cell r="CB21">
            <v>0</v>
          </cell>
          <cell r="CE21" t="str">
            <v>1EU</v>
          </cell>
          <cell r="CF21" t="str">
            <v>1EU</v>
          </cell>
          <cell r="CG21" t="str">
            <v>1EU</v>
          </cell>
        </row>
        <row r="22">
          <cell r="O22">
            <v>1</v>
          </cell>
          <cell r="AN22">
            <v>0</v>
          </cell>
          <cell r="AO22">
            <v>2.268122262123494</v>
          </cell>
          <cell r="AP22">
            <v>2.268122262123494</v>
          </cell>
          <cell r="AZ22">
            <v>2.4500000000000002</v>
          </cell>
          <cell r="BT22">
            <v>0</v>
          </cell>
          <cell r="BX22">
            <v>0</v>
          </cell>
          <cell r="CB22">
            <v>0</v>
          </cell>
          <cell r="CE22" t="str">
            <v>1EU</v>
          </cell>
          <cell r="CF22" t="str">
            <v>1EU</v>
          </cell>
          <cell r="CG22" t="str">
            <v>1EU</v>
          </cell>
        </row>
        <row r="23">
          <cell r="O23">
            <v>1</v>
          </cell>
          <cell r="AN23">
            <v>0</v>
          </cell>
          <cell r="AO23">
            <v>0</v>
          </cell>
          <cell r="AP23">
            <v>0</v>
          </cell>
          <cell r="AZ23">
            <v>0</v>
          </cell>
          <cell r="BT23">
            <v>0</v>
          </cell>
          <cell r="BX23">
            <v>0</v>
          </cell>
          <cell r="CB23">
            <v>0</v>
          </cell>
          <cell r="CE23" t="str">
            <v>1EU</v>
          </cell>
          <cell r="CF23" t="str">
            <v>1EU</v>
          </cell>
          <cell r="CG23" t="str">
            <v>1EU</v>
          </cell>
        </row>
        <row r="24">
          <cell r="O24">
            <v>1</v>
          </cell>
          <cell r="AN24">
            <v>0</v>
          </cell>
          <cell r="AO24">
            <v>0</v>
          </cell>
          <cell r="AP24">
            <v>0</v>
          </cell>
          <cell r="AZ24">
            <v>0</v>
          </cell>
          <cell r="BT24">
            <v>0</v>
          </cell>
          <cell r="BX24">
            <v>0</v>
          </cell>
          <cell r="CB24">
            <v>0</v>
          </cell>
          <cell r="CE24" t="str">
            <v>1EU</v>
          </cell>
          <cell r="CF24" t="str">
            <v>1EU</v>
          </cell>
          <cell r="CG24" t="str">
            <v>1EU</v>
          </cell>
        </row>
        <row r="25">
          <cell r="O25">
            <v>1</v>
          </cell>
          <cell r="AN25">
            <v>1.7486656896190202E-2</v>
          </cell>
          <cell r="AO25">
            <v>1.7486656896190202E-2</v>
          </cell>
          <cell r="AP25">
            <v>1.7486656896190202E-2</v>
          </cell>
          <cell r="AZ25">
            <v>1.8888888888888889E-2</v>
          </cell>
          <cell r="BT25">
            <v>0</v>
          </cell>
          <cell r="BX25">
            <v>1.7486656896190202E-2</v>
          </cell>
          <cell r="CB25">
            <v>1.7486656896190202E-2</v>
          </cell>
          <cell r="CE25" t="str">
            <v>1LOCAL</v>
          </cell>
          <cell r="CF25" t="str">
            <v>1LOCAL</v>
          </cell>
          <cell r="CG25" t="str">
            <v>1LOCAL</v>
          </cell>
        </row>
        <row r="26">
          <cell r="O26">
            <v>1</v>
          </cell>
          <cell r="AN26">
            <v>0</v>
          </cell>
          <cell r="AO26">
            <v>1.3701309991603146</v>
          </cell>
          <cell r="AP26">
            <v>1.3701309991603146</v>
          </cell>
          <cell r="AZ26">
            <v>3.0857999999999999</v>
          </cell>
          <cell r="BT26">
            <v>0</v>
          </cell>
          <cell r="BX26">
            <v>0</v>
          </cell>
          <cell r="CB26">
            <v>0</v>
          </cell>
          <cell r="CE26" t="str">
            <v>1EU</v>
          </cell>
          <cell r="CF26" t="str">
            <v>1EU</v>
          </cell>
          <cell r="CG26" t="str">
            <v>1EU</v>
          </cell>
        </row>
        <row r="27">
          <cell r="O27">
            <v>1</v>
          </cell>
          <cell r="AN27">
            <v>4.2832574624659905E-2</v>
          </cell>
          <cell r="AO27">
            <v>4.2832574624659905E-2</v>
          </cell>
          <cell r="AP27">
            <v>4.2832574624659905E-2</v>
          </cell>
          <cell r="AZ27">
            <v>4.6267262388301998E-2</v>
          </cell>
          <cell r="BT27">
            <v>0</v>
          </cell>
          <cell r="BX27">
            <v>0</v>
          </cell>
          <cell r="CB27">
            <v>0</v>
          </cell>
          <cell r="CE27" t="str">
            <v>1LOCAL</v>
          </cell>
          <cell r="CF27" t="str">
            <v>1LOCAL</v>
          </cell>
          <cell r="CG27" t="str">
            <v>1LOCAL</v>
          </cell>
        </row>
        <row r="28">
          <cell r="O28">
            <v>1</v>
          </cell>
          <cell r="AN28">
            <v>0</v>
          </cell>
          <cell r="AO28">
            <v>0.78689956032855901</v>
          </cell>
          <cell r="AP28">
            <v>0.78689956032855901</v>
          </cell>
          <cell r="AZ28">
            <v>1.7722499999999999</v>
          </cell>
          <cell r="BT28">
            <v>0</v>
          </cell>
          <cell r="BX28">
            <v>0</v>
          </cell>
          <cell r="CB28">
            <v>0</v>
          </cell>
          <cell r="CE28" t="str">
            <v>1EU</v>
          </cell>
          <cell r="CF28" t="str">
            <v>1EU</v>
          </cell>
          <cell r="CG28" t="str">
            <v>1EU</v>
          </cell>
        </row>
        <row r="29">
          <cell r="O29">
            <v>1</v>
          </cell>
          <cell r="AN29">
            <v>0</v>
          </cell>
          <cell r="AO29">
            <v>1.5552838368846813</v>
          </cell>
          <cell r="AP29">
            <v>1.5552838368846813</v>
          </cell>
          <cell r="AZ29">
            <v>1.68</v>
          </cell>
          <cell r="BT29">
            <v>0</v>
          </cell>
          <cell r="BX29">
            <v>0</v>
          </cell>
          <cell r="CB29">
            <v>0</v>
          </cell>
          <cell r="CE29" t="str">
            <v>1EU</v>
          </cell>
          <cell r="CF29" t="str">
            <v>1EU</v>
          </cell>
          <cell r="CG29" t="str">
            <v>1EU</v>
          </cell>
        </row>
        <row r="30">
          <cell r="O30">
            <v>1</v>
          </cell>
          <cell r="AN30">
            <v>0</v>
          </cell>
          <cell r="AO30">
            <v>1.7034061070641751</v>
          </cell>
          <cell r="AP30">
            <v>1.7034061070641751</v>
          </cell>
          <cell r="AZ30">
            <v>1.84</v>
          </cell>
          <cell r="BT30">
            <v>0</v>
          </cell>
          <cell r="BX30">
            <v>0</v>
          </cell>
          <cell r="CB30">
            <v>0</v>
          </cell>
          <cell r="CE30" t="str">
            <v>1EU</v>
          </cell>
          <cell r="CF30" t="str">
            <v>1EU</v>
          </cell>
          <cell r="CG30" t="str">
            <v>1EU</v>
          </cell>
        </row>
        <row r="31">
          <cell r="O31">
            <v>1</v>
          </cell>
          <cell r="AN31">
            <v>0</v>
          </cell>
          <cell r="AO31">
            <v>0</v>
          </cell>
          <cell r="AP31">
            <v>0</v>
          </cell>
          <cell r="AZ31">
            <v>0</v>
          </cell>
          <cell r="BT31">
            <v>0</v>
          </cell>
          <cell r="BX31">
            <v>0</v>
          </cell>
          <cell r="CB31">
            <v>0</v>
          </cell>
          <cell r="CE31" t="str">
            <v>1EU</v>
          </cell>
          <cell r="CF31" t="str">
            <v>1EU</v>
          </cell>
          <cell r="CG31" t="str">
            <v>1EU</v>
          </cell>
        </row>
        <row r="32">
          <cell r="O32">
            <v>1</v>
          </cell>
          <cell r="AN32">
            <v>0</v>
          </cell>
          <cell r="AO32">
            <v>0</v>
          </cell>
          <cell r="AP32">
            <v>0</v>
          </cell>
          <cell r="AZ32">
            <v>0</v>
          </cell>
          <cell r="BT32">
            <v>0</v>
          </cell>
          <cell r="BX32">
            <v>0</v>
          </cell>
          <cell r="CB32">
            <v>0</v>
          </cell>
          <cell r="CE32" t="str">
            <v>1LOCAL</v>
          </cell>
          <cell r="CF32" t="str">
            <v>1LOCAL</v>
          </cell>
          <cell r="CG32" t="str">
            <v>1LOCAL</v>
          </cell>
        </row>
        <row r="33">
          <cell r="O33">
            <v>1</v>
          </cell>
          <cell r="AN33">
            <v>0</v>
          </cell>
          <cell r="AO33">
            <v>1.2960698640705677</v>
          </cell>
          <cell r="AP33">
            <v>1.2960698640705677</v>
          </cell>
          <cell r="AZ33">
            <v>1.4</v>
          </cell>
          <cell r="BT33">
            <v>0</v>
          </cell>
          <cell r="BX33">
            <v>0</v>
          </cell>
          <cell r="CB33">
            <v>0</v>
          </cell>
          <cell r="CE33" t="str">
            <v>1EU</v>
          </cell>
          <cell r="CF33" t="str">
            <v>1EU</v>
          </cell>
          <cell r="CG33" t="str">
            <v>1EU</v>
          </cell>
        </row>
        <row r="34">
          <cell r="O34">
            <v>1</v>
          </cell>
          <cell r="AN34">
            <v>0</v>
          </cell>
          <cell r="AO34">
            <v>0.351790391676297</v>
          </cell>
          <cell r="AP34">
            <v>0.351790391676297</v>
          </cell>
          <cell r="AZ34">
            <v>0.38</v>
          </cell>
          <cell r="BT34">
            <v>0</v>
          </cell>
          <cell r="BX34">
            <v>0</v>
          </cell>
          <cell r="CB34">
            <v>0</v>
          </cell>
          <cell r="CE34" t="str">
            <v>1EU</v>
          </cell>
          <cell r="CF34" t="str">
            <v>1EU</v>
          </cell>
          <cell r="CG34" t="str">
            <v>1EU</v>
          </cell>
        </row>
        <row r="35">
          <cell r="O35">
            <v>1</v>
          </cell>
          <cell r="AN35">
            <v>0</v>
          </cell>
          <cell r="AO35">
            <v>1.95336243799207</v>
          </cell>
          <cell r="AP35">
            <v>1.95336243799207</v>
          </cell>
          <cell r="AZ35">
            <v>2.11</v>
          </cell>
          <cell r="BT35">
            <v>0</v>
          </cell>
          <cell r="BX35">
            <v>0</v>
          </cell>
          <cell r="CB35">
            <v>0</v>
          </cell>
          <cell r="CE35" t="str">
            <v>1EU</v>
          </cell>
          <cell r="CF35" t="str">
            <v>1EU</v>
          </cell>
          <cell r="CG35" t="str">
            <v>1EU</v>
          </cell>
        </row>
        <row r="36">
          <cell r="O36">
            <v>1</v>
          </cell>
          <cell r="AN36">
            <v>0</v>
          </cell>
          <cell r="AO36">
            <v>0</v>
          </cell>
          <cell r="AP36">
            <v>0</v>
          </cell>
          <cell r="AZ36">
            <v>0</v>
          </cell>
          <cell r="BT36">
            <v>0</v>
          </cell>
          <cell r="BX36">
            <v>0</v>
          </cell>
          <cell r="CB36">
            <v>0</v>
          </cell>
          <cell r="CE36" t="str">
            <v>1EU</v>
          </cell>
          <cell r="CF36" t="str">
            <v>1EU</v>
          </cell>
          <cell r="CG36" t="str">
            <v>1EU</v>
          </cell>
        </row>
        <row r="37">
          <cell r="O37">
            <v>1</v>
          </cell>
          <cell r="AN37">
            <v>0</v>
          </cell>
          <cell r="AO37">
            <v>0</v>
          </cell>
          <cell r="AP37">
            <v>0</v>
          </cell>
          <cell r="AZ37">
            <v>0</v>
          </cell>
          <cell r="BT37">
            <v>0</v>
          </cell>
          <cell r="BX37">
            <v>0</v>
          </cell>
          <cell r="CB37">
            <v>0</v>
          </cell>
          <cell r="CE37" t="str">
            <v>1LOCAL</v>
          </cell>
          <cell r="CF37" t="str">
            <v>1LOCAL</v>
          </cell>
          <cell r="CG37" t="str">
            <v>1LOCAL</v>
          </cell>
        </row>
        <row r="38">
          <cell r="AN38">
            <v>0</v>
          </cell>
          <cell r="AO38">
            <v>0</v>
          </cell>
          <cell r="AP38">
            <v>0</v>
          </cell>
          <cell r="BT38">
            <v>0</v>
          </cell>
          <cell r="BX38">
            <v>0</v>
          </cell>
          <cell r="CB38">
            <v>0</v>
          </cell>
          <cell r="CE38" t="str">
            <v>EU</v>
          </cell>
          <cell r="CF38" t="str">
            <v>EU</v>
          </cell>
          <cell r="CG38" t="str">
            <v>EU</v>
          </cell>
        </row>
        <row r="39">
          <cell r="AN39">
            <v>0</v>
          </cell>
          <cell r="AO39">
            <v>0</v>
          </cell>
          <cell r="AP39">
            <v>0</v>
          </cell>
          <cell r="BT39">
            <v>0</v>
          </cell>
          <cell r="BX39">
            <v>0</v>
          </cell>
          <cell r="CB39">
            <v>0</v>
          </cell>
          <cell r="CE39" t="str">
            <v>EU</v>
          </cell>
          <cell r="CF39" t="str">
            <v>EU</v>
          </cell>
          <cell r="CG39" t="str">
            <v>EU</v>
          </cell>
        </row>
        <row r="40">
          <cell r="O40">
            <v>1</v>
          </cell>
          <cell r="AN40">
            <v>0</v>
          </cell>
          <cell r="AO40">
            <v>0</v>
          </cell>
          <cell r="AP40">
            <v>0</v>
          </cell>
          <cell r="AZ40">
            <v>0</v>
          </cell>
          <cell r="BT40">
            <v>0</v>
          </cell>
          <cell r="BX40">
            <v>12.058489390552278</v>
          </cell>
          <cell r="CB40">
            <v>12.058489390552278</v>
          </cell>
          <cell r="CE40" t="str">
            <v>1LOCAL</v>
          </cell>
          <cell r="CF40" t="str">
            <v>1LOCAL</v>
          </cell>
          <cell r="CG40" t="str">
            <v>1LOCAL</v>
          </cell>
        </row>
        <row r="41">
          <cell r="O41">
            <v>1</v>
          </cell>
          <cell r="AN41">
            <v>0</v>
          </cell>
          <cell r="AO41">
            <v>0.56471615505931883</v>
          </cell>
          <cell r="AP41">
            <v>0.56471615505931883</v>
          </cell>
          <cell r="AZ41">
            <v>0.61</v>
          </cell>
          <cell r="BT41">
            <v>0</v>
          </cell>
          <cell r="BX41">
            <v>0</v>
          </cell>
          <cell r="CB41">
            <v>0</v>
          </cell>
          <cell r="CE41" t="str">
            <v>1EU</v>
          </cell>
          <cell r="CF41" t="str">
            <v>1EU</v>
          </cell>
          <cell r="CG41" t="str">
            <v>1EU</v>
          </cell>
        </row>
        <row r="42">
          <cell r="O42">
            <v>1</v>
          </cell>
          <cell r="AN42">
            <v>0</v>
          </cell>
          <cell r="AO42">
            <v>0.13886462829327512</v>
          </cell>
          <cell r="AP42">
            <v>0.13886462829327512</v>
          </cell>
          <cell r="AZ42">
            <v>0.15</v>
          </cell>
          <cell r="BT42">
            <v>0</v>
          </cell>
          <cell r="BX42">
            <v>0</v>
          </cell>
          <cell r="CB42">
            <v>0</v>
          </cell>
          <cell r="CE42" t="str">
            <v>1EU</v>
          </cell>
          <cell r="CF42" t="str">
            <v>1EU</v>
          </cell>
          <cell r="CG42" t="str">
            <v>1EU</v>
          </cell>
        </row>
        <row r="43">
          <cell r="O43">
            <v>1</v>
          </cell>
          <cell r="AN43">
            <v>0</v>
          </cell>
          <cell r="AO43">
            <v>1.6756331814055199</v>
          </cell>
          <cell r="AP43">
            <v>1.6756331814055199</v>
          </cell>
          <cell r="AZ43">
            <v>1.81</v>
          </cell>
          <cell r="BT43">
            <v>0</v>
          </cell>
          <cell r="BX43">
            <v>0</v>
          </cell>
          <cell r="CB43">
            <v>0</v>
          </cell>
          <cell r="CE43" t="str">
            <v>1EU</v>
          </cell>
          <cell r="CF43" t="str">
            <v>1EU</v>
          </cell>
          <cell r="CG43" t="str">
            <v>1EU</v>
          </cell>
        </row>
        <row r="44">
          <cell r="O44">
            <v>1</v>
          </cell>
          <cell r="AN44">
            <v>0</v>
          </cell>
          <cell r="AO44">
            <v>0</v>
          </cell>
          <cell r="AP44">
            <v>0</v>
          </cell>
          <cell r="AZ44">
            <v>0</v>
          </cell>
          <cell r="BT44">
            <v>0</v>
          </cell>
          <cell r="BX44">
            <v>0</v>
          </cell>
          <cell r="CB44">
            <v>0</v>
          </cell>
          <cell r="CE44" t="str">
            <v>1EU</v>
          </cell>
          <cell r="CF44" t="str">
            <v>1EU</v>
          </cell>
          <cell r="CG44" t="str">
            <v>1EU</v>
          </cell>
        </row>
        <row r="45">
          <cell r="O45">
            <v>1</v>
          </cell>
          <cell r="AN45">
            <v>1.2960698640705681E-2</v>
          </cell>
          <cell r="AO45">
            <v>1.2960698640705681E-2</v>
          </cell>
          <cell r="AP45">
            <v>1.2960698640705681E-2</v>
          </cell>
          <cell r="AZ45">
            <v>1.4000000000000002E-2</v>
          </cell>
          <cell r="BT45">
            <v>1.2960698640705679E-2</v>
          </cell>
          <cell r="BX45">
            <v>1.2960698640705679E-2</v>
          </cell>
          <cell r="CB45">
            <v>1.2960698640705679E-2</v>
          </cell>
          <cell r="CE45" t="str">
            <v>1LOCAL</v>
          </cell>
          <cell r="CF45" t="str">
            <v>1LOCAL</v>
          </cell>
          <cell r="CG45" t="str">
            <v>1LOCAL</v>
          </cell>
        </row>
        <row r="46">
          <cell r="O46">
            <v>1</v>
          </cell>
          <cell r="AN46">
            <v>0</v>
          </cell>
          <cell r="AO46">
            <v>2.7032314307757557</v>
          </cell>
          <cell r="AP46">
            <v>2.7032314307757557</v>
          </cell>
          <cell r="AZ46">
            <v>2.92</v>
          </cell>
          <cell r="BT46">
            <v>0</v>
          </cell>
          <cell r="BX46">
            <v>0</v>
          </cell>
          <cell r="CB46">
            <v>0</v>
          </cell>
          <cell r="CE46" t="str">
            <v>1EU</v>
          </cell>
          <cell r="CF46" t="str">
            <v>1EU</v>
          </cell>
          <cell r="CG46" t="str">
            <v>1EU</v>
          </cell>
        </row>
        <row r="47">
          <cell r="O47">
            <v>1</v>
          </cell>
          <cell r="AN47">
            <v>0</v>
          </cell>
          <cell r="AO47">
            <v>6.4803493203528392E-2</v>
          </cell>
          <cell r="AP47">
            <v>6.4803493203528392E-2</v>
          </cell>
          <cell r="AZ47">
            <v>7.0000000000000007E-2</v>
          </cell>
          <cell r="BT47">
            <v>0</v>
          </cell>
          <cell r="BX47">
            <v>0</v>
          </cell>
          <cell r="CB47">
            <v>0</v>
          </cell>
          <cell r="CE47" t="str">
            <v>1EU</v>
          </cell>
          <cell r="CF47" t="str">
            <v>1EU</v>
          </cell>
          <cell r="CG47" t="str">
            <v>1EU</v>
          </cell>
        </row>
        <row r="48">
          <cell r="O48">
            <v>1</v>
          </cell>
          <cell r="AN48">
            <v>0</v>
          </cell>
          <cell r="AO48">
            <v>0.21755458432613103</v>
          </cell>
          <cell r="AP48">
            <v>0.21755458432613103</v>
          </cell>
          <cell r="AZ48">
            <v>0.23499999999999999</v>
          </cell>
          <cell r="BT48">
            <v>0</v>
          </cell>
          <cell r="BX48">
            <v>0</v>
          </cell>
          <cell r="CB48">
            <v>0</v>
          </cell>
          <cell r="CE48" t="str">
            <v>1EU</v>
          </cell>
          <cell r="CF48" t="str">
            <v>1EU</v>
          </cell>
          <cell r="CG48" t="str">
            <v>1EU</v>
          </cell>
        </row>
        <row r="49">
          <cell r="O49">
            <v>1</v>
          </cell>
          <cell r="AN49">
            <v>0</v>
          </cell>
          <cell r="AO49">
            <v>1.3238427897292229</v>
          </cell>
          <cell r="AP49">
            <v>1.3238427897292229</v>
          </cell>
          <cell r="AZ49">
            <v>1.43</v>
          </cell>
          <cell r="BT49">
            <v>0</v>
          </cell>
          <cell r="BX49">
            <v>0</v>
          </cell>
          <cell r="CB49">
            <v>0</v>
          </cell>
          <cell r="CE49" t="str">
            <v>1EU</v>
          </cell>
          <cell r="CF49" t="str">
            <v>1EU</v>
          </cell>
          <cell r="CG49" t="str">
            <v>1EU</v>
          </cell>
        </row>
        <row r="50">
          <cell r="O50">
            <v>1</v>
          </cell>
          <cell r="AN50">
            <v>0</v>
          </cell>
          <cell r="AO50">
            <v>0</v>
          </cell>
          <cell r="AP50">
            <v>0</v>
          </cell>
          <cell r="AZ50">
            <v>0</v>
          </cell>
          <cell r="BT50">
            <v>0</v>
          </cell>
          <cell r="BX50">
            <v>0</v>
          </cell>
          <cell r="CB50">
            <v>0</v>
          </cell>
          <cell r="CE50" t="str">
            <v>1EU</v>
          </cell>
          <cell r="CF50" t="str">
            <v>1EU</v>
          </cell>
          <cell r="CG50" t="str">
            <v>1EU</v>
          </cell>
        </row>
        <row r="51">
          <cell r="O51">
            <v>1</v>
          </cell>
          <cell r="AN51">
            <v>0</v>
          </cell>
          <cell r="AO51">
            <v>0.351790391676297</v>
          </cell>
          <cell r="AP51">
            <v>0.351790391676297</v>
          </cell>
          <cell r="AZ51">
            <v>0.38</v>
          </cell>
          <cell r="BT51">
            <v>0</v>
          </cell>
          <cell r="BX51">
            <v>0</v>
          </cell>
          <cell r="CB51">
            <v>0</v>
          </cell>
          <cell r="CE51" t="str">
            <v>1EU</v>
          </cell>
          <cell r="CF51" t="str">
            <v>1EU</v>
          </cell>
          <cell r="CG51" t="str">
            <v>1EU</v>
          </cell>
        </row>
        <row r="52">
          <cell r="O52">
            <v>1</v>
          </cell>
          <cell r="AN52">
            <v>1.7486656896190202E-2</v>
          </cell>
          <cell r="AO52">
            <v>1.7486656896190202E-2</v>
          </cell>
          <cell r="AP52">
            <v>1.7486656896190202E-2</v>
          </cell>
          <cell r="AZ52">
            <v>1.8888888888888889E-2</v>
          </cell>
          <cell r="BT52">
            <v>0</v>
          </cell>
          <cell r="BX52">
            <v>1.7486656896190202E-2</v>
          </cell>
          <cell r="CB52">
            <v>1.7486656896190202E-2</v>
          </cell>
          <cell r="CE52" t="str">
            <v>1LOCAL</v>
          </cell>
          <cell r="CF52" t="str">
            <v>1LOCAL</v>
          </cell>
          <cell r="CG52" t="str">
            <v>1LOCAL</v>
          </cell>
        </row>
        <row r="53">
          <cell r="O53">
            <v>1</v>
          </cell>
          <cell r="AN53">
            <v>1.2960698640705681E-2</v>
          </cell>
          <cell r="AO53">
            <v>1.2960698640705681E-2</v>
          </cell>
          <cell r="AP53">
            <v>1.2960698640705681E-2</v>
          </cell>
          <cell r="AZ53">
            <v>1.4000000000000002E-2</v>
          </cell>
          <cell r="BT53">
            <v>1.2960698640705679E-2</v>
          </cell>
          <cell r="BX53">
            <v>1.2960698640705679E-2</v>
          </cell>
          <cell r="CB53">
            <v>1.2960698640705679E-2</v>
          </cell>
          <cell r="CE53" t="str">
            <v>1LOCAL</v>
          </cell>
          <cell r="CF53" t="str">
            <v>1LOCAL</v>
          </cell>
          <cell r="CG53" t="str">
            <v>1LOCAL</v>
          </cell>
        </row>
        <row r="54">
          <cell r="AN54">
            <v>0</v>
          </cell>
          <cell r="AO54">
            <v>0</v>
          </cell>
          <cell r="AP54">
            <v>0</v>
          </cell>
          <cell r="BT54">
            <v>0</v>
          </cell>
          <cell r="BX54">
            <v>0</v>
          </cell>
          <cell r="CB54">
            <v>0</v>
          </cell>
          <cell r="CE54" t="str">
            <v>EU</v>
          </cell>
          <cell r="CF54" t="str">
            <v>EU</v>
          </cell>
          <cell r="CG54" t="str">
            <v>EU</v>
          </cell>
        </row>
        <row r="55">
          <cell r="O55">
            <v>1</v>
          </cell>
          <cell r="AN55">
            <v>0</v>
          </cell>
          <cell r="AO55">
            <v>0</v>
          </cell>
          <cell r="AP55">
            <v>0</v>
          </cell>
          <cell r="AZ55">
            <v>0</v>
          </cell>
          <cell r="BT55">
            <v>0</v>
          </cell>
          <cell r="BX55">
            <v>0</v>
          </cell>
          <cell r="CB55">
            <v>0</v>
          </cell>
          <cell r="CE55" t="str">
            <v>1EU</v>
          </cell>
          <cell r="CF55" t="str">
            <v>1EU</v>
          </cell>
          <cell r="CG55" t="str">
            <v>1EU</v>
          </cell>
        </row>
        <row r="56">
          <cell r="O56">
            <v>1</v>
          </cell>
          <cell r="AN56">
            <v>38.622881949302922</v>
          </cell>
          <cell r="AO56">
            <v>0</v>
          </cell>
          <cell r="AP56">
            <v>0</v>
          </cell>
          <cell r="AZ56">
            <v>0</v>
          </cell>
          <cell r="BT56">
            <v>51.071939018580274</v>
          </cell>
          <cell r="BX56">
            <v>0</v>
          </cell>
          <cell r="CB56">
            <v>0</v>
          </cell>
          <cell r="CE56" t="str">
            <v>1LOCAL</v>
          </cell>
          <cell r="CF56" t="str">
            <v>1LOCAL</v>
          </cell>
          <cell r="CG56" t="str">
            <v>1LOCAL</v>
          </cell>
        </row>
        <row r="57">
          <cell r="O57">
            <v>1</v>
          </cell>
          <cell r="AN57">
            <v>0</v>
          </cell>
          <cell r="AO57">
            <v>0</v>
          </cell>
          <cell r="AP57">
            <v>0</v>
          </cell>
          <cell r="AZ57">
            <v>0</v>
          </cell>
          <cell r="BT57">
            <v>0</v>
          </cell>
          <cell r="BX57">
            <v>0</v>
          </cell>
          <cell r="CB57">
            <v>0</v>
          </cell>
          <cell r="CE57" t="str">
            <v>1EU</v>
          </cell>
          <cell r="CF57" t="str">
            <v>1EU</v>
          </cell>
          <cell r="CG57" t="str">
            <v>1EU</v>
          </cell>
        </row>
        <row r="58">
          <cell r="O58">
            <v>1</v>
          </cell>
          <cell r="AN58">
            <v>0</v>
          </cell>
          <cell r="AO58">
            <v>0</v>
          </cell>
          <cell r="AP58">
            <v>0</v>
          </cell>
          <cell r="AZ58">
            <v>0</v>
          </cell>
          <cell r="BT58">
            <v>0</v>
          </cell>
          <cell r="BX58">
            <v>36.88203173672445</v>
          </cell>
          <cell r="CB58">
            <v>36.88203173672445</v>
          </cell>
          <cell r="CE58" t="str">
            <v>1LOCAL</v>
          </cell>
          <cell r="CF58" t="str">
            <v>1LOCAL</v>
          </cell>
          <cell r="CG58" t="str">
            <v>1LOCAL</v>
          </cell>
        </row>
        <row r="59">
          <cell r="O59">
            <v>1</v>
          </cell>
          <cell r="AN59">
            <v>0</v>
          </cell>
          <cell r="AO59">
            <v>7.4338864346333278</v>
          </cell>
          <cell r="AP59">
            <v>7.4338864346333278</v>
          </cell>
          <cell r="AZ59">
            <v>16.742549999999998</v>
          </cell>
          <cell r="BT59">
            <v>0</v>
          </cell>
          <cell r="BX59">
            <v>0</v>
          </cell>
          <cell r="CB59">
            <v>0</v>
          </cell>
          <cell r="CE59" t="str">
            <v>1EU</v>
          </cell>
          <cell r="CF59" t="str">
            <v>1EU</v>
          </cell>
          <cell r="CG59" t="str">
            <v>1EU</v>
          </cell>
        </row>
        <row r="60">
          <cell r="O60">
            <v>1</v>
          </cell>
          <cell r="AN60">
            <v>5.5545851317310047E-2</v>
          </cell>
          <cell r="AO60">
            <v>5.5545851317310047E-2</v>
          </cell>
          <cell r="AP60">
            <v>5.5545851317310047E-2</v>
          </cell>
          <cell r="AZ60">
            <v>0.06</v>
          </cell>
          <cell r="BT60">
            <v>5.5545851317310047E-2</v>
          </cell>
          <cell r="BX60">
            <v>5.5545851317310047E-2</v>
          </cell>
          <cell r="CB60">
            <v>5.5545851317310047E-2</v>
          </cell>
          <cell r="CE60" t="str">
            <v>1LOCAL</v>
          </cell>
          <cell r="CF60" t="str">
            <v>1LOCAL</v>
          </cell>
          <cell r="CG60" t="str">
            <v>1LOCAL</v>
          </cell>
        </row>
        <row r="61">
          <cell r="O61">
            <v>1</v>
          </cell>
          <cell r="AN61">
            <v>1.2960698640705681E-2</v>
          </cell>
          <cell r="AO61">
            <v>1.2960698640705681E-2</v>
          </cell>
          <cell r="AP61">
            <v>1.2960698640705681E-2</v>
          </cell>
          <cell r="AZ61">
            <v>1.4000000000000002E-2</v>
          </cell>
          <cell r="BT61">
            <v>1.2960698640705679E-2</v>
          </cell>
          <cell r="BX61">
            <v>1.2960698640705679E-2</v>
          </cell>
          <cell r="CB61">
            <v>1.2960698640705679E-2</v>
          </cell>
          <cell r="CE61" t="str">
            <v>1LOCAL</v>
          </cell>
          <cell r="CF61" t="str">
            <v>1LOCAL</v>
          </cell>
          <cell r="CG61" t="str">
            <v>1LOCAL</v>
          </cell>
        </row>
        <row r="62">
          <cell r="O62">
            <v>1</v>
          </cell>
          <cell r="AN62">
            <v>0.49065501996957211</v>
          </cell>
          <cell r="AO62">
            <v>0.49065501996957211</v>
          </cell>
          <cell r="AP62">
            <v>0.49065501996957211</v>
          </cell>
          <cell r="AZ62">
            <v>0.53</v>
          </cell>
          <cell r="BT62">
            <v>0.49065501996957211</v>
          </cell>
          <cell r="BX62">
            <v>0.49065501996957211</v>
          </cell>
          <cell r="CB62">
            <v>0.49065501996957211</v>
          </cell>
          <cell r="CE62" t="str">
            <v>1LOCAL</v>
          </cell>
          <cell r="CF62" t="str">
            <v>1LOCAL</v>
          </cell>
          <cell r="CG62" t="str">
            <v>1LOCAL</v>
          </cell>
        </row>
        <row r="63">
          <cell r="O63">
            <v>1</v>
          </cell>
          <cell r="AN63">
            <v>0</v>
          </cell>
          <cell r="AO63">
            <v>0.73135370901124908</v>
          </cell>
          <cell r="AP63">
            <v>0.73135370901124908</v>
          </cell>
          <cell r="AZ63">
            <v>0.79</v>
          </cell>
          <cell r="BT63">
            <v>0</v>
          </cell>
          <cell r="BX63">
            <v>0</v>
          </cell>
          <cell r="CB63">
            <v>0</v>
          </cell>
          <cell r="CE63" t="str">
            <v>1EU</v>
          </cell>
          <cell r="CF63" t="str">
            <v>1EU</v>
          </cell>
          <cell r="CG63" t="str">
            <v>1EU</v>
          </cell>
        </row>
        <row r="64">
          <cell r="O64">
            <v>1</v>
          </cell>
          <cell r="AN64">
            <v>0</v>
          </cell>
          <cell r="AO64">
            <v>0.86558951636141501</v>
          </cell>
          <cell r="AP64">
            <v>0.86558951636141501</v>
          </cell>
          <cell r="AZ64">
            <v>0.93500000000000005</v>
          </cell>
          <cell r="BT64">
            <v>0</v>
          </cell>
          <cell r="BX64">
            <v>0</v>
          </cell>
          <cell r="CB64">
            <v>0</v>
          </cell>
          <cell r="CE64" t="str">
            <v>1EU</v>
          </cell>
          <cell r="CF64" t="str">
            <v>1EU</v>
          </cell>
          <cell r="CG64" t="str">
            <v>1EU</v>
          </cell>
        </row>
        <row r="65">
          <cell r="O65">
            <v>1</v>
          </cell>
          <cell r="AN65">
            <v>0</v>
          </cell>
          <cell r="AO65">
            <v>0.79615720221477737</v>
          </cell>
          <cell r="AP65">
            <v>0.79615720221477737</v>
          </cell>
          <cell r="AZ65">
            <v>0.86</v>
          </cell>
          <cell r="BT65">
            <v>0</v>
          </cell>
          <cell r="BX65">
            <v>0</v>
          </cell>
          <cell r="CB65">
            <v>0</v>
          </cell>
          <cell r="CE65" t="str">
            <v>1EU</v>
          </cell>
          <cell r="CF65" t="str">
            <v>1EU</v>
          </cell>
          <cell r="CG65" t="str">
            <v>1EU</v>
          </cell>
        </row>
        <row r="66">
          <cell r="O66">
            <v>1</v>
          </cell>
          <cell r="AN66">
            <v>0</v>
          </cell>
          <cell r="AO66">
            <v>1.8237554515850134</v>
          </cell>
          <cell r="AP66">
            <v>1.8237554515850134</v>
          </cell>
          <cell r="AZ66">
            <v>1.97</v>
          </cell>
          <cell r="BT66">
            <v>0</v>
          </cell>
          <cell r="BX66">
            <v>0</v>
          </cell>
          <cell r="CB66">
            <v>0</v>
          </cell>
          <cell r="CE66" t="str">
            <v>1EU</v>
          </cell>
          <cell r="CF66" t="str">
            <v>1EU</v>
          </cell>
          <cell r="CG66" t="str">
            <v>1EU</v>
          </cell>
        </row>
        <row r="67">
          <cell r="O67">
            <v>1</v>
          </cell>
          <cell r="AN67">
            <v>0</v>
          </cell>
          <cell r="AO67">
            <v>0</v>
          </cell>
          <cell r="AP67">
            <v>0</v>
          </cell>
          <cell r="AZ67">
            <v>0</v>
          </cell>
          <cell r="BT67">
            <v>0</v>
          </cell>
          <cell r="BX67">
            <v>0</v>
          </cell>
          <cell r="CB67">
            <v>0</v>
          </cell>
          <cell r="CE67" t="str">
            <v>1EU</v>
          </cell>
          <cell r="CF67" t="str">
            <v>1EU</v>
          </cell>
          <cell r="CG67" t="str">
            <v>1EU</v>
          </cell>
        </row>
        <row r="68">
          <cell r="O68">
            <v>1</v>
          </cell>
          <cell r="AN68">
            <v>0</v>
          </cell>
          <cell r="AO68">
            <v>0</v>
          </cell>
          <cell r="AP68">
            <v>0</v>
          </cell>
          <cell r="AZ68">
            <v>0</v>
          </cell>
          <cell r="BT68">
            <v>0</v>
          </cell>
          <cell r="BX68">
            <v>0</v>
          </cell>
          <cell r="CB68">
            <v>0</v>
          </cell>
          <cell r="CE68" t="str">
            <v>1LOCAL</v>
          </cell>
          <cell r="CF68" t="str">
            <v>1LOCAL</v>
          </cell>
          <cell r="CG68" t="str">
            <v>1LOCAL</v>
          </cell>
        </row>
        <row r="69">
          <cell r="O69">
            <v>1</v>
          </cell>
          <cell r="AN69">
            <v>1.2960698640705681E-2</v>
          </cell>
          <cell r="AO69">
            <v>1.2960698640705681E-2</v>
          </cell>
          <cell r="AP69">
            <v>1.2960698640705681E-2</v>
          </cell>
          <cell r="AZ69">
            <v>1.4000000000000002E-2</v>
          </cell>
          <cell r="BT69">
            <v>0</v>
          </cell>
          <cell r="BX69">
            <v>1.2960698640705679E-2</v>
          </cell>
          <cell r="CB69">
            <v>1.2960698640705679E-2</v>
          </cell>
          <cell r="CE69" t="str">
            <v>1LOCAL</v>
          </cell>
          <cell r="CF69" t="str">
            <v>1LOCAL</v>
          </cell>
          <cell r="CG69" t="str">
            <v>1LOCAL</v>
          </cell>
        </row>
        <row r="70">
          <cell r="O70">
            <v>1</v>
          </cell>
          <cell r="AN70">
            <v>0</v>
          </cell>
          <cell r="AO70">
            <v>0.84244541164586917</v>
          </cell>
          <cell r="AP70">
            <v>0.84244541164586917</v>
          </cell>
          <cell r="AZ70">
            <v>0.91</v>
          </cell>
          <cell r="BT70">
            <v>0</v>
          </cell>
          <cell r="BX70">
            <v>0</v>
          </cell>
          <cell r="CB70">
            <v>0</v>
          </cell>
          <cell r="CE70" t="str">
            <v>1EU</v>
          </cell>
          <cell r="CF70" t="str">
            <v>1EU</v>
          </cell>
          <cell r="CG70" t="str">
            <v>1EU</v>
          </cell>
        </row>
        <row r="71">
          <cell r="O71">
            <v>1</v>
          </cell>
          <cell r="AN71">
            <v>0</v>
          </cell>
          <cell r="AO71">
            <v>0</v>
          </cell>
          <cell r="AP71">
            <v>0</v>
          </cell>
          <cell r="AZ71">
            <v>0</v>
          </cell>
          <cell r="BT71">
            <v>0</v>
          </cell>
          <cell r="BX71">
            <v>0</v>
          </cell>
          <cell r="CB71">
            <v>0</v>
          </cell>
          <cell r="CE71" t="str">
            <v>1EU</v>
          </cell>
          <cell r="CF71" t="str">
            <v>1EU</v>
          </cell>
          <cell r="CG71" t="str">
            <v>1EU</v>
          </cell>
        </row>
        <row r="72">
          <cell r="O72">
            <v>1</v>
          </cell>
          <cell r="AN72">
            <v>5.5545851317310047E-2</v>
          </cell>
          <cell r="AO72">
            <v>5.5545851317310047E-2</v>
          </cell>
          <cell r="AP72">
            <v>5.5545851317310047E-2</v>
          </cell>
          <cell r="AZ72">
            <v>0.06</v>
          </cell>
          <cell r="BT72">
            <v>0</v>
          </cell>
          <cell r="BX72">
            <v>5.5545851317310047E-2</v>
          </cell>
          <cell r="CB72">
            <v>5.5545851317310047E-2</v>
          </cell>
          <cell r="CE72" t="str">
            <v>1LOCAL</v>
          </cell>
          <cell r="CF72" t="str">
            <v>1LOCAL</v>
          </cell>
          <cell r="CG72" t="str">
            <v>1LOCAL</v>
          </cell>
        </row>
        <row r="73">
          <cell r="O73">
            <v>1</v>
          </cell>
          <cell r="AN73">
            <v>0</v>
          </cell>
          <cell r="AO73">
            <v>0.85170305353208753</v>
          </cell>
          <cell r="AP73">
            <v>0.85170305353208753</v>
          </cell>
          <cell r="AZ73">
            <v>0.92</v>
          </cell>
          <cell r="BT73">
            <v>0</v>
          </cell>
          <cell r="BX73">
            <v>0</v>
          </cell>
          <cell r="CB73">
            <v>0</v>
          </cell>
          <cell r="CE73" t="str">
            <v>1EU</v>
          </cell>
          <cell r="CF73" t="str">
            <v>1EU</v>
          </cell>
          <cell r="CG73" t="str">
            <v>1EU</v>
          </cell>
        </row>
        <row r="74">
          <cell r="O74">
            <v>1</v>
          </cell>
          <cell r="AN74">
            <v>0</v>
          </cell>
          <cell r="AO74">
            <v>0</v>
          </cell>
          <cell r="AP74">
            <v>0</v>
          </cell>
          <cell r="AZ74">
            <v>0</v>
          </cell>
          <cell r="BT74">
            <v>0</v>
          </cell>
          <cell r="BX74">
            <v>0</v>
          </cell>
          <cell r="CB74">
            <v>0</v>
          </cell>
          <cell r="CE74" t="str">
            <v>1EU</v>
          </cell>
          <cell r="CF74" t="str">
            <v>1EU</v>
          </cell>
          <cell r="CG74" t="str">
            <v>1EU</v>
          </cell>
        </row>
        <row r="75">
          <cell r="O75">
            <v>1</v>
          </cell>
          <cell r="AN75">
            <v>5.5545851317310047E-2</v>
          </cell>
          <cell r="AO75">
            <v>5.5545851317310047E-2</v>
          </cell>
          <cell r="AP75">
            <v>5.5545851317310047E-2</v>
          </cell>
          <cell r="AZ75">
            <v>0.06</v>
          </cell>
          <cell r="BT75">
            <v>0</v>
          </cell>
          <cell r="BX75">
            <v>5.5545851317310047E-2</v>
          </cell>
          <cell r="CB75">
            <v>5.5545851317310047E-2</v>
          </cell>
          <cell r="CE75" t="str">
            <v>1LOCAL</v>
          </cell>
          <cell r="CF75" t="str">
            <v>1LOCAL</v>
          </cell>
          <cell r="CG75" t="str">
            <v>1LOCAL</v>
          </cell>
        </row>
        <row r="76">
          <cell r="O76">
            <v>1</v>
          </cell>
          <cell r="AN76">
            <v>0</v>
          </cell>
          <cell r="AO76">
            <v>0.81467248598721409</v>
          </cell>
          <cell r="AP76">
            <v>0.81467248598721409</v>
          </cell>
          <cell r="AZ76">
            <v>0.88</v>
          </cell>
          <cell r="BT76">
            <v>0</v>
          </cell>
          <cell r="BX76">
            <v>0</v>
          </cell>
          <cell r="CB76">
            <v>0</v>
          </cell>
          <cell r="CE76" t="str">
            <v>1EU</v>
          </cell>
          <cell r="CF76" t="str">
            <v>1EU</v>
          </cell>
          <cell r="CG76" t="str">
            <v>1EU</v>
          </cell>
        </row>
        <row r="77">
          <cell r="O77">
            <v>1</v>
          </cell>
          <cell r="AN77">
            <v>0</v>
          </cell>
          <cell r="AO77">
            <v>0.75912663466990393</v>
          </cell>
          <cell r="AP77">
            <v>0.75912663466990393</v>
          </cell>
          <cell r="AZ77">
            <v>0.82</v>
          </cell>
          <cell r="BT77">
            <v>0</v>
          </cell>
          <cell r="BX77">
            <v>0</v>
          </cell>
          <cell r="CB77">
            <v>0</v>
          </cell>
          <cell r="CE77" t="str">
            <v>1EU</v>
          </cell>
          <cell r="CF77" t="str">
            <v>1EU</v>
          </cell>
          <cell r="CG77" t="str">
            <v>1EU</v>
          </cell>
        </row>
        <row r="78">
          <cell r="O78">
            <v>1</v>
          </cell>
          <cell r="AN78">
            <v>0</v>
          </cell>
          <cell r="AO78">
            <v>2.268122262123494</v>
          </cell>
          <cell r="AP78">
            <v>2.268122262123494</v>
          </cell>
          <cell r="AZ78">
            <v>2.4500000000000002</v>
          </cell>
          <cell r="BT78">
            <v>0</v>
          </cell>
          <cell r="BX78">
            <v>0</v>
          </cell>
          <cell r="CB78">
            <v>0</v>
          </cell>
          <cell r="CE78" t="str">
            <v>1EU</v>
          </cell>
          <cell r="CF78" t="str">
            <v>1EU</v>
          </cell>
          <cell r="CG78" t="str">
            <v>1EU</v>
          </cell>
        </row>
        <row r="79">
          <cell r="O79">
            <v>1</v>
          </cell>
          <cell r="AN79">
            <v>0</v>
          </cell>
          <cell r="AO79">
            <v>0</v>
          </cell>
          <cell r="AP79">
            <v>0</v>
          </cell>
          <cell r="AZ79">
            <v>0</v>
          </cell>
          <cell r="BT79">
            <v>0</v>
          </cell>
          <cell r="BX79">
            <v>0</v>
          </cell>
          <cell r="CB79">
            <v>0</v>
          </cell>
          <cell r="CE79" t="str">
            <v>1EU</v>
          </cell>
          <cell r="CF79" t="str">
            <v>1EU</v>
          </cell>
          <cell r="CG79" t="str">
            <v>1EU</v>
          </cell>
        </row>
        <row r="80">
          <cell r="O80">
            <v>1</v>
          </cell>
          <cell r="AN80">
            <v>0</v>
          </cell>
          <cell r="AO80">
            <v>0</v>
          </cell>
          <cell r="AP80">
            <v>0</v>
          </cell>
          <cell r="AZ80">
            <v>0</v>
          </cell>
          <cell r="BT80">
            <v>0</v>
          </cell>
          <cell r="BX80">
            <v>0</v>
          </cell>
          <cell r="CB80">
            <v>0</v>
          </cell>
          <cell r="CE80" t="str">
            <v>1EU</v>
          </cell>
          <cell r="CF80" t="str">
            <v>1EU</v>
          </cell>
          <cell r="CG80" t="str">
            <v>1EU</v>
          </cell>
        </row>
        <row r="81">
          <cell r="O81">
            <v>1</v>
          </cell>
          <cell r="AN81">
            <v>1.7486656896190202E-2</v>
          </cell>
          <cell r="AO81">
            <v>1.7486656896190202E-2</v>
          </cell>
          <cell r="AP81">
            <v>1.7486656896190202E-2</v>
          </cell>
          <cell r="AZ81">
            <v>1.8888888888888889E-2</v>
          </cell>
          <cell r="BT81">
            <v>0</v>
          </cell>
          <cell r="BX81">
            <v>1.7486656896190202E-2</v>
          </cell>
          <cell r="CB81">
            <v>1.7486656896190202E-2</v>
          </cell>
          <cell r="CE81" t="str">
            <v>1LOCAL</v>
          </cell>
          <cell r="CF81" t="str">
            <v>1LOCAL</v>
          </cell>
          <cell r="CG81" t="str">
            <v>1LOCAL</v>
          </cell>
        </row>
        <row r="82">
          <cell r="O82">
            <v>1</v>
          </cell>
          <cell r="AN82">
            <v>0</v>
          </cell>
          <cell r="AO82">
            <v>1.3701309991603146</v>
          </cell>
          <cell r="AP82">
            <v>1.3701309991603146</v>
          </cell>
          <cell r="AZ82">
            <v>3.0857999999999999</v>
          </cell>
          <cell r="BT82">
            <v>0</v>
          </cell>
          <cell r="BX82">
            <v>0</v>
          </cell>
          <cell r="CB82">
            <v>0</v>
          </cell>
          <cell r="CE82" t="str">
            <v>1EU</v>
          </cell>
          <cell r="CF82" t="str">
            <v>1EU</v>
          </cell>
          <cell r="CG82" t="str">
            <v>1EU</v>
          </cell>
        </row>
        <row r="83">
          <cell r="O83">
            <v>1</v>
          </cell>
          <cell r="AN83">
            <v>4.2832574624659905E-2</v>
          </cell>
          <cell r="AO83">
            <v>4.2832574624659905E-2</v>
          </cell>
          <cell r="AP83">
            <v>4.2832574624659905E-2</v>
          </cell>
          <cell r="AZ83">
            <v>4.6267262388301998E-2</v>
          </cell>
          <cell r="BT83">
            <v>0</v>
          </cell>
          <cell r="BX83">
            <v>0</v>
          </cell>
          <cell r="CB83">
            <v>0</v>
          </cell>
          <cell r="CE83" t="str">
            <v>1LOCAL</v>
          </cell>
          <cell r="CF83" t="str">
            <v>1LOCAL</v>
          </cell>
          <cell r="CG83" t="str">
            <v>1LOCAL</v>
          </cell>
        </row>
        <row r="84">
          <cell r="O84">
            <v>1</v>
          </cell>
          <cell r="AN84">
            <v>0</v>
          </cell>
          <cell r="AO84">
            <v>3.8326637408943931</v>
          </cell>
          <cell r="AP84">
            <v>3.8326637408943931</v>
          </cell>
          <cell r="AZ84">
            <v>8.6318999999999999</v>
          </cell>
          <cell r="BT84">
            <v>0</v>
          </cell>
          <cell r="BX84">
            <v>0</v>
          </cell>
          <cell r="CB84">
            <v>0</v>
          </cell>
          <cell r="CE84" t="str">
            <v>1EU</v>
          </cell>
          <cell r="CF84" t="str">
            <v>1EU</v>
          </cell>
          <cell r="CG84" t="str">
            <v>1EU</v>
          </cell>
        </row>
        <row r="85">
          <cell r="O85">
            <v>1</v>
          </cell>
          <cell r="AN85">
            <v>0</v>
          </cell>
          <cell r="AO85">
            <v>1.0553711750288908</v>
          </cell>
          <cell r="AP85">
            <v>1.0553711750288908</v>
          </cell>
          <cell r="AZ85">
            <v>1.1399999999999999</v>
          </cell>
          <cell r="BT85">
            <v>0</v>
          </cell>
          <cell r="BX85">
            <v>0</v>
          </cell>
          <cell r="CB85">
            <v>0</v>
          </cell>
          <cell r="CE85" t="str">
            <v>1EU</v>
          </cell>
          <cell r="CF85" t="str">
            <v>1EU</v>
          </cell>
          <cell r="CG85" t="str">
            <v>1EU</v>
          </cell>
        </row>
        <row r="86">
          <cell r="O86">
            <v>1</v>
          </cell>
          <cell r="AN86">
            <v>0</v>
          </cell>
          <cell r="AO86">
            <v>1.2960698640705677</v>
          </cell>
          <cell r="AP86">
            <v>1.2960698640705677</v>
          </cell>
          <cell r="AZ86">
            <v>1.4</v>
          </cell>
          <cell r="BT86">
            <v>0</v>
          </cell>
          <cell r="BX86">
            <v>0</v>
          </cell>
          <cell r="CB86">
            <v>0</v>
          </cell>
          <cell r="CE86" t="str">
            <v>1EU</v>
          </cell>
          <cell r="CF86" t="str">
            <v>1EU</v>
          </cell>
          <cell r="CG86" t="str">
            <v>1EU</v>
          </cell>
        </row>
        <row r="87">
          <cell r="O87">
            <v>1</v>
          </cell>
          <cell r="AN87">
            <v>0</v>
          </cell>
          <cell r="AO87">
            <v>0.351790391676297</v>
          </cell>
          <cell r="AP87">
            <v>0.351790391676297</v>
          </cell>
          <cell r="AZ87">
            <v>0.38</v>
          </cell>
          <cell r="BT87">
            <v>0</v>
          </cell>
          <cell r="BX87">
            <v>0</v>
          </cell>
          <cell r="CB87">
            <v>0</v>
          </cell>
          <cell r="CE87" t="str">
            <v>1EU</v>
          </cell>
          <cell r="CF87" t="str">
            <v>1EU</v>
          </cell>
          <cell r="CG87" t="str">
            <v>1EU</v>
          </cell>
        </row>
        <row r="88">
          <cell r="O88">
            <v>1</v>
          </cell>
          <cell r="AN88">
            <v>0</v>
          </cell>
          <cell r="AO88">
            <v>0.78689956032855901</v>
          </cell>
          <cell r="AP88">
            <v>0.78689956032855901</v>
          </cell>
          <cell r="AZ88">
            <v>1.7722499999999999</v>
          </cell>
          <cell r="BT88">
            <v>0</v>
          </cell>
          <cell r="BX88">
            <v>0</v>
          </cell>
          <cell r="CB88">
            <v>0</v>
          </cell>
          <cell r="CE88" t="str">
            <v>1EU</v>
          </cell>
          <cell r="CF88" t="str">
            <v>1EU</v>
          </cell>
          <cell r="CG88" t="str">
            <v>1EU</v>
          </cell>
        </row>
        <row r="89">
          <cell r="O89">
            <v>1</v>
          </cell>
          <cell r="AN89">
            <v>0</v>
          </cell>
          <cell r="AO89">
            <v>1.5552838368846813</v>
          </cell>
          <cell r="AP89">
            <v>1.5552838368846813</v>
          </cell>
          <cell r="AZ89">
            <v>1.68</v>
          </cell>
          <cell r="BT89">
            <v>0</v>
          </cell>
          <cell r="BX89">
            <v>0</v>
          </cell>
          <cell r="CB89">
            <v>0</v>
          </cell>
          <cell r="CE89" t="str">
            <v>1EU</v>
          </cell>
          <cell r="CF89" t="str">
            <v>1EU</v>
          </cell>
          <cell r="CG89" t="str">
            <v>1EU</v>
          </cell>
        </row>
        <row r="90">
          <cell r="O90">
            <v>1</v>
          </cell>
          <cell r="AN90">
            <v>0</v>
          </cell>
          <cell r="AO90">
            <v>1.4441921342500614</v>
          </cell>
          <cell r="AP90">
            <v>1.4441921342500614</v>
          </cell>
          <cell r="AZ90">
            <v>1.56</v>
          </cell>
          <cell r="BT90">
            <v>0</v>
          </cell>
          <cell r="BX90">
            <v>0</v>
          </cell>
          <cell r="CB90">
            <v>0</v>
          </cell>
          <cell r="CE90" t="str">
            <v>1EU</v>
          </cell>
          <cell r="CF90" t="str">
            <v>1EU</v>
          </cell>
          <cell r="CG90" t="str">
            <v>1EU</v>
          </cell>
        </row>
        <row r="91">
          <cell r="O91">
            <v>1</v>
          </cell>
          <cell r="AN91">
            <v>0</v>
          </cell>
          <cell r="AO91">
            <v>0</v>
          </cell>
          <cell r="AP91">
            <v>0</v>
          </cell>
          <cell r="AZ91">
            <v>0</v>
          </cell>
          <cell r="BT91">
            <v>0</v>
          </cell>
          <cell r="BX91">
            <v>0</v>
          </cell>
          <cell r="CB91">
            <v>0</v>
          </cell>
          <cell r="CE91" t="str">
            <v>1EU</v>
          </cell>
          <cell r="CF91" t="str">
            <v>1EU</v>
          </cell>
          <cell r="CG91" t="str">
            <v>1EU</v>
          </cell>
        </row>
        <row r="92">
          <cell r="O92">
            <v>1</v>
          </cell>
          <cell r="AN92">
            <v>0</v>
          </cell>
          <cell r="AO92">
            <v>0</v>
          </cell>
          <cell r="AP92">
            <v>0</v>
          </cell>
          <cell r="AZ92">
            <v>0</v>
          </cell>
          <cell r="BT92">
            <v>0</v>
          </cell>
          <cell r="BX92">
            <v>0</v>
          </cell>
          <cell r="CB92">
            <v>0</v>
          </cell>
          <cell r="CE92" t="str">
            <v>1LOCAL</v>
          </cell>
          <cell r="CF92" t="str">
            <v>1LOCAL</v>
          </cell>
          <cell r="CG92" t="str">
            <v>1LOCAL</v>
          </cell>
        </row>
        <row r="93">
          <cell r="O93">
            <v>1</v>
          </cell>
          <cell r="AN93">
            <v>0</v>
          </cell>
          <cell r="AO93">
            <v>0</v>
          </cell>
          <cell r="AP93">
            <v>0</v>
          </cell>
          <cell r="AZ93">
            <v>0</v>
          </cell>
          <cell r="BT93">
            <v>0</v>
          </cell>
          <cell r="BX93">
            <v>0</v>
          </cell>
          <cell r="CB93">
            <v>0</v>
          </cell>
          <cell r="CE93" t="str">
            <v>1EU</v>
          </cell>
          <cell r="CF93" t="str">
            <v>1EU</v>
          </cell>
          <cell r="CG93" t="str">
            <v>1EU</v>
          </cell>
        </row>
        <row r="94">
          <cell r="O94">
            <v>1</v>
          </cell>
          <cell r="AN94">
            <v>0</v>
          </cell>
          <cell r="AO94">
            <v>0</v>
          </cell>
          <cell r="AP94">
            <v>0</v>
          </cell>
          <cell r="AZ94">
            <v>0</v>
          </cell>
          <cell r="BT94">
            <v>0</v>
          </cell>
          <cell r="BX94">
            <v>13.245867995748892</v>
          </cell>
          <cell r="CB94">
            <v>13.245867995748892</v>
          </cell>
          <cell r="CE94" t="str">
            <v>1LOCAL</v>
          </cell>
          <cell r="CF94" t="str">
            <v>1LOCAL</v>
          </cell>
          <cell r="CG94" t="str">
            <v>1LOCAL</v>
          </cell>
        </row>
        <row r="95">
          <cell r="O95">
            <v>1</v>
          </cell>
          <cell r="AN95">
            <v>0</v>
          </cell>
          <cell r="AO95">
            <v>0.56471615505931883</v>
          </cell>
          <cell r="AP95">
            <v>0.56471615505931883</v>
          </cell>
          <cell r="AZ95">
            <v>1.2718499999999999</v>
          </cell>
          <cell r="BT95">
            <v>0</v>
          </cell>
          <cell r="BX95">
            <v>0</v>
          </cell>
          <cell r="CB95">
            <v>0</v>
          </cell>
          <cell r="CE95" t="str">
            <v>1EU</v>
          </cell>
          <cell r="CF95" t="str">
            <v>1EU</v>
          </cell>
          <cell r="CG95" t="str">
            <v>1EU</v>
          </cell>
        </row>
        <row r="96">
          <cell r="O96">
            <v>1</v>
          </cell>
          <cell r="AN96">
            <v>0</v>
          </cell>
          <cell r="AO96">
            <v>0.66655021580772056</v>
          </cell>
          <cell r="AP96">
            <v>0.66655021580772056</v>
          </cell>
          <cell r="AZ96">
            <v>0.72</v>
          </cell>
          <cell r="BT96">
            <v>0</v>
          </cell>
          <cell r="BX96">
            <v>0</v>
          </cell>
          <cell r="CB96">
            <v>0</v>
          </cell>
          <cell r="CE96" t="str">
            <v>1EU</v>
          </cell>
          <cell r="CF96" t="str">
            <v>1EU</v>
          </cell>
          <cell r="CG96" t="str">
            <v>1EU</v>
          </cell>
        </row>
        <row r="97">
          <cell r="O97">
            <v>1</v>
          </cell>
          <cell r="AN97">
            <v>0</v>
          </cell>
          <cell r="AO97">
            <v>0</v>
          </cell>
          <cell r="AP97">
            <v>0</v>
          </cell>
          <cell r="AZ97">
            <v>0</v>
          </cell>
          <cell r="BT97">
            <v>0</v>
          </cell>
          <cell r="BX97">
            <v>0</v>
          </cell>
          <cell r="CB97">
            <v>0</v>
          </cell>
          <cell r="CE97" t="str">
            <v>1EU</v>
          </cell>
          <cell r="CF97" t="str">
            <v>1EU</v>
          </cell>
          <cell r="CG97" t="str">
            <v>1EU</v>
          </cell>
        </row>
        <row r="98">
          <cell r="O98">
            <v>1</v>
          </cell>
          <cell r="AN98">
            <v>0</v>
          </cell>
          <cell r="AO98">
            <v>1.7486656896190202E-2</v>
          </cell>
          <cell r="AP98">
            <v>1.7486656896190202E-2</v>
          </cell>
          <cell r="AZ98">
            <v>1.8888888888888889E-2</v>
          </cell>
          <cell r="BT98">
            <v>0</v>
          </cell>
          <cell r="BX98">
            <v>0</v>
          </cell>
          <cell r="CB98">
            <v>0</v>
          </cell>
          <cell r="CE98" t="str">
            <v>1EU</v>
          </cell>
          <cell r="CF98" t="str">
            <v>1EU</v>
          </cell>
          <cell r="CG98" t="str">
            <v>1EU</v>
          </cell>
        </row>
        <row r="99">
          <cell r="O99">
            <v>1</v>
          </cell>
          <cell r="AN99">
            <v>0</v>
          </cell>
          <cell r="AO99">
            <v>2.6291702956860088</v>
          </cell>
          <cell r="AP99">
            <v>2.6291702956860088</v>
          </cell>
          <cell r="AZ99">
            <v>2.84</v>
          </cell>
          <cell r="BT99">
            <v>0</v>
          </cell>
          <cell r="BX99">
            <v>0</v>
          </cell>
          <cell r="CB99">
            <v>0</v>
          </cell>
          <cell r="CE99" t="str">
            <v>1EU</v>
          </cell>
          <cell r="CF99" t="str">
            <v>1EU</v>
          </cell>
          <cell r="CG99" t="str">
            <v>1EU</v>
          </cell>
        </row>
        <row r="100">
          <cell r="O100">
            <v>1</v>
          </cell>
          <cell r="AN100">
            <v>0</v>
          </cell>
          <cell r="AO100">
            <v>0</v>
          </cell>
          <cell r="AP100">
            <v>0</v>
          </cell>
          <cell r="AZ100">
            <v>0</v>
          </cell>
          <cell r="BT100">
            <v>0</v>
          </cell>
          <cell r="BX100">
            <v>0</v>
          </cell>
          <cell r="CB100">
            <v>0</v>
          </cell>
          <cell r="CE100" t="str">
            <v>1EU</v>
          </cell>
          <cell r="CF100" t="str">
            <v>1EU</v>
          </cell>
          <cell r="CG100" t="str">
            <v>1EU</v>
          </cell>
        </row>
        <row r="101">
          <cell r="O101">
            <v>1</v>
          </cell>
          <cell r="AN101">
            <v>1.2960698640705681E-2</v>
          </cell>
          <cell r="AO101">
            <v>1.2960698640705681E-2</v>
          </cell>
          <cell r="AP101">
            <v>1.2960698640705681E-2</v>
          </cell>
          <cell r="AZ101">
            <v>1.4000000000000002E-2</v>
          </cell>
          <cell r="BT101">
            <v>1.2960698640705679E-2</v>
          </cell>
          <cell r="BX101">
            <v>1.2960698640705679E-2</v>
          </cell>
          <cell r="CB101">
            <v>1.2960698640705679E-2</v>
          </cell>
          <cell r="CE101" t="str">
            <v>1LOCAL</v>
          </cell>
          <cell r="CF101" t="str">
            <v>1LOCAL</v>
          </cell>
          <cell r="CG101" t="str">
            <v>1LOCAL</v>
          </cell>
        </row>
        <row r="102">
          <cell r="O102">
            <v>1</v>
          </cell>
          <cell r="AN102">
            <v>0</v>
          </cell>
          <cell r="AO102">
            <v>0</v>
          </cell>
          <cell r="AP102">
            <v>0</v>
          </cell>
          <cell r="AZ102">
            <v>0</v>
          </cell>
          <cell r="BT102">
            <v>0</v>
          </cell>
          <cell r="BX102">
            <v>0</v>
          </cell>
          <cell r="CB102">
            <v>0</v>
          </cell>
          <cell r="CE102" t="str">
            <v>1EU</v>
          </cell>
          <cell r="CF102" t="str">
            <v>1EU</v>
          </cell>
          <cell r="CG102" t="str">
            <v>1EU</v>
          </cell>
        </row>
        <row r="103">
          <cell r="O103">
            <v>1</v>
          </cell>
          <cell r="AN103">
            <v>0</v>
          </cell>
          <cell r="AO103">
            <v>2.7124890726619744</v>
          </cell>
          <cell r="AP103">
            <v>2.7124890726619744</v>
          </cell>
          <cell r="AZ103">
            <v>6.1090499999999999</v>
          </cell>
          <cell r="BT103">
            <v>0</v>
          </cell>
          <cell r="BX103">
            <v>0</v>
          </cell>
          <cell r="CB103">
            <v>0</v>
          </cell>
          <cell r="CE103" t="str">
            <v>1EU</v>
          </cell>
          <cell r="CF103" t="str">
            <v>1EU</v>
          </cell>
          <cell r="CG103" t="str">
            <v>1EU</v>
          </cell>
        </row>
        <row r="104">
          <cell r="O104">
            <v>1</v>
          </cell>
          <cell r="AN104">
            <v>0</v>
          </cell>
          <cell r="AO104">
            <v>0.21755458432613103</v>
          </cell>
          <cell r="AP104">
            <v>0.21755458432613103</v>
          </cell>
          <cell r="AZ104">
            <v>0.48997499999999994</v>
          </cell>
          <cell r="BT104">
            <v>0</v>
          </cell>
          <cell r="BX104">
            <v>0</v>
          </cell>
          <cell r="CB104">
            <v>0</v>
          </cell>
          <cell r="CE104" t="str">
            <v>1EU</v>
          </cell>
          <cell r="CF104" t="str">
            <v>1EU</v>
          </cell>
          <cell r="CG104" t="str">
            <v>1EU</v>
          </cell>
        </row>
        <row r="105">
          <cell r="O105">
            <v>1</v>
          </cell>
          <cell r="AN105">
            <v>0.44436681053848037</v>
          </cell>
          <cell r="AO105">
            <v>0.44436681053848037</v>
          </cell>
          <cell r="AP105">
            <v>0.44436681053848037</v>
          </cell>
          <cell r="AZ105">
            <v>0.48</v>
          </cell>
          <cell r="BT105">
            <v>0.44436681053848037</v>
          </cell>
          <cell r="BX105">
            <v>0.44436681053848037</v>
          </cell>
          <cell r="CB105">
            <v>0.44436681053848037</v>
          </cell>
          <cell r="CE105" t="str">
            <v>1LOCAL</v>
          </cell>
          <cell r="CF105" t="str">
            <v>1LOCAL</v>
          </cell>
          <cell r="CG105" t="str">
            <v>1LOCAL</v>
          </cell>
        </row>
        <row r="106">
          <cell r="O106">
            <v>1</v>
          </cell>
          <cell r="AN106">
            <v>0</v>
          </cell>
          <cell r="AO106">
            <v>0</v>
          </cell>
          <cell r="AP106">
            <v>0</v>
          </cell>
          <cell r="AZ106">
            <v>0</v>
          </cell>
          <cell r="BT106">
            <v>0</v>
          </cell>
          <cell r="BX106">
            <v>0</v>
          </cell>
          <cell r="CB106">
            <v>0</v>
          </cell>
          <cell r="CE106" t="str">
            <v>1EU</v>
          </cell>
          <cell r="CF106" t="str">
            <v>1EU</v>
          </cell>
          <cell r="CG106" t="str">
            <v>1EU</v>
          </cell>
        </row>
        <row r="107">
          <cell r="O107">
            <v>1</v>
          </cell>
          <cell r="AN107">
            <v>1.2960698640705681E-2</v>
          </cell>
          <cell r="AO107">
            <v>1.2960698640705681E-2</v>
          </cell>
          <cell r="AP107">
            <v>1.2960698640705681E-2</v>
          </cell>
          <cell r="AZ107">
            <v>1.4000000000000002E-2</v>
          </cell>
          <cell r="BT107">
            <v>1.2960698640705679E-2</v>
          </cell>
          <cell r="BX107">
            <v>1.2960698640705679E-2</v>
          </cell>
          <cell r="CB107">
            <v>1.2960698640705679E-2</v>
          </cell>
          <cell r="CE107" t="str">
            <v>1LOCAL</v>
          </cell>
          <cell r="CF107" t="str">
            <v>1LOCAL</v>
          </cell>
          <cell r="CG107" t="str">
            <v>1LOCAL</v>
          </cell>
        </row>
        <row r="108">
          <cell r="O108">
            <v>1</v>
          </cell>
          <cell r="AN108">
            <v>1.7486656896190202E-2</v>
          </cell>
          <cell r="AO108">
            <v>1.7486656896190202E-2</v>
          </cell>
          <cell r="AP108">
            <v>1.7486656896190202E-2</v>
          </cell>
          <cell r="AZ108">
            <v>1.8888888888888889E-2</v>
          </cell>
          <cell r="BT108">
            <v>0</v>
          </cell>
          <cell r="BX108">
            <v>0</v>
          </cell>
          <cell r="CB108">
            <v>0</v>
          </cell>
          <cell r="CE108" t="str">
            <v>1EU</v>
          </cell>
          <cell r="CF108" t="str">
            <v>1EU</v>
          </cell>
          <cell r="CG108" t="str">
            <v>1EU</v>
          </cell>
        </row>
        <row r="109">
          <cell r="O109">
            <v>1</v>
          </cell>
          <cell r="AN109">
            <v>0</v>
          </cell>
          <cell r="AO109">
            <v>1.3238427897292229</v>
          </cell>
          <cell r="AP109">
            <v>1.3238427897292229</v>
          </cell>
          <cell r="AZ109">
            <v>2.9815499999999999</v>
          </cell>
          <cell r="BT109">
            <v>0</v>
          </cell>
          <cell r="BX109">
            <v>0</v>
          </cell>
          <cell r="CB109">
            <v>0</v>
          </cell>
          <cell r="CE109" t="str">
            <v>1EU</v>
          </cell>
          <cell r="CF109" t="str">
            <v>1EU</v>
          </cell>
          <cell r="CG109" t="str">
            <v>1EU</v>
          </cell>
        </row>
        <row r="110">
          <cell r="O110">
            <v>1</v>
          </cell>
          <cell r="AN110">
            <v>0</v>
          </cell>
          <cell r="AO110">
            <v>0</v>
          </cell>
          <cell r="AP110">
            <v>0</v>
          </cell>
          <cell r="AZ110">
            <v>0</v>
          </cell>
          <cell r="BT110">
            <v>0</v>
          </cell>
          <cell r="BX110">
            <v>0</v>
          </cell>
          <cell r="CB110">
            <v>0</v>
          </cell>
          <cell r="CE110" t="str">
            <v>1EU</v>
          </cell>
          <cell r="CF110" t="str">
            <v>1EU</v>
          </cell>
          <cell r="CG110" t="str">
            <v>1EU</v>
          </cell>
        </row>
        <row r="111">
          <cell r="O111">
            <v>1</v>
          </cell>
          <cell r="AN111">
            <v>0</v>
          </cell>
          <cell r="AO111">
            <v>0.351790391676297</v>
          </cell>
          <cell r="AP111">
            <v>0.351790391676297</v>
          </cell>
          <cell r="AZ111">
            <v>0.7923</v>
          </cell>
          <cell r="BT111">
            <v>0</v>
          </cell>
          <cell r="BX111">
            <v>0</v>
          </cell>
          <cell r="CB111">
            <v>0</v>
          </cell>
          <cell r="CE111" t="str">
            <v>1EU</v>
          </cell>
          <cell r="CF111" t="str">
            <v>1EU</v>
          </cell>
          <cell r="CG111" t="str">
            <v>1EU</v>
          </cell>
        </row>
        <row r="112">
          <cell r="O112">
            <v>1</v>
          </cell>
          <cell r="AN112">
            <v>1.7486656896190202E-2</v>
          </cell>
          <cell r="AO112">
            <v>1.7486656896190202E-2</v>
          </cell>
          <cell r="AP112">
            <v>1.7486656896190202E-2</v>
          </cell>
          <cell r="AZ112">
            <v>1.8888888888888889E-2</v>
          </cell>
          <cell r="BT112">
            <v>1.7486656896190202E-2</v>
          </cell>
          <cell r="BX112">
            <v>1.7486656896190202E-2</v>
          </cell>
          <cell r="CB112">
            <v>1.7486656896190202E-2</v>
          </cell>
          <cell r="CE112" t="str">
            <v>1LOCAL</v>
          </cell>
          <cell r="CF112" t="str">
            <v>1LOCAL</v>
          </cell>
          <cell r="CG112" t="str">
            <v>1LOCAL</v>
          </cell>
        </row>
        <row r="113">
          <cell r="O113">
            <v>1</v>
          </cell>
          <cell r="AN113">
            <v>1.2960698640705681E-2</v>
          </cell>
          <cell r="AO113">
            <v>1.2960698640705681E-2</v>
          </cell>
          <cell r="AP113">
            <v>1.2960698640705681E-2</v>
          </cell>
          <cell r="AZ113">
            <v>1.4000000000000002E-2</v>
          </cell>
          <cell r="BT113">
            <v>1.2960698640705679E-2</v>
          </cell>
          <cell r="BX113">
            <v>1.2960698640705679E-2</v>
          </cell>
          <cell r="CB113">
            <v>1.2960698640705679E-2</v>
          </cell>
          <cell r="CE113" t="str">
            <v>1LOCAL</v>
          </cell>
          <cell r="CF113" t="str">
            <v>1LOCAL</v>
          </cell>
          <cell r="CG113" t="str">
            <v>1LOCAL</v>
          </cell>
        </row>
        <row r="114">
          <cell r="O114">
            <v>1</v>
          </cell>
          <cell r="AN114">
            <v>0</v>
          </cell>
          <cell r="AO114">
            <v>0</v>
          </cell>
          <cell r="AP114">
            <v>0</v>
          </cell>
          <cell r="AZ114">
            <v>0</v>
          </cell>
          <cell r="BT114">
            <v>0</v>
          </cell>
          <cell r="BX114">
            <v>0</v>
          </cell>
          <cell r="CB114">
            <v>0</v>
          </cell>
          <cell r="CE114" t="str">
            <v>1EU</v>
          </cell>
          <cell r="CF114" t="str">
            <v>1EU</v>
          </cell>
          <cell r="CG114" t="str">
            <v>1EU</v>
          </cell>
        </row>
        <row r="115">
          <cell r="O115">
            <v>1</v>
          </cell>
          <cell r="AN115">
            <v>7.7147015718486173E-2</v>
          </cell>
          <cell r="AO115">
            <v>7.7147015718486173E-2</v>
          </cell>
          <cell r="AP115">
            <v>7.7147015718486173E-2</v>
          </cell>
          <cell r="AZ115">
            <v>8.3333333333333329E-2</v>
          </cell>
          <cell r="BT115">
            <v>7.7147015718486173E-2</v>
          </cell>
          <cell r="BX115">
            <v>7.7147015718486173E-2</v>
          </cell>
          <cell r="CB115">
            <v>7.7147015718486173E-2</v>
          </cell>
          <cell r="CE115" t="str">
            <v>1LOCAL</v>
          </cell>
          <cell r="CF115" t="str">
            <v>1LOCAL</v>
          </cell>
          <cell r="CG115" t="str">
            <v>1LOCAL</v>
          </cell>
        </row>
        <row r="116">
          <cell r="O116">
            <v>1</v>
          </cell>
          <cell r="AN116">
            <v>0</v>
          </cell>
          <cell r="AO116">
            <v>0</v>
          </cell>
          <cell r="AP116">
            <v>0</v>
          </cell>
          <cell r="AZ116">
            <v>0</v>
          </cell>
          <cell r="BT116">
            <v>0</v>
          </cell>
          <cell r="BX116">
            <v>0</v>
          </cell>
          <cell r="CB116">
            <v>0</v>
          </cell>
          <cell r="CE116" t="str">
            <v>1EU</v>
          </cell>
          <cell r="CF116" t="str">
            <v>1EU</v>
          </cell>
          <cell r="CG116" t="str">
            <v>1EU</v>
          </cell>
        </row>
        <row r="117">
          <cell r="O117">
            <v>1</v>
          </cell>
          <cell r="AN117">
            <v>0</v>
          </cell>
          <cell r="AO117">
            <v>0</v>
          </cell>
          <cell r="AP117">
            <v>0</v>
          </cell>
          <cell r="AZ117">
            <v>0</v>
          </cell>
          <cell r="BT117">
            <v>0</v>
          </cell>
          <cell r="BX117">
            <v>0</v>
          </cell>
          <cell r="CB117">
            <v>0</v>
          </cell>
          <cell r="CE117" t="str">
            <v>1EU</v>
          </cell>
          <cell r="CF117" t="str">
            <v>1EU</v>
          </cell>
          <cell r="CG117" t="str">
            <v>1EU</v>
          </cell>
        </row>
        <row r="118">
          <cell r="O118">
            <v>1</v>
          </cell>
          <cell r="AN118">
            <v>0</v>
          </cell>
          <cell r="AO118">
            <v>0</v>
          </cell>
          <cell r="AP118">
            <v>0</v>
          </cell>
          <cell r="AZ118">
            <v>0</v>
          </cell>
          <cell r="BT118">
            <v>0</v>
          </cell>
          <cell r="BX118">
            <v>0</v>
          </cell>
          <cell r="CB118">
            <v>0</v>
          </cell>
          <cell r="CE118" t="str">
            <v>1EU</v>
          </cell>
          <cell r="CF118" t="str">
            <v>1EU</v>
          </cell>
          <cell r="CG118" t="str">
            <v>1EU</v>
          </cell>
        </row>
        <row r="119">
          <cell r="O119">
            <v>1</v>
          </cell>
          <cell r="AN119">
            <v>0.74061135089746744</v>
          </cell>
          <cell r="AO119">
            <v>0.74061135089746744</v>
          </cell>
          <cell r="AP119">
            <v>0.74061135089746744</v>
          </cell>
          <cell r="AZ119">
            <v>0.8</v>
          </cell>
          <cell r="BT119">
            <v>0.26386191226591416</v>
          </cell>
          <cell r="BX119">
            <v>0.26386191226591416</v>
          </cell>
          <cell r="CB119">
            <v>0.26386191226591416</v>
          </cell>
          <cell r="CE119" t="str">
            <v>1LOCAL</v>
          </cell>
          <cell r="CF119" t="str">
            <v>1LOCAL</v>
          </cell>
          <cell r="CG119" t="str">
            <v>1LOCAL</v>
          </cell>
        </row>
        <row r="120">
          <cell r="O120">
            <v>1</v>
          </cell>
          <cell r="AN120">
            <v>6.9432314146637558E-2</v>
          </cell>
          <cell r="AO120">
            <v>6.9432314146637558E-2</v>
          </cell>
          <cell r="AP120">
            <v>6.9432314146637558E-2</v>
          </cell>
          <cell r="AZ120">
            <v>7.4999999999999997E-2</v>
          </cell>
          <cell r="BT120">
            <v>0</v>
          </cell>
          <cell r="BX120">
            <v>0</v>
          </cell>
          <cell r="CB120">
            <v>0</v>
          </cell>
          <cell r="CE120" t="str">
            <v>1EU</v>
          </cell>
          <cell r="CF120" t="str">
            <v>1EU</v>
          </cell>
          <cell r="CG120" t="str">
            <v>1EU</v>
          </cell>
        </row>
        <row r="121">
          <cell r="O121">
            <v>1</v>
          </cell>
          <cell r="AN121">
            <v>1.6015720463157732</v>
          </cell>
          <cell r="AO121">
            <v>1.6015720463157732</v>
          </cell>
          <cell r="AP121">
            <v>1.6015720463157732</v>
          </cell>
          <cell r="AZ121">
            <v>1.73</v>
          </cell>
          <cell r="BT121">
            <v>1.2313555905742661</v>
          </cell>
          <cell r="BX121">
            <v>1.2313555905742661</v>
          </cell>
          <cell r="CB121">
            <v>1.2313555905742661</v>
          </cell>
          <cell r="CE121" t="str">
            <v>1LOCAL</v>
          </cell>
          <cell r="CF121" t="str">
            <v>1LOCAL</v>
          </cell>
          <cell r="CG121" t="str">
            <v>1LOCAL</v>
          </cell>
        </row>
        <row r="122">
          <cell r="O122">
            <v>1</v>
          </cell>
          <cell r="AN122">
            <v>0.13886462829327512</v>
          </cell>
          <cell r="AO122">
            <v>0.13886462829327512</v>
          </cell>
          <cell r="AP122">
            <v>0.13886462829327512</v>
          </cell>
          <cell r="AZ122">
            <v>0.15</v>
          </cell>
          <cell r="BT122">
            <v>0</v>
          </cell>
          <cell r="BX122">
            <v>0</v>
          </cell>
          <cell r="CB122">
            <v>0</v>
          </cell>
          <cell r="CE122" t="str">
            <v>1LOCAL</v>
          </cell>
          <cell r="CF122" t="str">
            <v>1LOCAL</v>
          </cell>
          <cell r="CG122" t="str">
            <v>1LOCAL</v>
          </cell>
        </row>
        <row r="123">
          <cell r="O123">
            <v>1</v>
          </cell>
          <cell r="AN123">
            <v>1.8885589447885418</v>
          </cell>
          <cell r="AO123">
            <v>1.8885589447885418</v>
          </cell>
          <cell r="AP123">
            <v>1.8885589447885418</v>
          </cell>
          <cell r="AZ123">
            <v>2.04</v>
          </cell>
          <cell r="BT123">
            <v>1.1873786051966138</v>
          </cell>
          <cell r="BX123">
            <v>1.1873786051966138</v>
          </cell>
          <cell r="CB123">
            <v>1.1873786051966138</v>
          </cell>
          <cell r="CE123" t="str">
            <v>1LOCAL</v>
          </cell>
          <cell r="CF123" t="str">
            <v>1LOCAL</v>
          </cell>
          <cell r="CG123" t="str">
            <v>1LOCAL</v>
          </cell>
        </row>
        <row r="124">
          <cell r="O124">
            <v>1</v>
          </cell>
          <cell r="AN124">
            <v>0</v>
          </cell>
          <cell r="AO124">
            <v>0</v>
          </cell>
          <cell r="AP124">
            <v>0</v>
          </cell>
          <cell r="AZ124">
            <v>0</v>
          </cell>
          <cell r="BT124">
            <v>0</v>
          </cell>
          <cell r="BX124">
            <v>0</v>
          </cell>
          <cell r="CB124">
            <v>0</v>
          </cell>
          <cell r="CE124" t="str">
            <v>1EU</v>
          </cell>
          <cell r="CF124" t="str">
            <v>1EU</v>
          </cell>
          <cell r="CG124" t="str">
            <v>1EU</v>
          </cell>
        </row>
        <row r="125">
          <cell r="O125">
            <v>1</v>
          </cell>
          <cell r="AN125">
            <v>1.2960698640705681E-2</v>
          </cell>
          <cell r="AO125">
            <v>1.2960698640705681E-2</v>
          </cell>
          <cell r="AP125">
            <v>1.2960698640705681E-2</v>
          </cell>
          <cell r="AZ125">
            <v>1.4000000000000002E-2</v>
          </cell>
          <cell r="BT125">
            <v>0</v>
          </cell>
          <cell r="BX125">
            <v>1.2960698640705679E-2</v>
          </cell>
          <cell r="CB125">
            <v>1.2960698640705679E-2</v>
          </cell>
          <cell r="CE125" t="str">
            <v>1LOCAL</v>
          </cell>
          <cell r="CF125" t="str">
            <v>1LOCAL</v>
          </cell>
          <cell r="CG125" t="str">
            <v>1LOCAL</v>
          </cell>
        </row>
        <row r="126">
          <cell r="O126">
            <v>1</v>
          </cell>
          <cell r="AN126">
            <v>6.9432314146637558E-2</v>
          </cell>
          <cell r="AO126">
            <v>6.9432314146637558E-2</v>
          </cell>
          <cell r="AP126">
            <v>6.9432314146637558E-2</v>
          </cell>
          <cell r="AZ126">
            <v>7.4999999999999997E-2</v>
          </cell>
          <cell r="BT126">
            <v>0</v>
          </cell>
          <cell r="BX126">
            <v>0</v>
          </cell>
          <cell r="CB126">
            <v>0</v>
          </cell>
          <cell r="CE126" t="str">
            <v>1EU</v>
          </cell>
          <cell r="CF126" t="str">
            <v>1EU</v>
          </cell>
          <cell r="CG126" t="str">
            <v>1EU</v>
          </cell>
        </row>
        <row r="127">
          <cell r="O127">
            <v>1</v>
          </cell>
          <cell r="AN127">
            <v>0</v>
          </cell>
          <cell r="AO127">
            <v>0</v>
          </cell>
          <cell r="AP127">
            <v>0</v>
          </cell>
          <cell r="AZ127">
            <v>0</v>
          </cell>
          <cell r="BT127">
            <v>0</v>
          </cell>
          <cell r="BX127">
            <v>0</v>
          </cell>
          <cell r="CB127">
            <v>0</v>
          </cell>
          <cell r="CE127" t="str">
            <v>1EU</v>
          </cell>
          <cell r="CF127" t="str">
            <v>1EU</v>
          </cell>
          <cell r="CG127" t="str">
            <v>1EU</v>
          </cell>
        </row>
        <row r="128">
          <cell r="O128">
            <v>1</v>
          </cell>
          <cell r="AN128">
            <v>0</v>
          </cell>
          <cell r="AO128">
            <v>0</v>
          </cell>
          <cell r="AP128">
            <v>0</v>
          </cell>
          <cell r="AZ128">
            <v>0</v>
          </cell>
          <cell r="BT128">
            <v>0</v>
          </cell>
          <cell r="BX128">
            <v>0</v>
          </cell>
          <cell r="CB128">
            <v>0</v>
          </cell>
          <cell r="CE128" t="str">
            <v>1EU</v>
          </cell>
          <cell r="CF128" t="str">
            <v>1EU</v>
          </cell>
          <cell r="CG128" t="str">
            <v>1EU</v>
          </cell>
        </row>
        <row r="129">
          <cell r="O129">
            <v>1</v>
          </cell>
          <cell r="AN129">
            <v>0</v>
          </cell>
          <cell r="AO129">
            <v>0</v>
          </cell>
          <cell r="AP129">
            <v>0</v>
          </cell>
          <cell r="AZ129">
            <v>0</v>
          </cell>
          <cell r="BT129">
            <v>0</v>
          </cell>
          <cell r="BX129">
            <v>0</v>
          </cell>
          <cell r="CB129">
            <v>0</v>
          </cell>
          <cell r="CE129" t="str">
            <v>1EU</v>
          </cell>
          <cell r="CF129" t="str">
            <v>1EU</v>
          </cell>
          <cell r="CG129" t="str">
            <v>1EU</v>
          </cell>
        </row>
        <row r="130">
          <cell r="O130">
            <v>1</v>
          </cell>
          <cell r="AN130">
            <v>0</v>
          </cell>
          <cell r="AO130">
            <v>0</v>
          </cell>
          <cell r="AP130">
            <v>0</v>
          </cell>
          <cell r="AZ130">
            <v>0</v>
          </cell>
          <cell r="BT130">
            <v>3.0607981822846044</v>
          </cell>
          <cell r="BX130">
            <v>3.0607981822846044</v>
          </cell>
          <cell r="CB130">
            <v>3.0607981822846044</v>
          </cell>
          <cell r="CE130" t="str">
            <v>1LOCAL</v>
          </cell>
          <cell r="CF130" t="str">
            <v>1LOCAL</v>
          </cell>
          <cell r="CG130" t="str">
            <v>1LOCAL</v>
          </cell>
        </row>
        <row r="131">
          <cell r="O131">
            <v>1</v>
          </cell>
          <cell r="AN131">
            <v>1.73117903272283</v>
          </cell>
          <cell r="AO131">
            <v>1.73117903272283</v>
          </cell>
          <cell r="AP131">
            <v>1.73117903272283</v>
          </cell>
          <cell r="AZ131">
            <v>3.8989500000000001</v>
          </cell>
          <cell r="BT131">
            <v>0</v>
          </cell>
          <cell r="BX131">
            <v>0</v>
          </cell>
          <cell r="CB131">
            <v>0</v>
          </cell>
          <cell r="CE131" t="str">
            <v>1EU</v>
          </cell>
          <cell r="CF131" t="str">
            <v>1EU</v>
          </cell>
          <cell r="CG131" t="str">
            <v>1EU</v>
          </cell>
        </row>
        <row r="132">
          <cell r="O132">
            <v>1</v>
          </cell>
          <cell r="AN132">
            <v>1.2960698640705681E-2</v>
          </cell>
          <cell r="AO132">
            <v>1.2960698640705681E-2</v>
          </cell>
          <cell r="AP132">
            <v>1.2960698640705681E-2</v>
          </cell>
          <cell r="AZ132">
            <v>1.4000000000000002E-2</v>
          </cell>
          <cell r="BT132">
            <v>0</v>
          </cell>
          <cell r="BX132">
            <v>1.2960698640705679E-2</v>
          </cell>
          <cell r="CB132">
            <v>1.2960698640705679E-2</v>
          </cell>
          <cell r="CE132" t="str">
            <v>1LOCAL</v>
          </cell>
          <cell r="CF132" t="str">
            <v>1LOCAL</v>
          </cell>
          <cell r="CG132" t="str">
            <v>1LOCAL</v>
          </cell>
        </row>
        <row r="133">
          <cell r="O133">
            <v>1</v>
          </cell>
          <cell r="AN133">
            <v>0</v>
          </cell>
          <cell r="AO133">
            <v>0</v>
          </cell>
          <cell r="AP133">
            <v>0</v>
          </cell>
          <cell r="AZ133">
            <v>0</v>
          </cell>
          <cell r="BT133">
            <v>0</v>
          </cell>
          <cell r="BX133">
            <v>0</v>
          </cell>
          <cell r="CB133">
            <v>0</v>
          </cell>
          <cell r="CE133" t="str">
            <v>1LOCAL</v>
          </cell>
          <cell r="CF133" t="str">
            <v>1LOCAL</v>
          </cell>
          <cell r="CG133" t="str">
            <v>1LOCAL</v>
          </cell>
        </row>
        <row r="134">
          <cell r="O134">
            <v>1</v>
          </cell>
          <cell r="AN134">
            <v>0</v>
          </cell>
          <cell r="AO134">
            <v>0</v>
          </cell>
          <cell r="AP134">
            <v>0</v>
          </cell>
          <cell r="AZ134">
            <v>0</v>
          </cell>
          <cell r="BT134">
            <v>0</v>
          </cell>
          <cell r="BX134">
            <v>0</v>
          </cell>
          <cell r="CB134">
            <v>0</v>
          </cell>
          <cell r="CE134" t="str">
            <v>1EU</v>
          </cell>
          <cell r="CF134" t="str">
            <v>1EU</v>
          </cell>
          <cell r="CG134" t="str">
            <v>1EU</v>
          </cell>
        </row>
        <row r="135">
          <cell r="O135">
            <v>1</v>
          </cell>
          <cell r="AN135">
            <v>0.10183406074840176</v>
          </cell>
          <cell r="AO135">
            <v>0.10183406074840176</v>
          </cell>
          <cell r="AP135">
            <v>0.10183406074840176</v>
          </cell>
          <cell r="AZ135">
            <v>0.11</v>
          </cell>
          <cell r="BT135">
            <v>0</v>
          </cell>
          <cell r="BX135">
            <v>0</v>
          </cell>
          <cell r="CB135">
            <v>0</v>
          </cell>
          <cell r="CE135" t="str">
            <v>1EU</v>
          </cell>
          <cell r="CF135" t="str">
            <v>1EU</v>
          </cell>
          <cell r="CG135" t="str">
            <v>1EU</v>
          </cell>
        </row>
        <row r="136">
          <cell r="O136">
            <v>1</v>
          </cell>
          <cell r="AN136">
            <v>0</v>
          </cell>
          <cell r="AO136">
            <v>0</v>
          </cell>
          <cell r="AP136">
            <v>0</v>
          </cell>
          <cell r="AZ136">
            <v>0</v>
          </cell>
          <cell r="BT136">
            <v>0</v>
          </cell>
          <cell r="BX136">
            <v>0</v>
          </cell>
          <cell r="CB136">
            <v>0</v>
          </cell>
          <cell r="CE136" t="str">
            <v>1EU</v>
          </cell>
          <cell r="CF136" t="str">
            <v>1EU</v>
          </cell>
          <cell r="CG136" t="str">
            <v>1EU</v>
          </cell>
        </row>
        <row r="137">
          <cell r="O137">
            <v>1</v>
          </cell>
          <cell r="AN137">
            <v>0</v>
          </cell>
          <cell r="AO137">
            <v>0</v>
          </cell>
          <cell r="AP137">
            <v>0</v>
          </cell>
          <cell r="AZ137">
            <v>0</v>
          </cell>
          <cell r="BT137">
            <v>0</v>
          </cell>
          <cell r="BX137">
            <v>0</v>
          </cell>
          <cell r="CB137">
            <v>0</v>
          </cell>
          <cell r="CE137" t="str">
            <v>1EU</v>
          </cell>
          <cell r="CF137" t="str">
            <v>1EU</v>
          </cell>
          <cell r="CG137" t="str">
            <v>1EU</v>
          </cell>
        </row>
        <row r="138">
          <cell r="O138">
            <v>1</v>
          </cell>
          <cell r="AN138">
            <v>0</v>
          </cell>
          <cell r="AO138">
            <v>0</v>
          </cell>
          <cell r="AP138">
            <v>0</v>
          </cell>
          <cell r="AZ138">
            <v>0</v>
          </cell>
          <cell r="BT138">
            <v>0</v>
          </cell>
          <cell r="BX138">
            <v>0</v>
          </cell>
          <cell r="CB138">
            <v>0</v>
          </cell>
          <cell r="CE138" t="str">
            <v>1EU</v>
          </cell>
          <cell r="CF138" t="str">
            <v>1EU</v>
          </cell>
          <cell r="CG138" t="str">
            <v>1EU</v>
          </cell>
        </row>
        <row r="139">
          <cell r="O139">
            <v>1</v>
          </cell>
          <cell r="AN139">
            <v>6.8321397120291358</v>
          </cell>
          <cell r="AO139">
            <v>6.8321397120291358</v>
          </cell>
          <cell r="AP139">
            <v>6.8321397120291358</v>
          </cell>
          <cell r="AZ139">
            <v>7.38</v>
          </cell>
          <cell r="BT139">
            <v>13.290079525048556</v>
          </cell>
          <cell r="BX139">
            <v>13.290079525048556</v>
          </cell>
          <cell r="CB139">
            <v>13.290079525048556</v>
          </cell>
          <cell r="CE139" t="str">
            <v>1LOCAL</v>
          </cell>
          <cell r="CF139" t="str">
            <v>1LOCAL</v>
          </cell>
          <cell r="CG139" t="str">
            <v>1LOCAL</v>
          </cell>
        </row>
        <row r="140">
          <cell r="O140">
            <v>1</v>
          </cell>
          <cell r="AN140">
            <v>0.90724890484939746</v>
          </cell>
          <cell r="AO140">
            <v>0.90724890484939746</v>
          </cell>
          <cell r="AP140">
            <v>0.90724890484939746</v>
          </cell>
          <cell r="AZ140">
            <v>0.98</v>
          </cell>
          <cell r="BT140">
            <v>0</v>
          </cell>
          <cell r="BX140">
            <v>0</v>
          </cell>
          <cell r="CB140">
            <v>0</v>
          </cell>
          <cell r="CE140" t="str">
            <v>1EU</v>
          </cell>
          <cell r="CF140" t="str">
            <v>1EU</v>
          </cell>
          <cell r="CG140" t="str">
            <v>1EU</v>
          </cell>
        </row>
        <row r="141">
          <cell r="O141">
            <v>1</v>
          </cell>
          <cell r="AN141">
            <v>0.91650654673561582</v>
          </cell>
          <cell r="AO141">
            <v>0.91650654673561582</v>
          </cell>
          <cell r="AP141">
            <v>0.91650654673561582</v>
          </cell>
          <cell r="AZ141">
            <v>0.99</v>
          </cell>
          <cell r="BT141">
            <v>0</v>
          </cell>
          <cell r="BX141">
            <v>0</v>
          </cell>
          <cell r="CB141">
            <v>0</v>
          </cell>
          <cell r="CE141" t="str">
            <v>1EU</v>
          </cell>
          <cell r="CF141" t="str">
            <v>1EU</v>
          </cell>
          <cell r="CG141" t="str">
            <v>1EU</v>
          </cell>
        </row>
        <row r="142">
          <cell r="O142">
            <v>1</v>
          </cell>
          <cell r="AN142">
            <v>0.90724890484939746</v>
          </cell>
          <cell r="AO142">
            <v>0.90724890484939746</v>
          </cell>
          <cell r="AP142">
            <v>0.90724890484939746</v>
          </cell>
          <cell r="AZ142">
            <v>0.98</v>
          </cell>
          <cell r="BT142">
            <v>0</v>
          </cell>
          <cell r="BX142">
            <v>0</v>
          </cell>
          <cell r="CB142">
            <v>0</v>
          </cell>
          <cell r="CE142" t="str">
            <v>1EU</v>
          </cell>
          <cell r="CF142" t="str">
            <v>1EU</v>
          </cell>
          <cell r="CG142" t="str">
            <v>1EU</v>
          </cell>
        </row>
        <row r="143">
          <cell r="O143">
            <v>1</v>
          </cell>
          <cell r="AN143">
            <v>0.92576418862183418</v>
          </cell>
          <cell r="AO143">
            <v>0.92576418862183418</v>
          </cell>
          <cell r="AP143">
            <v>0.92576418862183418</v>
          </cell>
          <cell r="AZ143">
            <v>1</v>
          </cell>
          <cell r="BT143">
            <v>0</v>
          </cell>
          <cell r="BX143">
            <v>0</v>
          </cell>
          <cell r="CB143">
            <v>0</v>
          </cell>
          <cell r="CE143" t="str">
            <v>1EU</v>
          </cell>
          <cell r="CF143" t="str">
            <v>1EU</v>
          </cell>
          <cell r="CG143" t="str">
            <v>1EU</v>
          </cell>
        </row>
        <row r="144">
          <cell r="O144">
            <v>1</v>
          </cell>
          <cell r="AN144">
            <v>13.988296890075913</v>
          </cell>
          <cell r="AO144">
            <v>13.988296890075913</v>
          </cell>
          <cell r="AP144">
            <v>13.988296890075913</v>
          </cell>
          <cell r="AZ144">
            <v>15.11</v>
          </cell>
          <cell r="BT144">
            <v>12.8</v>
          </cell>
          <cell r="BX144">
            <v>12.8</v>
          </cell>
          <cell r="CB144">
            <v>12.8</v>
          </cell>
          <cell r="CE144" t="str">
            <v>1EU</v>
          </cell>
          <cell r="CF144" t="str">
            <v>1EU</v>
          </cell>
          <cell r="CG144" t="str">
            <v>1EU</v>
          </cell>
        </row>
        <row r="145">
          <cell r="O145">
            <v>1</v>
          </cell>
          <cell r="AN145">
            <v>1.2220087289808212</v>
          </cell>
          <cell r="AO145">
            <v>1.2220087289808212</v>
          </cell>
          <cell r="AP145">
            <v>1.2220087289808212</v>
          </cell>
          <cell r="AZ145">
            <v>1.32</v>
          </cell>
          <cell r="BT145">
            <v>0</v>
          </cell>
          <cell r="BX145">
            <v>0</v>
          </cell>
          <cell r="CB145">
            <v>0</v>
          </cell>
          <cell r="CE145" t="str">
            <v>1EU</v>
          </cell>
          <cell r="CF145" t="str">
            <v>1EU</v>
          </cell>
          <cell r="CG145" t="str">
            <v>1EU</v>
          </cell>
        </row>
        <row r="146">
          <cell r="O146">
            <v>1</v>
          </cell>
          <cell r="AN146">
            <v>1.1479475938910744</v>
          </cell>
          <cell r="AO146">
            <v>1.1479475938910744</v>
          </cell>
          <cell r="AP146">
            <v>1.1479475938910744</v>
          </cell>
          <cell r="AZ146">
            <v>1.24</v>
          </cell>
          <cell r="BT146">
            <v>0</v>
          </cell>
          <cell r="BX146">
            <v>0</v>
          </cell>
          <cell r="CB146">
            <v>0</v>
          </cell>
          <cell r="CE146" t="str">
            <v>1EU</v>
          </cell>
          <cell r="CF146" t="str">
            <v>1EU</v>
          </cell>
          <cell r="CG146" t="str">
            <v>1EU</v>
          </cell>
        </row>
        <row r="147">
          <cell r="O147">
            <v>1</v>
          </cell>
          <cell r="AN147">
            <v>0</v>
          </cell>
          <cell r="AO147">
            <v>0</v>
          </cell>
          <cell r="AP147">
            <v>0</v>
          </cell>
          <cell r="AZ147">
            <v>0</v>
          </cell>
          <cell r="BT147">
            <v>0</v>
          </cell>
          <cell r="BX147">
            <v>0</v>
          </cell>
          <cell r="CB147">
            <v>0</v>
          </cell>
          <cell r="CE147" t="str">
            <v>1EU</v>
          </cell>
          <cell r="CF147" t="str">
            <v>1EU</v>
          </cell>
          <cell r="CG147" t="str">
            <v>1EU</v>
          </cell>
        </row>
        <row r="148">
          <cell r="O148">
            <v>1</v>
          </cell>
          <cell r="AN148">
            <v>0.53694322940066375</v>
          </cell>
          <cell r="AO148">
            <v>0.53694322940066375</v>
          </cell>
          <cell r="AP148">
            <v>0.53694322940066375</v>
          </cell>
          <cell r="AZ148">
            <v>0.57999999999999996</v>
          </cell>
          <cell r="BT148">
            <v>0</v>
          </cell>
          <cell r="BX148">
            <v>0</v>
          </cell>
          <cell r="CB148">
            <v>0</v>
          </cell>
          <cell r="CE148" t="str">
            <v>1EU</v>
          </cell>
          <cell r="CF148" t="str">
            <v>1EU</v>
          </cell>
          <cell r="CG148" t="str">
            <v>1EU</v>
          </cell>
        </row>
        <row r="149">
          <cell r="O149">
            <v>1</v>
          </cell>
          <cell r="AN149">
            <v>0.49991266185579047</v>
          </cell>
          <cell r="AO149">
            <v>0.49991266185579047</v>
          </cell>
          <cell r="AP149">
            <v>0.49991266185579047</v>
          </cell>
          <cell r="AZ149">
            <v>0.54</v>
          </cell>
          <cell r="BT149">
            <v>0</v>
          </cell>
          <cell r="BX149">
            <v>0</v>
          </cell>
          <cell r="CB149">
            <v>0</v>
          </cell>
          <cell r="CE149" t="str">
            <v>1EU</v>
          </cell>
          <cell r="CF149" t="str">
            <v>1EU</v>
          </cell>
          <cell r="CG149" t="str">
            <v>1EU</v>
          </cell>
        </row>
        <row r="150">
          <cell r="O150">
            <v>1</v>
          </cell>
          <cell r="AN150">
            <v>0.43510916865226207</v>
          </cell>
          <cell r="AO150">
            <v>0.43510916865226207</v>
          </cell>
          <cell r="AP150">
            <v>0.43510916865226207</v>
          </cell>
          <cell r="AZ150">
            <v>0.47</v>
          </cell>
          <cell r="BT150">
            <v>0</v>
          </cell>
          <cell r="BX150">
            <v>0</v>
          </cell>
          <cell r="CB150">
            <v>0</v>
          </cell>
          <cell r="CE150" t="str">
            <v>1EU</v>
          </cell>
          <cell r="CF150" t="str">
            <v>1EU</v>
          </cell>
          <cell r="CG150" t="str">
            <v>1EU</v>
          </cell>
        </row>
        <row r="151">
          <cell r="O151">
            <v>1</v>
          </cell>
          <cell r="AN151">
            <v>0.49991266185579047</v>
          </cell>
          <cell r="AO151">
            <v>0.49991266185579047</v>
          </cell>
          <cell r="AP151">
            <v>0.49991266185579047</v>
          </cell>
          <cell r="AZ151">
            <v>0.54</v>
          </cell>
          <cell r="BT151">
            <v>0</v>
          </cell>
          <cell r="BX151">
            <v>0</v>
          </cell>
          <cell r="CB151">
            <v>0</v>
          </cell>
          <cell r="CE151" t="str">
            <v>1EU</v>
          </cell>
          <cell r="CF151" t="str">
            <v>1EU</v>
          </cell>
          <cell r="CG151" t="str">
            <v>1EU</v>
          </cell>
        </row>
        <row r="152">
          <cell r="O152">
            <v>1</v>
          </cell>
          <cell r="AN152">
            <v>0.13886462829327512</v>
          </cell>
          <cell r="AO152">
            <v>0.13886462829327512</v>
          </cell>
          <cell r="AP152">
            <v>0.13886462829327512</v>
          </cell>
          <cell r="AZ152">
            <v>0.15</v>
          </cell>
          <cell r="BT152">
            <v>0</v>
          </cell>
          <cell r="BX152">
            <v>0</v>
          </cell>
          <cell r="CB152">
            <v>0</v>
          </cell>
          <cell r="CE152" t="str">
            <v>1EU</v>
          </cell>
          <cell r="CF152" t="str">
            <v>1EU</v>
          </cell>
          <cell r="CG152" t="str">
            <v>1EU</v>
          </cell>
        </row>
        <row r="153">
          <cell r="O153">
            <v>1</v>
          </cell>
          <cell r="AN153">
            <v>1.2960698640705681E-2</v>
          </cell>
          <cell r="AO153">
            <v>1.2960698640705681E-2</v>
          </cell>
          <cell r="AP153">
            <v>1.2960698640705681E-2</v>
          </cell>
          <cell r="AZ153">
            <v>1.4000000000000002E-2</v>
          </cell>
          <cell r="BT153">
            <v>1.2960698640705679E-2</v>
          </cell>
          <cell r="BX153">
            <v>1.2960698640705679E-2</v>
          </cell>
          <cell r="CB153">
            <v>1.2960698640705679E-2</v>
          </cell>
          <cell r="CE153" t="str">
            <v>1LOCAL</v>
          </cell>
          <cell r="CF153" t="str">
            <v>1LOCAL</v>
          </cell>
          <cell r="CG153" t="str">
            <v>1LOCAL</v>
          </cell>
        </row>
        <row r="154">
          <cell r="O154">
            <v>1</v>
          </cell>
          <cell r="AN154">
            <v>1.7486656896190202E-2</v>
          </cell>
          <cell r="AO154">
            <v>1.7486656896190202E-2</v>
          </cell>
          <cell r="AP154">
            <v>1.7486656896190202E-2</v>
          </cell>
          <cell r="AZ154">
            <v>1.8888888888888889E-2</v>
          </cell>
          <cell r="BT154">
            <v>1.7486656896190202E-2</v>
          </cell>
          <cell r="BX154">
            <v>1.7486656896190202E-2</v>
          </cell>
          <cell r="CB154">
            <v>1.7486656896190202E-2</v>
          </cell>
          <cell r="CE154" t="str">
            <v>1LOCAL</v>
          </cell>
          <cell r="CF154" t="str">
            <v>1LOCAL</v>
          </cell>
          <cell r="CG154" t="str">
            <v>1LOCAL</v>
          </cell>
        </row>
        <row r="155">
          <cell r="O155">
            <v>1</v>
          </cell>
          <cell r="AN155">
            <v>0</v>
          </cell>
          <cell r="AO155">
            <v>0</v>
          </cell>
          <cell r="AP155">
            <v>0</v>
          </cell>
          <cell r="AZ155">
            <v>0</v>
          </cell>
          <cell r="BT155">
            <v>0</v>
          </cell>
          <cell r="BX155">
            <v>0</v>
          </cell>
          <cell r="CB155">
            <v>0</v>
          </cell>
          <cell r="CE155" t="str">
            <v>1EU</v>
          </cell>
          <cell r="CF155" t="str">
            <v>1EU</v>
          </cell>
          <cell r="CG155" t="str">
            <v>1EU</v>
          </cell>
        </row>
        <row r="156">
          <cell r="O156">
            <v>1</v>
          </cell>
          <cell r="AN156">
            <v>0</v>
          </cell>
          <cell r="AO156">
            <v>0</v>
          </cell>
          <cell r="AP156">
            <v>0</v>
          </cell>
          <cell r="AZ156">
            <v>0</v>
          </cell>
          <cell r="BT156">
            <v>0</v>
          </cell>
          <cell r="BX156">
            <v>0</v>
          </cell>
          <cell r="CB156">
            <v>0</v>
          </cell>
          <cell r="CE156" t="str">
            <v>1EU</v>
          </cell>
          <cell r="CF156" t="str">
            <v>1EU</v>
          </cell>
          <cell r="CG156" t="str">
            <v>1EU</v>
          </cell>
        </row>
        <row r="157">
          <cell r="O157">
            <v>1</v>
          </cell>
          <cell r="AN157">
            <v>0</v>
          </cell>
          <cell r="AO157">
            <v>0</v>
          </cell>
          <cell r="AP157">
            <v>0</v>
          </cell>
          <cell r="AZ157">
            <v>0</v>
          </cell>
          <cell r="BT157">
            <v>0</v>
          </cell>
          <cell r="BX157">
            <v>0</v>
          </cell>
          <cell r="CB157">
            <v>0</v>
          </cell>
          <cell r="CE157" t="str">
            <v>1EU</v>
          </cell>
          <cell r="CF157" t="str">
            <v>1EU</v>
          </cell>
          <cell r="CG157" t="str">
            <v>1EU</v>
          </cell>
        </row>
        <row r="158">
          <cell r="O158">
            <v>1</v>
          </cell>
          <cell r="AN158">
            <v>0.63877729014906559</v>
          </cell>
          <cell r="AO158">
            <v>0.63877729014906559</v>
          </cell>
          <cell r="AP158">
            <v>0.63877729014906559</v>
          </cell>
          <cell r="AZ158">
            <v>0.69</v>
          </cell>
          <cell r="BT158">
            <v>0.63877729014906548</v>
          </cell>
          <cell r="BX158">
            <v>0.63877729014906548</v>
          </cell>
          <cell r="CB158">
            <v>0.63877729014906548</v>
          </cell>
          <cell r="CE158" t="str">
            <v>1LOCAL</v>
          </cell>
          <cell r="CF158" t="str">
            <v>1LOCAL</v>
          </cell>
          <cell r="CG158" t="str">
            <v>1LOCAL</v>
          </cell>
        </row>
        <row r="159">
          <cell r="O159">
            <v>1</v>
          </cell>
          <cell r="AN159">
            <v>0</v>
          </cell>
          <cell r="AO159">
            <v>0</v>
          </cell>
          <cell r="AP159">
            <v>0</v>
          </cell>
          <cell r="AZ159">
            <v>0</v>
          </cell>
          <cell r="BT159">
            <v>0</v>
          </cell>
          <cell r="BX159">
            <v>0</v>
          </cell>
          <cell r="CB159">
            <v>0</v>
          </cell>
          <cell r="CE159" t="str">
            <v>1EU</v>
          </cell>
          <cell r="CF159" t="str">
            <v>1EU</v>
          </cell>
          <cell r="CG159" t="str">
            <v>1EU</v>
          </cell>
        </row>
        <row r="160">
          <cell r="O160">
            <v>1</v>
          </cell>
          <cell r="AN160">
            <v>9.4057641563978347</v>
          </cell>
          <cell r="AO160">
            <v>0</v>
          </cell>
          <cell r="AP160">
            <v>0</v>
          </cell>
          <cell r="AZ160">
            <v>0</v>
          </cell>
          <cell r="BT160">
            <v>0</v>
          </cell>
          <cell r="BX160">
            <v>0</v>
          </cell>
          <cell r="CB160">
            <v>0</v>
          </cell>
          <cell r="CE160" t="str">
            <v>1EU</v>
          </cell>
          <cell r="CF160" t="str">
            <v>1EU</v>
          </cell>
          <cell r="CG160" t="str">
            <v>1EU</v>
          </cell>
        </row>
        <row r="161">
          <cell r="O161">
            <v>1</v>
          </cell>
          <cell r="AN161">
            <v>4.6288209431091715E-2</v>
          </cell>
          <cell r="AO161">
            <v>4.6288209431091715E-2</v>
          </cell>
          <cell r="AP161">
            <v>4.6288209431091715E-2</v>
          </cell>
          <cell r="AZ161">
            <v>0.05</v>
          </cell>
          <cell r="BT161">
            <v>0</v>
          </cell>
          <cell r="BX161">
            <v>0</v>
          </cell>
          <cell r="CB161">
            <v>0</v>
          </cell>
          <cell r="CE161" t="str">
            <v>1EU</v>
          </cell>
          <cell r="CF161" t="str">
            <v>1EU</v>
          </cell>
          <cell r="CG161" t="str">
            <v>1EU</v>
          </cell>
        </row>
        <row r="162">
          <cell r="O162">
            <v>1</v>
          </cell>
          <cell r="AN162">
            <v>7.8689956032855918E-2</v>
          </cell>
          <cell r="AO162">
            <v>7.8689956032855918E-2</v>
          </cell>
          <cell r="AP162">
            <v>7.8689956032855918E-2</v>
          </cell>
          <cell r="AZ162">
            <v>8.5000000000000006E-2</v>
          </cell>
          <cell r="BT162">
            <v>7.8689956032855904E-2</v>
          </cell>
          <cell r="BX162">
            <v>7.8689956032855904E-2</v>
          </cell>
          <cell r="CB162">
            <v>7.8689956032855904E-2</v>
          </cell>
          <cell r="CE162" t="str">
            <v>1LOCAL</v>
          </cell>
          <cell r="CF162" t="str">
            <v>1LOCAL</v>
          </cell>
          <cell r="CG162" t="str">
            <v>1LOCAL</v>
          </cell>
        </row>
        <row r="163">
          <cell r="O163">
            <v>1</v>
          </cell>
          <cell r="AN163">
            <v>3.7956331733495197</v>
          </cell>
          <cell r="AO163">
            <v>0</v>
          </cell>
          <cell r="AP163">
            <v>0</v>
          </cell>
          <cell r="AZ163">
            <v>0</v>
          </cell>
          <cell r="BT163">
            <v>0</v>
          </cell>
          <cell r="BX163">
            <v>0</v>
          </cell>
          <cell r="CB163">
            <v>0</v>
          </cell>
          <cell r="CE163" t="str">
            <v>1EU</v>
          </cell>
          <cell r="CF163" t="str">
            <v>1EU</v>
          </cell>
          <cell r="CG163" t="str">
            <v>1EU</v>
          </cell>
        </row>
        <row r="164">
          <cell r="O164">
            <v>1</v>
          </cell>
          <cell r="AN164">
            <v>0.53694322940066375</v>
          </cell>
          <cell r="AO164">
            <v>0</v>
          </cell>
          <cell r="AP164">
            <v>0</v>
          </cell>
          <cell r="AZ164">
            <v>0</v>
          </cell>
          <cell r="BT164">
            <v>0.53694322940066375</v>
          </cell>
          <cell r="BX164">
            <v>0</v>
          </cell>
          <cell r="CB164">
            <v>0</v>
          </cell>
          <cell r="CE164" t="str">
            <v>1LOCAL</v>
          </cell>
          <cell r="CF164" t="str">
            <v>1LOCAL</v>
          </cell>
          <cell r="CG164" t="str">
            <v>1LOCAL</v>
          </cell>
        </row>
        <row r="165">
          <cell r="O165">
            <v>1</v>
          </cell>
          <cell r="AN165">
            <v>0.67580785769393892</v>
          </cell>
          <cell r="AO165">
            <v>0</v>
          </cell>
          <cell r="AP165">
            <v>0</v>
          </cell>
          <cell r="AZ165">
            <v>0</v>
          </cell>
          <cell r="BT165">
            <v>0</v>
          </cell>
          <cell r="BX165">
            <v>0</v>
          </cell>
          <cell r="CB165">
            <v>0</v>
          </cell>
          <cell r="CE165" t="str">
            <v>1EU</v>
          </cell>
          <cell r="CF165" t="str">
            <v>1EU</v>
          </cell>
          <cell r="CG165" t="str">
            <v>1EU</v>
          </cell>
        </row>
        <row r="166">
          <cell r="O166">
            <v>1</v>
          </cell>
          <cell r="AN166">
            <v>6.8506549958015732</v>
          </cell>
          <cell r="AO166">
            <v>0</v>
          </cell>
          <cell r="AP166">
            <v>0</v>
          </cell>
          <cell r="AZ166">
            <v>0</v>
          </cell>
          <cell r="BT166">
            <v>7.6695862498625722</v>
          </cell>
          <cell r="BX166">
            <v>0</v>
          </cell>
          <cell r="CB166">
            <v>0</v>
          </cell>
          <cell r="CE166" t="str">
            <v>1LOCAL</v>
          </cell>
          <cell r="CF166" t="str">
            <v>1LOCAL</v>
          </cell>
          <cell r="CG166" t="str">
            <v>1LOCAL</v>
          </cell>
        </row>
        <row r="167">
          <cell r="O167">
            <v>1</v>
          </cell>
          <cell r="AN167">
            <v>1.8793013029023231</v>
          </cell>
          <cell r="AO167">
            <v>0</v>
          </cell>
          <cell r="AP167">
            <v>0</v>
          </cell>
          <cell r="AZ167">
            <v>0</v>
          </cell>
          <cell r="BT167">
            <v>0</v>
          </cell>
          <cell r="BX167">
            <v>0</v>
          </cell>
          <cell r="CB167">
            <v>0</v>
          </cell>
          <cell r="CE167" t="str">
            <v>1EU</v>
          </cell>
          <cell r="CF167" t="str">
            <v>1EU</v>
          </cell>
          <cell r="CG167" t="str">
            <v>1EU</v>
          </cell>
        </row>
        <row r="168">
          <cell r="O168">
            <v>1</v>
          </cell>
          <cell r="AN168">
            <v>0</v>
          </cell>
          <cell r="AO168">
            <v>0</v>
          </cell>
          <cell r="AP168">
            <v>0</v>
          </cell>
          <cell r="AZ168">
            <v>0</v>
          </cell>
          <cell r="BT168">
            <v>0</v>
          </cell>
          <cell r="BX168">
            <v>0</v>
          </cell>
          <cell r="CB168">
            <v>0</v>
          </cell>
          <cell r="CE168" t="str">
            <v>1EU</v>
          </cell>
          <cell r="CF168" t="str">
            <v>1EU</v>
          </cell>
          <cell r="CG168" t="str">
            <v>1EU</v>
          </cell>
        </row>
        <row r="169">
          <cell r="O169">
            <v>1</v>
          </cell>
          <cell r="AN169">
            <v>0</v>
          </cell>
          <cell r="AO169">
            <v>0</v>
          </cell>
          <cell r="AP169">
            <v>0</v>
          </cell>
          <cell r="AZ169">
            <v>0</v>
          </cell>
          <cell r="BT169">
            <v>0</v>
          </cell>
          <cell r="BX169">
            <v>0</v>
          </cell>
          <cell r="CB169">
            <v>0</v>
          </cell>
          <cell r="CE169" t="str">
            <v>1EU</v>
          </cell>
          <cell r="CF169" t="str">
            <v>1EU</v>
          </cell>
          <cell r="CG169" t="str">
            <v>1EU</v>
          </cell>
        </row>
        <row r="170">
          <cell r="O170">
            <v>1</v>
          </cell>
          <cell r="AN170">
            <v>7.8689956032855918E-2</v>
          </cell>
          <cell r="AO170">
            <v>7.8689956032855918E-2</v>
          </cell>
          <cell r="AP170">
            <v>7.8689956032855918E-2</v>
          </cell>
          <cell r="AZ170">
            <v>8.5000000000000006E-2</v>
          </cell>
          <cell r="BT170">
            <v>7.8689956032855904E-2</v>
          </cell>
          <cell r="BX170">
            <v>7.8689956032855904E-2</v>
          </cell>
          <cell r="CB170">
            <v>7.8689956032855904E-2</v>
          </cell>
          <cell r="CE170" t="str">
            <v>1LOCAL</v>
          </cell>
          <cell r="CF170" t="str">
            <v>1LOCAL</v>
          </cell>
          <cell r="CG170" t="str">
            <v>1LOCAL</v>
          </cell>
        </row>
        <row r="171">
          <cell r="O171">
            <v>1</v>
          </cell>
          <cell r="AN171">
            <v>2.268122262123494</v>
          </cell>
          <cell r="AO171">
            <v>0</v>
          </cell>
          <cell r="AP171">
            <v>0</v>
          </cell>
          <cell r="AZ171">
            <v>0</v>
          </cell>
          <cell r="BT171">
            <v>4.5941290724520831</v>
          </cell>
          <cell r="BX171">
            <v>0</v>
          </cell>
          <cell r="CB171">
            <v>0</v>
          </cell>
          <cell r="CE171" t="str">
            <v>1LOCAL</v>
          </cell>
          <cell r="CF171" t="str">
            <v>1LOCAL</v>
          </cell>
          <cell r="CG171" t="str">
            <v>1LOCAL</v>
          </cell>
        </row>
        <row r="172">
          <cell r="O172">
            <v>1</v>
          </cell>
          <cell r="AN172">
            <v>0</v>
          </cell>
          <cell r="AO172">
            <v>0</v>
          </cell>
          <cell r="AP172">
            <v>0</v>
          </cell>
          <cell r="AZ172">
            <v>0</v>
          </cell>
          <cell r="BT172">
            <v>0</v>
          </cell>
          <cell r="BX172">
            <v>0</v>
          </cell>
          <cell r="CB172">
            <v>0</v>
          </cell>
          <cell r="CE172" t="str">
            <v>1EU</v>
          </cell>
          <cell r="CF172" t="str">
            <v>1EU</v>
          </cell>
          <cell r="CG172" t="str">
            <v>1EU</v>
          </cell>
        </row>
        <row r="173">
          <cell r="O173">
            <v>1</v>
          </cell>
          <cell r="AN173">
            <v>0</v>
          </cell>
          <cell r="AO173">
            <v>0</v>
          </cell>
          <cell r="AP173">
            <v>0</v>
          </cell>
          <cell r="AZ173">
            <v>0</v>
          </cell>
          <cell r="BT173">
            <v>0</v>
          </cell>
          <cell r="BX173">
            <v>0</v>
          </cell>
          <cell r="CB173">
            <v>0</v>
          </cell>
          <cell r="CE173" t="str">
            <v>1EU</v>
          </cell>
          <cell r="CF173" t="str">
            <v>1EU</v>
          </cell>
          <cell r="CG173" t="str">
            <v>1EU</v>
          </cell>
        </row>
        <row r="174">
          <cell r="O174">
            <v>1</v>
          </cell>
          <cell r="AN174">
            <v>1.7486656896190202E-2</v>
          </cell>
          <cell r="AO174">
            <v>1.7486656896190202E-2</v>
          </cell>
          <cell r="AP174">
            <v>1.7486656896190202E-2</v>
          </cell>
          <cell r="AZ174">
            <v>1.8888888888888889E-2</v>
          </cell>
          <cell r="BT174">
            <v>1.7486656896190202E-2</v>
          </cell>
          <cell r="BX174">
            <v>1.7486656896190202E-2</v>
          </cell>
          <cell r="CB174">
            <v>1.7486656896190202E-2</v>
          </cell>
          <cell r="CE174" t="str">
            <v>1LOCAL</v>
          </cell>
          <cell r="CF174" t="str">
            <v>1LOCAL</v>
          </cell>
          <cell r="CG174" t="str">
            <v>1LOCAL</v>
          </cell>
        </row>
        <row r="175">
          <cell r="O175">
            <v>1</v>
          </cell>
          <cell r="AN175">
            <v>0.85170305353208753</v>
          </cell>
          <cell r="AO175">
            <v>0.85170305353208753</v>
          </cell>
          <cell r="AP175">
            <v>0.85170305353208753</v>
          </cell>
          <cell r="AZ175">
            <v>0.92</v>
          </cell>
          <cell r="BT175">
            <v>0</v>
          </cell>
          <cell r="BX175">
            <v>0</v>
          </cell>
          <cell r="CB175">
            <v>0</v>
          </cell>
          <cell r="CE175" t="str">
            <v>1EU</v>
          </cell>
          <cell r="CF175" t="str">
            <v>1EU</v>
          </cell>
          <cell r="CG175" t="str">
            <v>1EU</v>
          </cell>
        </row>
        <row r="176">
          <cell r="O176">
            <v>1</v>
          </cell>
          <cell r="AN176">
            <v>0</v>
          </cell>
          <cell r="AO176">
            <v>0</v>
          </cell>
          <cell r="AP176">
            <v>0</v>
          </cell>
          <cell r="AZ176">
            <v>0</v>
          </cell>
          <cell r="BT176">
            <v>0</v>
          </cell>
          <cell r="BX176">
            <v>0</v>
          </cell>
          <cell r="CB176">
            <v>0</v>
          </cell>
          <cell r="CE176" t="str">
            <v>1EU</v>
          </cell>
          <cell r="CF176" t="str">
            <v>1EU</v>
          </cell>
          <cell r="CG176" t="str">
            <v>1EU</v>
          </cell>
        </row>
        <row r="177">
          <cell r="O177">
            <v>1</v>
          </cell>
          <cell r="AN177">
            <v>0</v>
          </cell>
          <cell r="AO177">
            <v>0</v>
          </cell>
          <cell r="AP177">
            <v>0</v>
          </cell>
          <cell r="AZ177">
            <v>0</v>
          </cell>
          <cell r="BT177">
            <v>0</v>
          </cell>
          <cell r="BX177">
            <v>0</v>
          </cell>
          <cell r="CB177">
            <v>0</v>
          </cell>
          <cell r="CE177" t="str">
            <v>1EU</v>
          </cell>
          <cell r="CF177" t="str">
            <v>1EU</v>
          </cell>
          <cell r="CG177" t="str">
            <v>1EU</v>
          </cell>
        </row>
        <row r="178">
          <cell r="O178">
            <v>1</v>
          </cell>
          <cell r="AN178">
            <v>0</v>
          </cell>
          <cell r="AO178">
            <v>0</v>
          </cell>
          <cell r="AP178">
            <v>0</v>
          </cell>
          <cell r="AZ178">
            <v>0</v>
          </cell>
          <cell r="BT178">
            <v>0</v>
          </cell>
          <cell r="BX178">
            <v>0</v>
          </cell>
          <cell r="CB178">
            <v>0</v>
          </cell>
          <cell r="CE178" t="str">
            <v>1LOCAL</v>
          </cell>
          <cell r="CF178" t="str">
            <v>1LOCAL</v>
          </cell>
          <cell r="CG178" t="str">
            <v>1LOCAL</v>
          </cell>
        </row>
        <row r="179">
          <cell r="O179">
            <v>1</v>
          </cell>
          <cell r="AN179">
            <v>7.7147015718486173E-2</v>
          </cell>
          <cell r="AO179">
            <v>7.7147015718486173E-2</v>
          </cell>
          <cell r="AP179">
            <v>7.7147015718486173E-2</v>
          </cell>
          <cell r="AZ179">
            <v>8.3333333333333329E-2</v>
          </cell>
          <cell r="BT179">
            <v>0</v>
          </cell>
          <cell r="BX179">
            <v>7.7147015718486173E-2</v>
          </cell>
          <cell r="CB179">
            <v>7.7147015718486173E-2</v>
          </cell>
          <cell r="CE179" t="str">
            <v>1LOCAL</v>
          </cell>
          <cell r="CF179" t="str">
            <v>1LOCAL</v>
          </cell>
          <cell r="CG179" t="str">
            <v>1LOCAL</v>
          </cell>
        </row>
        <row r="180">
          <cell r="O180">
            <v>1</v>
          </cell>
          <cell r="AN180">
            <v>0</v>
          </cell>
          <cell r="AO180">
            <v>9.4057641563978347</v>
          </cell>
          <cell r="AP180">
            <v>9.4057641563978347</v>
          </cell>
          <cell r="AZ180">
            <v>10.16</v>
          </cell>
          <cell r="BT180">
            <v>0</v>
          </cell>
          <cell r="BX180">
            <v>0</v>
          </cell>
          <cell r="CB180">
            <v>0</v>
          </cell>
          <cell r="CE180" t="str">
            <v>1EU</v>
          </cell>
          <cell r="CF180" t="str">
            <v>1EU</v>
          </cell>
          <cell r="CG180" t="str">
            <v>1EU</v>
          </cell>
        </row>
        <row r="181">
          <cell r="O181">
            <v>1</v>
          </cell>
          <cell r="AN181">
            <v>4.6288209431091715E-2</v>
          </cell>
          <cell r="AO181">
            <v>4.6288209431091715E-2</v>
          </cell>
          <cell r="AP181">
            <v>4.6288209431091715E-2</v>
          </cell>
          <cell r="AZ181">
            <v>0.05</v>
          </cell>
          <cell r="BT181">
            <v>0</v>
          </cell>
          <cell r="BX181">
            <v>0</v>
          </cell>
          <cell r="CB181">
            <v>0</v>
          </cell>
          <cell r="CE181" t="str">
            <v>1EU</v>
          </cell>
          <cell r="CF181" t="str">
            <v>1EU</v>
          </cell>
          <cell r="CG181" t="str">
            <v>1EU</v>
          </cell>
        </row>
        <row r="182">
          <cell r="O182">
            <v>1</v>
          </cell>
          <cell r="AN182">
            <v>7.8689956032855918E-2</v>
          </cell>
          <cell r="AO182">
            <v>7.8689956032855918E-2</v>
          </cell>
          <cell r="AP182">
            <v>7.8689956032855918E-2</v>
          </cell>
          <cell r="AZ182">
            <v>8.5000000000000006E-2</v>
          </cell>
          <cell r="BT182">
            <v>7.8689956032855904E-2</v>
          </cell>
          <cell r="BX182">
            <v>7.8689956032855904E-2</v>
          </cell>
          <cell r="CB182">
            <v>7.8689956032855904E-2</v>
          </cell>
          <cell r="CE182" t="str">
            <v>1LOCAL</v>
          </cell>
          <cell r="CF182" t="str">
            <v>1LOCAL</v>
          </cell>
          <cell r="CG182" t="str">
            <v>1LOCAL</v>
          </cell>
        </row>
        <row r="183">
          <cell r="O183">
            <v>1</v>
          </cell>
          <cell r="AN183">
            <v>0</v>
          </cell>
          <cell r="AO183">
            <v>3.7956331733495197</v>
          </cell>
          <cell r="AP183">
            <v>3.7956331733495197</v>
          </cell>
          <cell r="AZ183">
            <v>4.0999999999999996</v>
          </cell>
          <cell r="BT183">
            <v>0</v>
          </cell>
          <cell r="BX183">
            <v>3.7956331733495197</v>
          </cell>
          <cell r="CB183">
            <v>3.7956331733495197</v>
          </cell>
          <cell r="CE183" t="str">
            <v>1LOCAL</v>
          </cell>
          <cell r="CF183" t="str">
            <v>1LOCAL</v>
          </cell>
          <cell r="CG183" t="str">
            <v>1LOCAL</v>
          </cell>
        </row>
        <row r="184">
          <cell r="O184">
            <v>1</v>
          </cell>
          <cell r="AN184">
            <v>0</v>
          </cell>
          <cell r="AO184">
            <v>0.53694322940066375</v>
          </cell>
          <cell r="AP184">
            <v>0.53694322940066375</v>
          </cell>
          <cell r="AZ184">
            <v>0.57999999999999996</v>
          </cell>
          <cell r="BT184">
            <v>0</v>
          </cell>
          <cell r="BX184">
            <v>0.53694322940066375</v>
          </cell>
          <cell r="CB184">
            <v>0.53694322940066375</v>
          </cell>
          <cell r="CE184" t="str">
            <v>1LOCAL</v>
          </cell>
          <cell r="CF184" t="str">
            <v>1LOCAL</v>
          </cell>
          <cell r="CG184" t="str">
            <v>1LOCAL</v>
          </cell>
        </row>
        <row r="185">
          <cell r="O185">
            <v>1</v>
          </cell>
          <cell r="AN185">
            <v>0</v>
          </cell>
          <cell r="AO185">
            <v>6.8506549958015732</v>
          </cell>
          <cell r="AP185">
            <v>6.8506549958015732</v>
          </cell>
          <cell r="AZ185">
            <v>7.4</v>
          </cell>
          <cell r="BT185">
            <v>0</v>
          </cell>
          <cell r="BX185">
            <v>6.8506549958015732</v>
          </cell>
          <cell r="CB185">
            <v>6.8506549958015732</v>
          </cell>
          <cell r="CE185" t="str">
            <v>1LOCAL</v>
          </cell>
          <cell r="CF185" t="str">
            <v>1LOCAL</v>
          </cell>
          <cell r="CG185" t="str">
            <v>1LOCAL</v>
          </cell>
        </row>
        <row r="186">
          <cell r="O186">
            <v>1</v>
          </cell>
          <cell r="AN186">
            <v>0</v>
          </cell>
          <cell r="AO186">
            <v>1.8793013029023231</v>
          </cell>
          <cell r="AP186">
            <v>1.8793013029023231</v>
          </cell>
          <cell r="AZ186">
            <v>2.0299999999999998</v>
          </cell>
          <cell r="BT186">
            <v>0</v>
          </cell>
          <cell r="BX186">
            <v>1.8793013029023231</v>
          </cell>
          <cell r="CB186">
            <v>1.8793013029023231</v>
          </cell>
          <cell r="CE186" t="str">
            <v>1LOCAL</v>
          </cell>
          <cell r="CF186" t="str">
            <v>1LOCAL</v>
          </cell>
          <cell r="CG186" t="str">
            <v>1LOCAL</v>
          </cell>
        </row>
        <row r="187">
          <cell r="O187">
            <v>1</v>
          </cell>
          <cell r="AN187">
            <v>0</v>
          </cell>
          <cell r="AO187">
            <v>0</v>
          </cell>
          <cell r="AP187">
            <v>0</v>
          </cell>
          <cell r="AZ187">
            <v>0</v>
          </cell>
          <cell r="BT187">
            <v>0</v>
          </cell>
          <cell r="BX187">
            <v>0</v>
          </cell>
          <cell r="CB187">
            <v>0</v>
          </cell>
          <cell r="CE187" t="str">
            <v>1LOCAL</v>
          </cell>
          <cell r="CF187" t="str">
            <v>1LOCAL</v>
          </cell>
          <cell r="CG187" t="str">
            <v>1LOCAL</v>
          </cell>
        </row>
        <row r="188">
          <cell r="O188">
            <v>1</v>
          </cell>
          <cell r="AN188">
            <v>0</v>
          </cell>
          <cell r="AO188">
            <v>0</v>
          </cell>
          <cell r="AP188">
            <v>0</v>
          </cell>
          <cell r="AZ188">
            <v>0</v>
          </cell>
          <cell r="BT188">
            <v>0</v>
          </cell>
          <cell r="BX188">
            <v>0</v>
          </cell>
          <cell r="CB188">
            <v>0</v>
          </cell>
          <cell r="CE188" t="str">
            <v>1EU</v>
          </cell>
          <cell r="CF188" t="str">
            <v>1EU</v>
          </cell>
          <cell r="CG188" t="str">
            <v>1EU</v>
          </cell>
        </row>
        <row r="189">
          <cell r="O189">
            <v>1</v>
          </cell>
          <cell r="AN189">
            <v>7.8689956032855918E-2</v>
          </cell>
          <cell r="AO189">
            <v>7.8689956032855918E-2</v>
          </cell>
          <cell r="AP189">
            <v>7.8689956032855918E-2</v>
          </cell>
          <cell r="AZ189">
            <v>8.5000000000000006E-2</v>
          </cell>
          <cell r="BT189">
            <v>7.8689956032855904E-2</v>
          </cell>
          <cell r="BX189">
            <v>7.8689956032855904E-2</v>
          </cell>
          <cell r="CB189">
            <v>7.8689956032855904E-2</v>
          </cell>
          <cell r="CE189" t="str">
            <v>1LOCAL</v>
          </cell>
          <cell r="CF189" t="str">
            <v>1LOCAL</v>
          </cell>
          <cell r="CG189" t="str">
            <v>1LOCAL</v>
          </cell>
        </row>
        <row r="190">
          <cell r="O190">
            <v>1</v>
          </cell>
          <cell r="AN190">
            <v>0</v>
          </cell>
          <cell r="AO190">
            <v>2.268122262123494</v>
          </cell>
          <cell r="AP190">
            <v>2.268122262123494</v>
          </cell>
          <cell r="AZ190">
            <v>2.4500000000000002</v>
          </cell>
          <cell r="BT190">
            <v>0</v>
          </cell>
          <cell r="BX190">
            <v>2.268122262123494</v>
          </cell>
          <cell r="CB190">
            <v>2.268122262123494</v>
          </cell>
          <cell r="CE190" t="str">
            <v>1LOCAL</v>
          </cell>
          <cell r="CF190" t="str">
            <v>1LOCAL</v>
          </cell>
          <cell r="CG190" t="str">
            <v>1LOCAL</v>
          </cell>
        </row>
        <row r="191">
          <cell r="O191">
            <v>1</v>
          </cell>
          <cell r="AN191">
            <v>0</v>
          </cell>
          <cell r="AO191">
            <v>0</v>
          </cell>
          <cell r="AP191">
            <v>0</v>
          </cell>
          <cell r="AZ191">
            <v>0</v>
          </cell>
          <cell r="BT191">
            <v>0</v>
          </cell>
          <cell r="BX191">
            <v>0</v>
          </cell>
          <cell r="CB191">
            <v>0</v>
          </cell>
          <cell r="CE191" t="str">
            <v>1LOCAL</v>
          </cell>
          <cell r="CF191" t="str">
            <v>1LOCAL</v>
          </cell>
          <cell r="CG191" t="str">
            <v>1LOCAL</v>
          </cell>
        </row>
        <row r="192">
          <cell r="O192">
            <v>1</v>
          </cell>
          <cell r="AN192">
            <v>0</v>
          </cell>
          <cell r="AO192">
            <v>0</v>
          </cell>
          <cell r="AP192">
            <v>0</v>
          </cell>
          <cell r="AZ192">
            <v>0</v>
          </cell>
          <cell r="BT192">
            <v>0</v>
          </cell>
          <cell r="BX192">
            <v>0</v>
          </cell>
          <cell r="CB192">
            <v>0</v>
          </cell>
          <cell r="CE192" t="str">
            <v>1EU</v>
          </cell>
          <cell r="CF192" t="str">
            <v>1EU</v>
          </cell>
          <cell r="CG192" t="str">
            <v>1EU</v>
          </cell>
        </row>
        <row r="193">
          <cell r="O193">
            <v>1</v>
          </cell>
          <cell r="AN193">
            <v>0</v>
          </cell>
          <cell r="AO193">
            <v>0</v>
          </cell>
          <cell r="AP193">
            <v>0</v>
          </cell>
          <cell r="AZ193">
            <v>0</v>
          </cell>
          <cell r="BT193">
            <v>0</v>
          </cell>
          <cell r="BX193">
            <v>0</v>
          </cell>
          <cell r="CB193">
            <v>0</v>
          </cell>
          <cell r="CE193" t="str">
            <v>1LOCAL</v>
          </cell>
          <cell r="CF193" t="str">
            <v>1LOCAL</v>
          </cell>
          <cell r="CG193" t="str">
            <v>1LOCAL</v>
          </cell>
        </row>
        <row r="194">
          <cell r="O194">
            <v>1</v>
          </cell>
          <cell r="AN194">
            <v>7.7147015718486173E-2</v>
          </cell>
          <cell r="AO194">
            <v>7.7147015718486173E-2</v>
          </cell>
          <cell r="AP194">
            <v>7.7147015718486173E-2</v>
          </cell>
          <cell r="AZ194">
            <v>8.3333333333333329E-2</v>
          </cell>
          <cell r="BT194">
            <v>0</v>
          </cell>
          <cell r="BX194">
            <v>7.7147015718486173E-2</v>
          </cell>
          <cell r="CB194">
            <v>7.7147015718486173E-2</v>
          </cell>
          <cell r="CE194" t="str">
            <v>1LOCAL</v>
          </cell>
          <cell r="CF194" t="str">
            <v>1LOCAL</v>
          </cell>
          <cell r="CG194" t="str">
            <v>1LOCAL</v>
          </cell>
        </row>
        <row r="195">
          <cell r="O195">
            <v>1</v>
          </cell>
          <cell r="AN195">
            <v>0</v>
          </cell>
          <cell r="AO195">
            <v>0</v>
          </cell>
          <cell r="AP195">
            <v>0</v>
          </cell>
          <cell r="AZ195">
            <v>0</v>
          </cell>
          <cell r="BT195">
            <v>0</v>
          </cell>
          <cell r="BX195">
            <v>0</v>
          </cell>
          <cell r="CB195">
            <v>0</v>
          </cell>
          <cell r="CE195" t="str">
            <v>1EU</v>
          </cell>
          <cell r="CF195" t="str">
            <v>1EU</v>
          </cell>
          <cell r="CG195" t="str">
            <v>1EU</v>
          </cell>
        </row>
        <row r="196">
          <cell r="O196">
            <v>1</v>
          </cell>
          <cell r="AN196">
            <v>0</v>
          </cell>
          <cell r="AO196">
            <v>0</v>
          </cell>
          <cell r="AP196">
            <v>0</v>
          </cell>
          <cell r="AZ196">
            <v>0</v>
          </cell>
          <cell r="BT196">
            <v>0</v>
          </cell>
          <cell r="BX196">
            <v>0</v>
          </cell>
          <cell r="CB196">
            <v>0</v>
          </cell>
          <cell r="CE196" t="str">
            <v>1EU</v>
          </cell>
          <cell r="CF196" t="str">
            <v>1EU</v>
          </cell>
          <cell r="CG196" t="str">
            <v>1EU</v>
          </cell>
        </row>
        <row r="197">
          <cell r="O197">
            <v>1</v>
          </cell>
          <cell r="AN197">
            <v>0</v>
          </cell>
          <cell r="AO197">
            <v>0</v>
          </cell>
          <cell r="AP197">
            <v>0</v>
          </cell>
          <cell r="AZ197">
            <v>0</v>
          </cell>
          <cell r="BT197">
            <v>0</v>
          </cell>
          <cell r="BX197">
            <v>0</v>
          </cell>
          <cell r="CB197">
            <v>0</v>
          </cell>
          <cell r="CE197" t="str">
            <v>1EU</v>
          </cell>
          <cell r="CF197" t="str">
            <v>1EU</v>
          </cell>
          <cell r="CG197" t="str">
            <v>1EU</v>
          </cell>
        </row>
        <row r="198">
          <cell r="O198">
            <v>1</v>
          </cell>
          <cell r="AN198">
            <v>0</v>
          </cell>
          <cell r="AO198">
            <v>0</v>
          </cell>
          <cell r="AP198">
            <v>0</v>
          </cell>
          <cell r="BT198">
            <v>0</v>
          </cell>
          <cell r="BX198">
            <v>0</v>
          </cell>
          <cell r="CB198">
            <v>0</v>
          </cell>
          <cell r="CE198" t="str">
            <v>1EU</v>
          </cell>
          <cell r="CF198" t="str">
            <v>1EU</v>
          </cell>
          <cell r="CG198" t="str">
            <v>1EU</v>
          </cell>
        </row>
        <row r="199">
          <cell r="O199">
            <v>2</v>
          </cell>
          <cell r="AN199">
            <v>0</v>
          </cell>
          <cell r="AO199">
            <v>0</v>
          </cell>
          <cell r="AP199">
            <v>0</v>
          </cell>
          <cell r="AZ199">
            <v>0</v>
          </cell>
          <cell r="BT199">
            <v>27.198299556565399</v>
          </cell>
          <cell r="BX199">
            <v>27.198299556565399</v>
          </cell>
          <cell r="CB199">
            <v>27.198299556565399</v>
          </cell>
          <cell r="CE199" t="str">
            <v>2LOCAL</v>
          </cell>
          <cell r="CF199" t="str">
            <v>2LOCAL</v>
          </cell>
          <cell r="CG199" t="str">
            <v>2LOCAL</v>
          </cell>
        </row>
        <row r="200">
          <cell r="O200">
            <v>2</v>
          </cell>
          <cell r="AN200">
            <v>6.9710043403224118</v>
          </cell>
          <cell r="AO200">
            <v>6.9710043403224118</v>
          </cell>
          <cell r="AP200">
            <v>6.9710043403224118</v>
          </cell>
          <cell r="AZ200">
            <v>7.53</v>
          </cell>
          <cell r="BT200">
            <v>0</v>
          </cell>
          <cell r="BX200">
            <v>0</v>
          </cell>
          <cell r="CB200">
            <v>0</v>
          </cell>
          <cell r="CE200" t="str">
            <v>2LOCAL</v>
          </cell>
          <cell r="CF200" t="str">
            <v>2LOCAL</v>
          </cell>
          <cell r="CG200" t="str">
            <v>2LOCAL</v>
          </cell>
        </row>
        <row r="201">
          <cell r="O201">
            <v>2</v>
          </cell>
          <cell r="AN201">
            <v>5.5545851317310047E-2</v>
          </cell>
          <cell r="AO201">
            <v>5.5545851317310047E-2</v>
          </cell>
          <cell r="AP201">
            <v>5.5545851317310047E-2</v>
          </cell>
          <cell r="AZ201">
            <v>0.06</v>
          </cell>
          <cell r="BT201">
            <v>5.5545851317310047E-2</v>
          </cell>
          <cell r="BX201">
            <v>5.5545851317310047E-2</v>
          </cell>
          <cell r="CB201">
            <v>5.5545851317310047E-2</v>
          </cell>
          <cell r="CE201" t="str">
            <v>2LOCAL</v>
          </cell>
          <cell r="CF201" t="str">
            <v>2LOCAL</v>
          </cell>
          <cell r="CG201" t="str">
            <v>2LOCAL</v>
          </cell>
        </row>
        <row r="202">
          <cell r="O202">
            <v>2</v>
          </cell>
          <cell r="AN202">
            <v>0</v>
          </cell>
          <cell r="AO202">
            <v>0</v>
          </cell>
          <cell r="AP202">
            <v>0</v>
          </cell>
          <cell r="AZ202">
            <v>0</v>
          </cell>
          <cell r="BT202">
            <v>0</v>
          </cell>
          <cell r="BX202">
            <v>0</v>
          </cell>
          <cell r="CB202">
            <v>0</v>
          </cell>
          <cell r="CE202" t="str">
            <v>2LOCAL</v>
          </cell>
          <cell r="CF202" t="str">
            <v>2LOCAL</v>
          </cell>
          <cell r="CG202" t="str">
            <v>2LOCAL</v>
          </cell>
        </row>
        <row r="203">
          <cell r="O203">
            <v>2</v>
          </cell>
          <cell r="AN203">
            <v>0</v>
          </cell>
          <cell r="AO203">
            <v>0</v>
          </cell>
          <cell r="AP203">
            <v>0</v>
          </cell>
          <cell r="AZ203">
            <v>0</v>
          </cell>
          <cell r="BT203">
            <v>0</v>
          </cell>
          <cell r="BX203">
            <v>0</v>
          </cell>
          <cell r="CB203">
            <v>0</v>
          </cell>
          <cell r="CE203" t="str">
            <v>2LOCAL</v>
          </cell>
          <cell r="CF203" t="str">
            <v>2LOCAL</v>
          </cell>
          <cell r="CG203" t="str">
            <v>2LOCAL</v>
          </cell>
        </row>
        <row r="204">
          <cell r="O204">
            <v>2</v>
          </cell>
          <cell r="AN204">
            <v>0.24532750998478606</v>
          </cell>
          <cell r="AO204">
            <v>0.24532750998478606</v>
          </cell>
          <cell r="AP204">
            <v>0.24532750998478606</v>
          </cell>
          <cell r="AZ204">
            <v>0.26500000000000001</v>
          </cell>
          <cell r="BT204">
            <v>0.24532750998478606</v>
          </cell>
          <cell r="BX204">
            <v>0.24532750998478606</v>
          </cell>
          <cell r="CB204">
            <v>0.24532750998478606</v>
          </cell>
          <cell r="CE204" t="str">
            <v>2LOCAL</v>
          </cell>
          <cell r="CF204" t="str">
            <v>2LOCAL</v>
          </cell>
          <cell r="CG204" t="str">
            <v>2LOCAL</v>
          </cell>
        </row>
        <row r="205">
          <cell r="O205">
            <v>2</v>
          </cell>
          <cell r="AN205">
            <v>1.2127510870946028</v>
          </cell>
          <cell r="AO205">
            <v>1.2127510870946028</v>
          </cell>
          <cell r="AP205">
            <v>1.2127510870946028</v>
          </cell>
          <cell r="AZ205">
            <v>1.31</v>
          </cell>
          <cell r="BT205">
            <v>0</v>
          </cell>
          <cell r="BX205">
            <v>0</v>
          </cell>
          <cell r="CB205">
            <v>0</v>
          </cell>
          <cell r="CE205" t="str">
            <v>2LOCAL</v>
          </cell>
          <cell r="CF205" t="str">
            <v>2LOCAL</v>
          </cell>
          <cell r="CG205" t="str">
            <v>2LOCAL</v>
          </cell>
        </row>
        <row r="206">
          <cell r="O206">
            <v>2</v>
          </cell>
          <cell r="AN206">
            <v>1.9811353636507252</v>
          </cell>
          <cell r="AO206">
            <v>1.9811353636507252</v>
          </cell>
          <cell r="AP206">
            <v>1.9811353636507252</v>
          </cell>
          <cell r="AZ206">
            <v>2.14</v>
          </cell>
          <cell r="BT206">
            <v>0</v>
          </cell>
          <cell r="BX206">
            <v>0</v>
          </cell>
          <cell r="CB206">
            <v>0</v>
          </cell>
          <cell r="CE206" t="str">
            <v>2LOCAL</v>
          </cell>
          <cell r="CF206" t="str">
            <v>2LOCAL</v>
          </cell>
          <cell r="CG206" t="str">
            <v>2LOCAL</v>
          </cell>
        </row>
        <row r="207">
          <cell r="O207">
            <v>2</v>
          </cell>
          <cell r="AN207">
            <v>0.24532750998478606</v>
          </cell>
          <cell r="AO207">
            <v>0.24532750998478606</v>
          </cell>
          <cell r="AP207">
            <v>0.24532750998478606</v>
          </cell>
          <cell r="AZ207">
            <v>0.26500000000000001</v>
          </cell>
          <cell r="BT207">
            <v>0</v>
          </cell>
          <cell r="BX207">
            <v>0</v>
          </cell>
          <cell r="CB207">
            <v>0</v>
          </cell>
          <cell r="CE207" t="str">
            <v>2LOCAL</v>
          </cell>
          <cell r="CF207" t="str">
            <v>2LOCAL</v>
          </cell>
          <cell r="CG207" t="str">
            <v>2LOCAL</v>
          </cell>
        </row>
        <row r="208">
          <cell r="O208">
            <v>2</v>
          </cell>
          <cell r="AN208">
            <v>2.1601164401176133E-2</v>
          </cell>
          <cell r="AO208">
            <v>2.1601164401176133E-2</v>
          </cell>
          <cell r="AP208">
            <v>2.1601164401176133E-2</v>
          </cell>
          <cell r="AZ208">
            <v>2.3333333333333334E-2</v>
          </cell>
          <cell r="BT208">
            <v>0</v>
          </cell>
          <cell r="BX208">
            <v>0</v>
          </cell>
          <cell r="CB208">
            <v>0</v>
          </cell>
          <cell r="CE208" t="str">
            <v>2EU</v>
          </cell>
          <cell r="CF208" t="str">
            <v>2EU</v>
          </cell>
          <cell r="CG208" t="str">
            <v>2EU</v>
          </cell>
        </row>
        <row r="209">
          <cell r="O209">
            <v>2</v>
          </cell>
          <cell r="AN209">
            <v>0</v>
          </cell>
          <cell r="AO209">
            <v>0</v>
          </cell>
          <cell r="AP209">
            <v>0</v>
          </cell>
          <cell r="AZ209">
            <v>0</v>
          </cell>
          <cell r="BT209">
            <v>0</v>
          </cell>
          <cell r="BX209">
            <v>0</v>
          </cell>
          <cell r="CB209">
            <v>0</v>
          </cell>
          <cell r="CE209" t="str">
            <v>2LOCAL</v>
          </cell>
          <cell r="CF209" t="str">
            <v>2LOCAL</v>
          </cell>
          <cell r="CG209" t="str">
            <v>2LOCAL</v>
          </cell>
        </row>
        <row r="210">
          <cell r="O210">
            <v>2</v>
          </cell>
          <cell r="AN210">
            <v>0.67580785769393892</v>
          </cell>
          <cell r="AO210">
            <v>0.67580785769393892</v>
          </cell>
          <cell r="AP210">
            <v>0.67580785769393892</v>
          </cell>
          <cell r="AZ210">
            <v>0.73</v>
          </cell>
          <cell r="BT210">
            <v>0</v>
          </cell>
          <cell r="BX210">
            <v>0</v>
          </cell>
          <cell r="CB210">
            <v>0</v>
          </cell>
          <cell r="CE210" t="str">
            <v>2LOCAL</v>
          </cell>
          <cell r="CF210" t="str">
            <v>2LOCAL</v>
          </cell>
          <cell r="CG210" t="str">
            <v>2LOCAL</v>
          </cell>
        </row>
        <row r="211">
          <cell r="O211">
            <v>2</v>
          </cell>
          <cell r="AN211">
            <v>0</v>
          </cell>
          <cell r="AO211">
            <v>0</v>
          </cell>
          <cell r="AP211">
            <v>0</v>
          </cell>
          <cell r="AZ211">
            <v>0</v>
          </cell>
          <cell r="BT211">
            <v>0</v>
          </cell>
          <cell r="BX211">
            <v>0</v>
          </cell>
          <cell r="CB211">
            <v>0</v>
          </cell>
          <cell r="CE211" t="str">
            <v>2LOCAL</v>
          </cell>
          <cell r="CF211" t="str">
            <v>2LOCAL</v>
          </cell>
          <cell r="CG211" t="str">
            <v>2LOCAL</v>
          </cell>
        </row>
        <row r="212">
          <cell r="O212">
            <v>2</v>
          </cell>
          <cell r="AN212">
            <v>0.85170305353208753</v>
          </cell>
          <cell r="AO212">
            <v>0.85170305353208753</v>
          </cell>
          <cell r="AP212">
            <v>0.85170305353208753</v>
          </cell>
          <cell r="AZ212">
            <v>0.92</v>
          </cell>
          <cell r="BT212">
            <v>0</v>
          </cell>
          <cell r="BX212">
            <v>0</v>
          </cell>
          <cell r="CB212">
            <v>0</v>
          </cell>
          <cell r="CE212" t="str">
            <v>2LOCAL</v>
          </cell>
          <cell r="CF212" t="str">
            <v>2LOCAL</v>
          </cell>
          <cell r="CG212" t="str">
            <v>2LOCAL</v>
          </cell>
        </row>
        <row r="213">
          <cell r="O213">
            <v>2</v>
          </cell>
          <cell r="AN213">
            <v>0</v>
          </cell>
          <cell r="AO213">
            <v>0</v>
          </cell>
          <cell r="AP213">
            <v>0</v>
          </cell>
          <cell r="AZ213">
            <v>0</v>
          </cell>
          <cell r="BT213">
            <v>0</v>
          </cell>
          <cell r="BX213">
            <v>0</v>
          </cell>
          <cell r="CB213">
            <v>0</v>
          </cell>
          <cell r="CE213" t="str">
            <v>2LOCAL</v>
          </cell>
          <cell r="CF213" t="str">
            <v>2LOCAL</v>
          </cell>
          <cell r="CG213" t="str">
            <v>2LOCAL</v>
          </cell>
        </row>
        <row r="214">
          <cell r="O214">
            <v>2</v>
          </cell>
          <cell r="AN214">
            <v>0</v>
          </cell>
          <cell r="AO214">
            <v>0</v>
          </cell>
          <cell r="AP214">
            <v>0</v>
          </cell>
          <cell r="AZ214">
            <v>0</v>
          </cell>
          <cell r="BT214">
            <v>0</v>
          </cell>
          <cell r="BX214">
            <v>0</v>
          </cell>
          <cell r="CB214">
            <v>0</v>
          </cell>
          <cell r="CE214" t="str">
            <v>2EU</v>
          </cell>
          <cell r="CF214" t="str">
            <v>2EU</v>
          </cell>
          <cell r="CG214" t="str">
            <v>2EU</v>
          </cell>
        </row>
        <row r="215">
          <cell r="O215">
            <v>2</v>
          </cell>
          <cell r="AN215">
            <v>0.85170305353208753</v>
          </cell>
          <cell r="AO215">
            <v>0.85170305353208753</v>
          </cell>
          <cell r="AP215">
            <v>0.85170305353208753</v>
          </cell>
          <cell r="AZ215">
            <v>0.92</v>
          </cell>
          <cell r="BT215">
            <v>0</v>
          </cell>
          <cell r="BX215">
            <v>0</v>
          </cell>
          <cell r="CB215">
            <v>0</v>
          </cell>
          <cell r="CE215" t="str">
            <v>2LOCAL</v>
          </cell>
          <cell r="CF215" t="str">
            <v>2LOCAL</v>
          </cell>
          <cell r="CG215" t="str">
            <v>2LOCAL</v>
          </cell>
        </row>
        <row r="216">
          <cell r="O216">
            <v>2</v>
          </cell>
          <cell r="AN216">
            <v>0</v>
          </cell>
          <cell r="AO216">
            <v>0</v>
          </cell>
          <cell r="AP216">
            <v>0</v>
          </cell>
          <cell r="AZ216">
            <v>0</v>
          </cell>
          <cell r="BT216">
            <v>0</v>
          </cell>
          <cell r="BX216">
            <v>0</v>
          </cell>
          <cell r="CB216">
            <v>0</v>
          </cell>
          <cell r="CE216" t="str">
            <v>2LOCAL</v>
          </cell>
          <cell r="CF216" t="str">
            <v>2LOCAL</v>
          </cell>
          <cell r="CG216" t="str">
            <v>2LOCAL</v>
          </cell>
        </row>
        <row r="217">
          <cell r="O217">
            <v>2</v>
          </cell>
          <cell r="AN217">
            <v>0</v>
          </cell>
          <cell r="AO217">
            <v>0</v>
          </cell>
          <cell r="AP217">
            <v>0</v>
          </cell>
          <cell r="AZ217">
            <v>0</v>
          </cell>
          <cell r="BT217">
            <v>0</v>
          </cell>
          <cell r="BX217">
            <v>0</v>
          </cell>
          <cell r="CB217">
            <v>0</v>
          </cell>
          <cell r="CE217" t="str">
            <v>2EU</v>
          </cell>
          <cell r="CF217" t="str">
            <v>2EU</v>
          </cell>
          <cell r="CG217" t="str">
            <v>2EU</v>
          </cell>
        </row>
        <row r="218">
          <cell r="O218">
            <v>2</v>
          </cell>
          <cell r="AN218">
            <v>1.6663755395193016</v>
          </cell>
          <cell r="AO218">
            <v>1.6663755395193016</v>
          </cell>
          <cell r="AP218">
            <v>1.6663755395193016</v>
          </cell>
          <cell r="AZ218">
            <v>1.8</v>
          </cell>
          <cell r="BT218">
            <v>1.6663755395193016</v>
          </cell>
          <cell r="BX218">
            <v>1.6663755395193016</v>
          </cell>
          <cell r="CB218">
            <v>1.6663755395193016</v>
          </cell>
          <cell r="CE218" t="str">
            <v>2LOCAL</v>
          </cell>
          <cell r="CF218" t="str">
            <v>2LOCAL</v>
          </cell>
          <cell r="CG218" t="str">
            <v>2LOCAL</v>
          </cell>
        </row>
        <row r="219">
          <cell r="O219">
            <v>2</v>
          </cell>
          <cell r="AN219">
            <v>0</v>
          </cell>
          <cell r="AO219">
            <v>0</v>
          </cell>
          <cell r="AP219">
            <v>0</v>
          </cell>
          <cell r="AZ219">
            <v>0</v>
          </cell>
          <cell r="BT219">
            <v>0</v>
          </cell>
          <cell r="BX219">
            <v>0</v>
          </cell>
          <cell r="CB219">
            <v>0</v>
          </cell>
          <cell r="CE219" t="str">
            <v>2LOCAL</v>
          </cell>
          <cell r="CF219" t="str">
            <v>2LOCAL</v>
          </cell>
          <cell r="CG219" t="str">
            <v>2LOCAL</v>
          </cell>
        </row>
        <row r="220">
          <cell r="O220">
            <v>2</v>
          </cell>
          <cell r="AN220">
            <v>0.31475982413142367</v>
          </cell>
          <cell r="AO220">
            <v>0.31475982413142367</v>
          </cell>
          <cell r="AP220">
            <v>0.31475982413142367</v>
          </cell>
          <cell r="AZ220">
            <v>0.34</v>
          </cell>
          <cell r="BT220">
            <v>0</v>
          </cell>
          <cell r="BX220">
            <v>0</v>
          </cell>
          <cell r="CB220">
            <v>0</v>
          </cell>
          <cell r="CE220" t="str">
            <v>2LOCAL</v>
          </cell>
          <cell r="CF220" t="str">
            <v>2LOCAL</v>
          </cell>
          <cell r="CG220" t="str">
            <v>2LOCAL</v>
          </cell>
        </row>
        <row r="221">
          <cell r="O221">
            <v>2</v>
          </cell>
          <cell r="AN221">
            <v>0.22218340526924019</v>
          </cell>
          <cell r="AO221">
            <v>0.22218340526924019</v>
          </cell>
          <cell r="AP221">
            <v>0.22218340526924019</v>
          </cell>
          <cell r="AZ221">
            <v>0.24</v>
          </cell>
          <cell r="BT221">
            <v>0</v>
          </cell>
          <cell r="BX221">
            <v>0</v>
          </cell>
          <cell r="CB221">
            <v>0</v>
          </cell>
          <cell r="CE221" t="str">
            <v>2EU</v>
          </cell>
          <cell r="CF221" t="str">
            <v>2EU</v>
          </cell>
          <cell r="CG221" t="str">
            <v>2EU</v>
          </cell>
        </row>
        <row r="222">
          <cell r="O222">
            <v>2</v>
          </cell>
          <cell r="AN222">
            <v>0.49065501996957211</v>
          </cell>
          <cell r="AO222">
            <v>0.49065501996957211</v>
          </cell>
          <cell r="AP222">
            <v>0.49065501996957211</v>
          </cell>
          <cell r="AZ222">
            <v>0.53</v>
          </cell>
          <cell r="BT222">
            <v>0</v>
          </cell>
          <cell r="BX222">
            <v>0</v>
          </cell>
          <cell r="CB222">
            <v>0</v>
          </cell>
          <cell r="CE222" t="str">
            <v>2LOCAL</v>
          </cell>
          <cell r="CF222" t="str">
            <v>2LOCAL</v>
          </cell>
          <cell r="CG222" t="str">
            <v>2LOCAL</v>
          </cell>
        </row>
        <row r="223">
          <cell r="O223">
            <v>2</v>
          </cell>
          <cell r="AN223">
            <v>0.31475982413142367</v>
          </cell>
          <cell r="AO223">
            <v>0.31475982413142367</v>
          </cell>
          <cell r="AP223">
            <v>0.31475982413142367</v>
          </cell>
          <cell r="AZ223">
            <v>0.34</v>
          </cell>
          <cell r="BT223">
            <v>0</v>
          </cell>
          <cell r="BX223">
            <v>0</v>
          </cell>
          <cell r="CB223">
            <v>0</v>
          </cell>
          <cell r="CE223" t="str">
            <v>2LOCAL</v>
          </cell>
          <cell r="CF223" t="str">
            <v>2LOCAL</v>
          </cell>
          <cell r="CG223" t="str">
            <v>2LOCAL</v>
          </cell>
        </row>
        <row r="224">
          <cell r="O224">
            <v>2</v>
          </cell>
          <cell r="AN224">
            <v>2.1601164401176133E-2</v>
          </cell>
          <cell r="AO224">
            <v>2.1601164401176133E-2</v>
          </cell>
          <cell r="AP224">
            <v>2.1601164401176133E-2</v>
          </cell>
          <cell r="AZ224">
            <v>2.3333333333333334E-2</v>
          </cell>
          <cell r="BT224">
            <v>0</v>
          </cell>
          <cell r="BX224">
            <v>0</v>
          </cell>
          <cell r="CB224">
            <v>0</v>
          </cell>
          <cell r="CE224" t="str">
            <v>2EU</v>
          </cell>
          <cell r="CF224" t="str">
            <v>2EU</v>
          </cell>
          <cell r="CG224" t="str">
            <v>2EU</v>
          </cell>
        </row>
        <row r="225">
          <cell r="O225">
            <v>2</v>
          </cell>
          <cell r="AN225">
            <v>0.51842794562822714</v>
          </cell>
          <cell r="AO225">
            <v>0.51842794562822714</v>
          </cell>
          <cell r="AP225">
            <v>0.51842794562822714</v>
          </cell>
          <cell r="AZ225">
            <v>0.56000000000000005</v>
          </cell>
          <cell r="BT225">
            <v>0</v>
          </cell>
          <cell r="BX225">
            <v>0</v>
          </cell>
          <cell r="CB225">
            <v>0</v>
          </cell>
          <cell r="CE225" t="str">
            <v>2LOCAL</v>
          </cell>
          <cell r="CF225" t="str">
            <v>2LOCAL</v>
          </cell>
          <cell r="CG225" t="str">
            <v>2LOCAL</v>
          </cell>
        </row>
        <row r="226">
          <cell r="O226">
            <v>2</v>
          </cell>
          <cell r="AN226">
            <v>0.71283842523881236</v>
          </cell>
          <cell r="AO226">
            <v>0.71283842523881236</v>
          </cell>
          <cell r="AP226">
            <v>0.71283842523881236</v>
          </cell>
          <cell r="AZ226">
            <v>0.77</v>
          </cell>
          <cell r="BT226">
            <v>0</v>
          </cell>
          <cell r="BX226">
            <v>0</v>
          </cell>
          <cell r="CB226">
            <v>0</v>
          </cell>
          <cell r="CE226" t="str">
            <v>2LOCAL</v>
          </cell>
          <cell r="CF226" t="str">
            <v>2LOCAL</v>
          </cell>
          <cell r="CG226" t="str">
            <v>2LOCAL</v>
          </cell>
        </row>
        <row r="227">
          <cell r="O227">
            <v>2</v>
          </cell>
          <cell r="AN227">
            <v>2.0366812149680349E-2</v>
          </cell>
          <cell r="AO227">
            <v>2.0366812149680349E-2</v>
          </cell>
          <cell r="AP227">
            <v>2.0366812149680349E-2</v>
          </cell>
          <cell r="AZ227">
            <v>2.1999999999999999E-2</v>
          </cell>
          <cell r="BT227">
            <v>0</v>
          </cell>
          <cell r="BX227">
            <v>0</v>
          </cell>
          <cell r="CB227">
            <v>0</v>
          </cell>
          <cell r="CE227" t="str">
            <v>2EU</v>
          </cell>
          <cell r="CF227" t="str">
            <v>2EU</v>
          </cell>
          <cell r="CG227" t="str">
            <v>2EU</v>
          </cell>
        </row>
        <row r="228">
          <cell r="O228">
            <v>2</v>
          </cell>
          <cell r="AN228">
            <v>0</v>
          </cell>
          <cell r="AO228">
            <v>0</v>
          </cell>
          <cell r="AP228">
            <v>0</v>
          </cell>
          <cell r="AZ228">
            <v>0</v>
          </cell>
          <cell r="BT228">
            <v>0</v>
          </cell>
          <cell r="BX228">
            <v>0</v>
          </cell>
          <cell r="CB228">
            <v>0</v>
          </cell>
          <cell r="CE228" t="str">
            <v>2LOCAL</v>
          </cell>
          <cell r="CF228" t="str">
            <v>2LOCAL</v>
          </cell>
          <cell r="CG228" t="str">
            <v>2LOCAL</v>
          </cell>
        </row>
        <row r="229">
          <cell r="O229">
            <v>2</v>
          </cell>
          <cell r="AN229">
            <v>1.8237554515850134</v>
          </cell>
          <cell r="AO229">
            <v>1.8237554515850134</v>
          </cell>
          <cell r="AP229">
            <v>1.8237554515850134</v>
          </cell>
          <cell r="AZ229">
            <v>1.97</v>
          </cell>
          <cell r="BT229">
            <v>0</v>
          </cell>
          <cell r="BX229">
            <v>0</v>
          </cell>
          <cell r="CB229">
            <v>0</v>
          </cell>
          <cell r="CE229" t="str">
            <v>2LOCAL</v>
          </cell>
          <cell r="CF229" t="str">
            <v>2LOCAL</v>
          </cell>
          <cell r="CG229" t="str">
            <v>2LOCAL</v>
          </cell>
        </row>
        <row r="230">
          <cell r="O230">
            <v>2</v>
          </cell>
          <cell r="AN230">
            <v>2.0366812149680349E-2</v>
          </cell>
          <cell r="AO230">
            <v>2.0366812149680349E-2</v>
          </cell>
          <cell r="AP230">
            <v>2.0366812149680349E-2</v>
          </cell>
          <cell r="AZ230">
            <v>2.1999999999999999E-2</v>
          </cell>
          <cell r="BT230">
            <v>0</v>
          </cell>
          <cell r="BX230">
            <v>0</v>
          </cell>
          <cell r="CB230">
            <v>0</v>
          </cell>
          <cell r="CE230" t="str">
            <v>2EU</v>
          </cell>
          <cell r="CF230" t="str">
            <v>2EU</v>
          </cell>
          <cell r="CG230" t="str">
            <v>2EU</v>
          </cell>
        </row>
        <row r="231">
          <cell r="O231">
            <v>2</v>
          </cell>
          <cell r="AN231">
            <v>0.45362445242469873</v>
          </cell>
          <cell r="AO231">
            <v>0.45362445242469873</v>
          </cell>
          <cell r="AP231">
            <v>0.45362445242469873</v>
          </cell>
          <cell r="AZ231">
            <v>0.49</v>
          </cell>
          <cell r="BT231">
            <v>0</v>
          </cell>
          <cell r="BX231">
            <v>0</v>
          </cell>
          <cell r="CB231">
            <v>0</v>
          </cell>
          <cell r="CE231" t="str">
            <v>2LOCAL</v>
          </cell>
          <cell r="CF231" t="str">
            <v>2LOCAL</v>
          </cell>
          <cell r="CG231" t="str">
            <v>2LOCAL</v>
          </cell>
        </row>
        <row r="232">
          <cell r="O232">
            <v>2</v>
          </cell>
          <cell r="AN232">
            <v>1.8237554515850134</v>
          </cell>
          <cell r="AO232">
            <v>1.8237554515850134</v>
          </cell>
          <cell r="AP232">
            <v>1.8237554515850134</v>
          </cell>
          <cell r="AZ232">
            <v>1.97</v>
          </cell>
          <cell r="BT232">
            <v>0</v>
          </cell>
          <cell r="BX232">
            <v>0</v>
          </cell>
          <cell r="CB232">
            <v>0</v>
          </cell>
          <cell r="CE232" t="str">
            <v>2LOCAL</v>
          </cell>
          <cell r="CF232" t="str">
            <v>2LOCAL</v>
          </cell>
          <cell r="CG232" t="str">
            <v>2LOCAL</v>
          </cell>
        </row>
        <row r="233">
          <cell r="O233">
            <v>2</v>
          </cell>
          <cell r="AN233">
            <v>7.4061135089746738E-2</v>
          </cell>
          <cell r="AO233">
            <v>7.4061135089746738E-2</v>
          </cell>
          <cell r="AP233">
            <v>7.4061135089746738E-2</v>
          </cell>
          <cell r="AZ233">
            <v>0.08</v>
          </cell>
          <cell r="BT233">
            <v>7.4061135089746724E-2</v>
          </cell>
          <cell r="BX233">
            <v>7.4061135089746724E-2</v>
          </cell>
          <cell r="CB233">
            <v>7.4061135089746724E-2</v>
          </cell>
          <cell r="CE233" t="str">
            <v>2LOCAL</v>
          </cell>
          <cell r="CF233" t="str">
            <v>2LOCAL</v>
          </cell>
          <cell r="CG233" t="str">
            <v>2LOCAL</v>
          </cell>
        </row>
        <row r="234">
          <cell r="O234">
            <v>2</v>
          </cell>
          <cell r="AN234">
            <v>2.0366812149680349E-2</v>
          </cell>
          <cell r="AO234">
            <v>2.0366812149680349E-2</v>
          </cell>
          <cell r="AP234">
            <v>2.0366812149680349E-2</v>
          </cell>
          <cell r="AZ234">
            <v>2.1999999999999999E-2</v>
          </cell>
          <cell r="BT234">
            <v>0</v>
          </cell>
          <cell r="BX234">
            <v>0</v>
          </cell>
          <cell r="CB234">
            <v>0</v>
          </cell>
          <cell r="CE234" t="str">
            <v>2EU</v>
          </cell>
          <cell r="CF234" t="str">
            <v>2EU</v>
          </cell>
          <cell r="CG234" t="str">
            <v>2EU</v>
          </cell>
        </row>
        <row r="235">
          <cell r="O235">
            <v>2</v>
          </cell>
          <cell r="AN235">
            <v>0</v>
          </cell>
          <cell r="AO235">
            <v>0</v>
          </cell>
          <cell r="AP235">
            <v>0</v>
          </cell>
          <cell r="AZ235">
            <v>0</v>
          </cell>
          <cell r="BT235">
            <v>0</v>
          </cell>
          <cell r="BX235">
            <v>0</v>
          </cell>
          <cell r="CB235">
            <v>0</v>
          </cell>
          <cell r="CE235" t="str">
            <v>2LOCAL</v>
          </cell>
          <cell r="CF235" t="str">
            <v>2LOCAL</v>
          </cell>
          <cell r="CG235" t="str">
            <v>2LOCAL</v>
          </cell>
        </row>
        <row r="236">
          <cell r="O236">
            <v>2</v>
          </cell>
          <cell r="AN236">
            <v>0</v>
          </cell>
          <cell r="AO236">
            <v>0</v>
          </cell>
          <cell r="AP236">
            <v>0</v>
          </cell>
          <cell r="AZ236">
            <v>0</v>
          </cell>
          <cell r="BT236">
            <v>0</v>
          </cell>
          <cell r="BX236">
            <v>0</v>
          </cell>
          <cell r="CB236">
            <v>0</v>
          </cell>
          <cell r="CE236" t="str">
            <v>2LOCAL</v>
          </cell>
          <cell r="CF236" t="str">
            <v>2LOCAL</v>
          </cell>
          <cell r="CG236" t="str">
            <v>2LOCAL</v>
          </cell>
        </row>
        <row r="237">
          <cell r="O237">
            <v>2</v>
          </cell>
          <cell r="AN237">
            <v>0.36104803356251536</v>
          </cell>
          <cell r="AO237">
            <v>0.36104803356251536</v>
          </cell>
          <cell r="AP237">
            <v>0.36104803356251536</v>
          </cell>
          <cell r="AZ237">
            <v>0.39</v>
          </cell>
          <cell r="BT237">
            <v>0</v>
          </cell>
          <cell r="BX237">
            <v>0</v>
          </cell>
          <cell r="CB237">
            <v>0</v>
          </cell>
          <cell r="CE237" t="str">
            <v>2LOCAL</v>
          </cell>
          <cell r="CF237" t="str">
            <v>2LOCAL</v>
          </cell>
          <cell r="CG237" t="str">
            <v>2LOCAL</v>
          </cell>
        </row>
        <row r="238">
          <cell r="O238">
            <v>2</v>
          </cell>
          <cell r="AN238">
            <v>0</v>
          </cell>
          <cell r="AO238">
            <v>0</v>
          </cell>
          <cell r="AP238">
            <v>0</v>
          </cell>
          <cell r="AZ238">
            <v>0</v>
          </cell>
          <cell r="BT238">
            <v>0</v>
          </cell>
          <cell r="BX238">
            <v>0</v>
          </cell>
          <cell r="CB238">
            <v>0</v>
          </cell>
          <cell r="CE238" t="str">
            <v>2LOCAL</v>
          </cell>
          <cell r="CF238" t="str">
            <v>2LOCAL</v>
          </cell>
          <cell r="CG238" t="str">
            <v>2LOCAL</v>
          </cell>
        </row>
        <row r="239">
          <cell r="O239">
            <v>2</v>
          </cell>
          <cell r="AN239">
            <v>0</v>
          </cell>
          <cell r="AO239">
            <v>0</v>
          </cell>
          <cell r="AP239">
            <v>0</v>
          </cell>
          <cell r="AZ239">
            <v>0</v>
          </cell>
          <cell r="BT239">
            <v>0</v>
          </cell>
          <cell r="BX239">
            <v>0</v>
          </cell>
          <cell r="CB239">
            <v>0</v>
          </cell>
          <cell r="CE239" t="str">
            <v>2LOCAL</v>
          </cell>
          <cell r="CF239" t="str">
            <v>2LOCAL</v>
          </cell>
          <cell r="CG239" t="str">
            <v>2LOCAL</v>
          </cell>
        </row>
        <row r="240">
          <cell r="O240">
            <v>2</v>
          </cell>
          <cell r="AN240">
            <v>2.1601164401176133E-2</v>
          </cell>
          <cell r="AO240">
            <v>2.1601164401176133E-2</v>
          </cell>
          <cell r="AP240">
            <v>2.1601164401176133E-2</v>
          </cell>
          <cell r="AZ240">
            <v>2.3333333333333334E-2</v>
          </cell>
          <cell r="BT240">
            <v>0</v>
          </cell>
          <cell r="BX240">
            <v>0</v>
          </cell>
          <cell r="CB240">
            <v>0</v>
          </cell>
          <cell r="CE240" t="str">
            <v>2EU</v>
          </cell>
          <cell r="CF240" t="str">
            <v>2EU</v>
          </cell>
          <cell r="CG240" t="str">
            <v>2EU</v>
          </cell>
        </row>
        <row r="241">
          <cell r="O241">
            <v>2</v>
          </cell>
          <cell r="AN241">
            <v>0</v>
          </cell>
          <cell r="AO241">
            <v>0</v>
          </cell>
          <cell r="AP241">
            <v>0</v>
          </cell>
          <cell r="AZ241">
            <v>0</v>
          </cell>
          <cell r="BT241">
            <v>0</v>
          </cell>
          <cell r="BX241">
            <v>0</v>
          </cell>
          <cell r="CB241">
            <v>0</v>
          </cell>
          <cell r="CE241" t="str">
            <v>2EU</v>
          </cell>
          <cell r="CF241" t="str">
            <v>2EU</v>
          </cell>
          <cell r="CG241" t="str">
            <v>2EU</v>
          </cell>
        </row>
        <row r="242">
          <cell r="O242">
            <v>2</v>
          </cell>
          <cell r="AN242">
            <v>0</v>
          </cell>
          <cell r="AO242">
            <v>0</v>
          </cell>
          <cell r="AP242">
            <v>0</v>
          </cell>
          <cell r="AZ242">
            <v>0</v>
          </cell>
          <cell r="BT242">
            <v>0</v>
          </cell>
          <cell r="BX242">
            <v>0</v>
          </cell>
          <cell r="CB242">
            <v>0</v>
          </cell>
          <cell r="CE242" t="str">
            <v>2EU</v>
          </cell>
          <cell r="CF242" t="str">
            <v>2EU</v>
          </cell>
          <cell r="CG242" t="str">
            <v>2EU</v>
          </cell>
        </row>
        <row r="243">
          <cell r="O243">
            <v>2</v>
          </cell>
          <cell r="AN243">
            <v>3.7956331733495197</v>
          </cell>
          <cell r="AO243">
            <v>3.7956331733495197</v>
          </cell>
          <cell r="AP243">
            <v>3.7956331733495197</v>
          </cell>
          <cell r="AZ243">
            <v>4.0999999999999996</v>
          </cell>
          <cell r="BT243">
            <v>9.2322351302818184</v>
          </cell>
          <cell r="BX243">
            <v>9.2322351302818184</v>
          </cell>
          <cell r="CB243">
            <v>9.2322351302818184</v>
          </cell>
          <cell r="CE243" t="str">
            <v>2LOCAL</v>
          </cell>
          <cell r="CF243" t="str">
            <v>2LOCAL</v>
          </cell>
          <cell r="CG243" t="str">
            <v>2LOCAL</v>
          </cell>
        </row>
        <row r="244">
          <cell r="O244">
            <v>2</v>
          </cell>
          <cell r="AN244">
            <v>3.8511790246668305</v>
          </cell>
          <cell r="AO244">
            <v>3.8511790246668305</v>
          </cell>
          <cell r="AP244">
            <v>3.8511790246668305</v>
          </cell>
          <cell r="AZ244">
            <v>4.16</v>
          </cell>
          <cell r="BT244">
            <v>0</v>
          </cell>
          <cell r="BX244">
            <v>0</v>
          </cell>
          <cell r="CB244">
            <v>0</v>
          </cell>
          <cell r="CE244" t="str">
            <v>2LOCAL</v>
          </cell>
          <cell r="CF244" t="str">
            <v>2LOCAL</v>
          </cell>
          <cell r="CG244" t="str">
            <v>2LOCAL</v>
          </cell>
        </row>
        <row r="245">
          <cell r="O245">
            <v>2</v>
          </cell>
          <cell r="AN245">
            <v>0.66655021580772056</v>
          </cell>
          <cell r="AO245">
            <v>0.66655021580772056</v>
          </cell>
          <cell r="AP245">
            <v>0.66655021580772056</v>
          </cell>
          <cell r="AZ245">
            <v>0.72</v>
          </cell>
          <cell r="BT245">
            <v>0</v>
          </cell>
          <cell r="BX245">
            <v>0</v>
          </cell>
          <cell r="CB245">
            <v>0</v>
          </cell>
          <cell r="CE245" t="str">
            <v>2LOCAL</v>
          </cell>
          <cell r="CF245" t="str">
            <v>2LOCAL</v>
          </cell>
          <cell r="CG245" t="str">
            <v>2LOCAL</v>
          </cell>
        </row>
        <row r="246">
          <cell r="O246">
            <v>2</v>
          </cell>
          <cell r="AN246">
            <v>0.1679122658119741</v>
          </cell>
          <cell r="AO246">
            <v>0.1679122658119741</v>
          </cell>
          <cell r="AP246">
            <v>0.1679122658119741</v>
          </cell>
          <cell r="AZ246">
            <v>0.1813769293257515</v>
          </cell>
          <cell r="BT246">
            <v>0</v>
          </cell>
          <cell r="BX246">
            <v>0</v>
          </cell>
          <cell r="CB246">
            <v>0</v>
          </cell>
          <cell r="CE246" t="str">
            <v>2EU</v>
          </cell>
          <cell r="CF246" t="str">
            <v>2EU</v>
          </cell>
          <cell r="CG246" t="str">
            <v>2EU</v>
          </cell>
        </row>
        <row r="247">
          <cell r="O247">
            <v>2</v>
          </cell>
          <cell r="AN247">
            <v>3.2401746601764196E-2</v>
          </cell>
          <cell r="AO247">
            <v>3.2401746601764196E-2</v>
          </cell>
          <cell r="AP247">
            <v>3.2401746601764196E-2</v>
          </cell>
          <cell r="AZ247">
            <v>3.5000000000000003E-2</v>
          </cell>
          <cell r="BT247">
            <v>0</v>
          </cell>
          <cell r="BX247">
            <v>0</v>
          </cell>
          <cell r="CB247">
            <v>0</v>
          </cell>
          <cell r="CE247" t="str">
            <v>2EU</v>
          </cell>
          <cell r="CF247" t="str">
            <v>2EU</v>
          </cell>
          <cell r="CG247" t="str">
            <v>2EU</v>
          </cell>
        </row>
        <row r="248">
          <cell r="O248">
            <v>2</v>
          </cell>
          <cell r="AN248">
            <v>2.0829694243991268</v>
          </cell>
          <cell r="AO248">
            <v>2.0829694243991268</v>
          </cell>
          <cell r="AP248">
            <v>2.0829694243991268</v>
          </cell>
          <cell r="AZ248">
            <v>2.25</v>
          </cell>
          <cell r="BT248">
            <v>0</v>
          </cell>
          <cell r="BX248">
            <v>0</v>
          </cell>
          <cell r="CB248">
            <v>0</v>
          </cell>
          <cell r="CE248" t="str">
            <v>2LOCAL</v>
          </cell>
          <cell r="CF248" t="str">
            <v>2LOCAL</v>
          </cell>
          <cell r="CG248" t="str">
            <v>2LOCAL</v>
          </cell>
        </row>
        <row r="249">
          <cell r="O249">
            <v>2</v>
          </cell>
          <cell r="AN249">
            <v>3.2401746601764196E-2</v>
          </cell>
          <cell r="AO249">
            <v>3.2401746601764196E-2</v>
          </cell>
          <cell r="AP249">
            <v>3.2401746601764196E-2</v>
          </cell>
          <cell r="AZ249">
            <v>3.5000000000000003E-2</v>
          </cell>
          <cell r="BT249">
            <v>3.2401746601764196E-2</v>
          </cell>
          <cell r="BX249">
            <v>3.2401746601764196E-2</v>
          </cell>
          <cell r="CB249">
            <v>3.2401746601764196E-2</v>
          </cell>
          <cell r="CE249" t="str">
            <v>2LOCAL</v>
          </cell>
          <cell r="CF249" t="str">
            <v>2LOCAL</v>
          </cell>
          <cell r="CG249" t="str">
            <v>2LOCAL</v>
          </cell>
        </row>
        <row r="250">
          <cell r="O250">
            <v>2</v>
          </cell>
          <cell r="AN250">
            <v>0</v>
          </cell>
          <cell r="AO250">
            <v>0</v>
          </cell>
          <cell r="AP250">
            <v>0</v>
          </cell>
          <cell r="AZ250">
            <v>0</v>
          </cell>
          <cell r="BT250">
            <v>0</v>
          </cell>
          <cell r="BX250">
            <v>0</v>
          </cell>
          <cell r="CB250">
            <v>0</v>
          </cell>
          <cell r="CE250" t="str">
            <v>2LOCAL</v>
          </cell>
          <cell r="CF250" t="str">
            <v>2LOCAL</v>
          </cell>
          <cell r="CG250" t="str">
            <v>2LOCAL</v>
          </cell>
        </row>
        <row r="251">
          <cell r="O251">
            <v>2</v>
          </cell>
          <cell r="AN251">
            <v>2.0366812149680349E-2</v>
          </cell>
          <cell r="AO251">
            <v>2.0366812149680349E-2</v>
          </cell>
          <cell r="AP251">
            <v>2.0366812149680349E-2</v>
          </cell>
          <cell r="AZ251">
            <v>2.1999999999999999E-2</v>
          </cell>
          <cell r="BT251">
            <v>0</v>
          </cell>
          <cell r="BX251">
            <v>0</v>
          </cell>
          <cell r="CB251">
            <v>0</v>
          </cell>
          <cell r="CE251" t="str">
            <v>2EU</v>
          </cell>
          <cell r="CF251" t="str">
            <v>2EU</v>
          </cell>
          <cell r="CG251" t="str">
            <v>2EU</v>
          </cell>
        </row>
        <row r="252">
          <cell r="O252">
            <v>2</v>
          </cell>
          <cell r="AN252">
            <v>0</v>
          </cell>
          <cell r="AO252">
            <v>0</v>
          </cell>
          <cell r="AP252">
            <v>0</v>
          </cell>
          <cell r="AZ252">
            <v>0</v>
          </cell>
          <cell r="BT252">
            <v>0</v>
          </cell>
          <cell r="BX252">
            <v>0</v>
          </cell>
          <cell r="CB252">
            <v>0</v>
          </cell>
          <cell r="CE252" t="str">
            <v>2EU</v>
          </cell>
          <cell r="CF252" t="str">
            <v>2EU</v>
          </cell>
          <cell r="CG252" t="str">
            <v>2EU</v>
          </cell>
        </row>
        <row r="253">
          <cell r="O253">
            <v>2</v>
          </cell>
          <cell r="AN253">
            <v>0</v>
          </cell>
          <cell r="AO253">
            <v>0</v>
          </cell>
          <cell r="AP253">
            <v>0</v>
          </cell>
          <cell r="AZ253">
            <v>0</v>
          </cell>
          <cell r="BT253">
            <v>0</v>
          </cell>
          <cell r="BX253">
            <v>0</v>
          </cell>
          <cell r="CB253">
            <v>0</v>
          </cell>
          <cell r="CE253" t="str">
            <v>2EU</v>
          </cell>
          <cell r="CF253" t="str">
            <v>2EU</v>
          </cell>
          <cell r="CG253" t="str">
            <v>2EU</v>
          </cell>
        </row>
        <row r="254">
          <cell r="O254">
            <v>2</v>
          </cell>
          <cell r="AN254">
            <v>3.7956331733495197</v>
          </cell>
          <cell r="AO254">
            <v>3.7956331733495197</v>
          </cell>
          <cell r="AP254">
            <v>3.7956331733495197</v>
          </cell>
          <cell r="AZ254">
            <v>4.0999999999999996</v>
          </cell>
          <cell r="BT254">
            <v>9.2322351302818184</v>
          </cell>
          <cell r="BX254">
            <v>9.2322351302818184</v>
          </cell>
          <cell r="CB254">
            <v>9.2322351302818184</v>
          </cell>
          <cell r="CE254" t="str">
            <v>2LOCAL</v>
          </cell>
          <cell r="CF254" t="str">
            <v>2LOCAL</v>
          </cell>
          <cell r="CG254" t="str">
            <v>2LOCAL</v>
          </cell>
        </row>
        <row r="255">
          <cell r="O255">
            <v>2</v>
          </cell>
          <cell r="AN255">
            <v>3.8419213827806122</v>
          </cell>
          <cell r="AO255">
            <v>3.8419213827806122</v>
          </cell>
          <cell r="AP255">
            <v>3.8419213827806122</v>
          </cell>
          <cell r="AZ255">
            <v>4.1500000000000004</v>
          </cell>
          <cell r="BT255">
            <v>0</v>
          </cell>
          <cell r="BX255">
            <v>0</v>
          </cell>
          <cell r="CB255">
            <v>0</v>
          </cell>
          <cell r="CE255" t="str">
            <v>2LOCAL</v>
          </cell>
          <cell r="CF255" t="str">
            <v>2LOCAL</v>
          </cell>
          <cell r="CG255" t="str">
            <v>2LOCAL</v>
          </cell>
        </row>
        <row r="256">
          <cell r="O256">
            <v>2</v>
          </cell>
          <cell r="AN256">
            <v>0.66655021580772056</v>
          </cell>
          <cell r="AO256">
            <v>0.66655021580772056</v>
          </cell>
          <cell r="AP256">
            <v>0.66655021580772056</v>
          </cell>
          <cell r="AZ256">
            <v>0.72</v>
          </cell>
          <cell r="BT256">
            <v>0</v>
          </cell>
          <cell r="BX256">
            <v>0</v>
          </cell>
          <cell r="CB256">
            <v>0</v>
          </cell>
          <cell r="CE256" t="str">
            <v>2LOCAL</v>
          </cell>
          <cell r="CF256" t="str">
            <v>2LOCAL</v>
          </cell>
          <cell r="CG256" t="str">
            <v>2LOCAL</v>
          </cell>
        </row>
        <row r="257">
          <cell r="O257">
            <v>2</v>
          </cell>
          <cell r="AN257">
            <v>0.1679122658119741</v>
          </cell>
          <cell r="AO257">
            <v>0.1679122658119741</v>
          </cell>
          <cell r="AP257">
            <v>0.1679122658119741</v>
          </cell>
          <cell r="AZ257">
            <v>0.1813769293257515</v>
          </cell>
          <cell r="BT257">
            <v>0</v>
          </cell>
          <cell r="BX257">
            <v>0</v>
          </cell>
          <cell r="CB257">
            <v>0</v>
          </cell>
          <cell r="CE257" t="str">
            <v>2EU</v>
          </cell>
          <cell r="CF257" t="str">
            <v>2EU</v>
          </cell>
          <cell r="CG257" t="str">
            <v>2EU</v>
          </cell>
        </row>
        <row r="258">
          <cell r="O258">
            <v>2</v>
          </cell>
          <cell r="AN258">
            <v>3.2401746601764196E-2</v>
          </cell>
          <cell r="AO258">
            <v>3.2401746601764196E-2</v>
          </cell>
          <cell r="AP258">
            <v>3.2401746601764196E-2</v>
          </cell>
          <cell r="AZ258">
            <v>3.5000000000000003E-2</v>
          </cell>
          <cell r="BT258">
            <v>0</v>
          </cell>
          <cell r="BX258">
            <v>0</v>
          </cell>
          <cell r="CB258">
            <v>0</v>
          </cell>
          <cell r="CE258" t="str">
            <v>2EU</v>
          </cell>
          <cell r="CF258" t="str">
            <v>2EU</v>
          </cell>
          <cell r="CG258" t="str">
            <v>2EU</v>
          </cell>
        </row>
        <row r="259">
          <cell r="O259">
            <v>2</v>
          </cell>
          <cell r="AN259">
            <v>2.092227066285345</v>
          </cell>
          <cell r="AO259">
            <v>2.092227066285345</v>
          </cell>
          <cell r="AP259">
            <v>2.092227066285345</v>
          </cell>
          <cell r="AZ259">
            <v>2.2599999999999998</v>
          </cell>
          <cell r="BT259">
            <v>0</v>
          </cell>
          <cell r="BX259">
            <v>0</v>
          </cell>
          <cell r="CB259">
            <v>0</v>
          </cell>
          <cell r="CE259" t="str">
            <v>2LOCAL</v>
          </cell>
          <cell r="CF259" t="str">
            <v>2LOCAL</v>
          </cell>
          <cell r="CG259" t="str">
            <v>2LOCAL</v>
          </cell>
        </row>
        <row r="260">
          <cell r="O260">
            <v>2</v>
          </cell>
          <cell r="AN260">
            <v>3.2401746601764196E-2</v>
          </cell>
          <cell r="AO260">
            <v>3.2401746601764196E-2</v>
          </cell>
          <cell r="AP260">
            <v>3.2401746601764196E-2</v>
          </cell>
          <cell r="AZ260">
            <v>3.5000000000000003E-2</v>
          </cell>
          <cell r="BT260">
            <v>0</v>
          </cell>
          <cell r="BX260">
            <v>0</v>
          </cell>
          <cell r="CB260">
            <v>0</v>
          </cell>
          <cell r="CE260" t="str">
            <v>2EU</v>
          </cell>
          <cell r="CF260" t="str">
            <v>2EU</v>
          </cell>
          <cell r="CG260" t="str">
            <v>2EU</v>
          </cell>
        </row>
        <row r="261">
          <cell r="O261">
            <v>2</v>
          </cell>
          <cell r="AN261">
            <v>0</v>
          </cell>
          <cell r="AO261">
            <v>0</v>
          </cell>
          <cell r="AP261">
            <v>0</v>
          </cell>
          <cell r="AZ261">
            <v>0</v>
          </cell>
          <cell r="BT261">
            <v>0</v>
          </cell>
          <cell r="BX261">
            <v>0</v>
          </cell>
          <cell r="CB261">
            <v>0</v>
          </cell>
          <cell r="CE261" t="str">
            <v>2LOCAL</v>
          </cell>
          <cell r="CF261" t="str">
            <v>2LOCAL</v>
          </cell>
          <cell r="CG261" t="str">
            <v>2LOCAL</v>
          </cell>
        </row>
        <row r="262">
          <cell r="O262">
            <v>2</v>
          </cell>
          <cell r="AN262">
            <v>2.0366812149680349E-2</v>
          </cell>
          <cell r="AO262">
            <v>2.0366812149680349E-2</v>
          </cell>
          <cell r="AP262">
            <v>2.0366812149680349E-2</v>
          </cell>
          <cell r="AZ262">
            <v>2.1999999999999999E-2</v>
          </cell>
          <cell r="BT262">
            <v>0</v>
          </cell>
          <cell r="BX262">
            <v>0</v>
          </cell>
          <cell r="CB262">
            <v>0</v>
          </cell>
          <cell r="CE262" t="str">
            <v>2EU</v>
          </cell>
          <cell r="CF262" t="str">
            <v>2EU</v>
          </cell>
          <cell r="CG262" t="str">
            <v>2EU</v>
          </cell>
        </row>
        <row r="263">
          <cell r="O263">
            <v>2</v>
          </cell>
          <cell r="AN263">
            <v>0</v>
          </cell>
          <cell r="AO263">
            <v>0</v>
          </cell>
          <cell r="AP263">
            <v>0</v>
          </cell>
          <cell r="AZ263">
            <v>0</v>
          </cell>
          <cell r="BT263">
            <v>0</v>
          </cell>
          <cell r="BX263">
            <v>0</v>
          </cell>
          <cell r="CB263">
            <v>0</v>
          </cell>
          <cell r="CE263" t="str">
            <v>2EU</v>
          </cell>
          <cell r="CF263" t="str">
            <v>2EU</v>
          </cell>
          <cell r="CG263" t="str">
            <v>2EU</v>
          </cell>
        </row>
        <row r="264">
          <cell r="O264">
            <v>2</v>
          </cell>
          <cell r="AN264">
            <v>0.77764191844234065</v>
          </cell>
          <cell r="AO264">
            <v>0.77764191844234065</v>
          </cell>
          <cell r="AP264">
            <v>0.77764191844234065</v>
          </cell>
          <cell r="AZ264">
            <v>0.84</v>
          </cell>
          <cell r="BT264">
            <v>0.58929160406054171</v>
          </cell>
          <cell r="BX264">
            <v>0.58929160406054171</v>
          </cell>
          <cell r="CB264">
            <v>0.58929160406054171</v>
          </cell>
          <cell r="CE264" t="str">
            <v>2LOCAL</v>
          </cell>
          <cell r="CF264" t="str">
            <v>2LOCAL</v>
          </cell>
          <cell r="CG264" t="str">
            <v>2LOCAL</v>
          </cell>
        </row>
        <row r="265">
          <cell r="O265">
            <v>2</v>
          </cell>
          <cell r="AN265">
            <v>0.31475982413142367</v>
          </cell>
          <cell r="AO265">
            <v>0.31475982413142367</v>
          </cell>
          <cell r="AP265">
            <v>0.31475982413142367</v>
          </cell>
          <cell r="AZ265">
            <v>0.34</v>
          </cell>
          <cell r="BT265">
            <v>0.31475982413142362</v>
          </cell>
          <cell r="BX265">
            <v>0.31475982413142362</v>
          </cell>
          <cell r="CB265">
            <v>0.31475982413142362</v>
          </cell>
          <cell r="CE265" t="str">
            <v>2LOCAL</v>
          </cell>
          <cell r="CF265" t="str">
            <v>2LOCAL</v>
          </cell>
          <cell r="CG265" t="str">
            <v>2LOCAL</v>
          </cell>
        </row>
        <row r="266">
          <cell r="O266">
            <v>2</v>
          </cell>
          <cell r="AN266">
            <v>0.78689956032855901</v>
          </cell>
          <cell r="AO266">
            <v>0.78689956032855901</v>
          </cell>
          <cell r="AP266">
            <v>0.78689956032855901</v>
          </cell>
          <cell r="AZ266">
            <v>0.85</v>
          </cell>
          <cell r="BT266">
            <v>0.78689956032855901</v>
          </cell>
          <cell r="BX266">
            <v>0.78689956032855901</v>
          </cell>
          <cell r="CB266">
            <v>0.78689956032855901</v>
          </cell>
          <cell r="CE266" t="str">
            <v>2LOCAL</v>
          </cell>
          <cell r="CF266" t="str">
            <v>2LOCAL</v>
          </cell>
          <cell r="CG266" t="str">
            <v>2LOCAL</v>
          </cell>
        </row>
        <row r="267">
          <cell r="O267">
            <v>2</v>
          </cell>
          <cell r="AN267">
            <v>0.78689956032855901</v>
          </cell>
          <cell r="AO267">
            <v>0.78689956032855901</v>
          </cell>
          <cell r="AP267">
            <v>0.78689956032855901</v>
          </cell>
          <cell r="AZ267">
            <v>0.85</v>
          </cell>
          <cell r="BT267">
            <v>0.78689956032855901</v>
          </cell>
          <cell r="BX267">
            <v>0.78689956032855901</v>
          </cell>
          <cell r="CB267">
            <v>0.78689956032855901</v>
          </cell>
          <cell r="CE267" t="str">
            <v>2LOCAL</v>
          </cell>
          <cell r="CF267" t="str">
            <v>2LOCAL</v>
          </cell>
          <cell r="CG267" t="str">
            <v>2LOCAL</v>
          </cell>
        </row>
        <row r="268">
          <cell r="O268">
            <v>2</v>
          </cell>
          <cell r="AN268">
            <v>0</v>
          </cell>
          <cell r="AO268">
            <v>0</v>
          </cell>
          <cell r="AP268">
            <v>0</v>
          </cell>
          <cell r="AZ268">
            <v>0</v>
          </cell>
          <cell r="BT268">
            <v>0</v>
          </cell>
          <cell r="BX268">
            <v>0</v>
          </cell>
          <cell r="CB268">
            <v>0</v>
          </cell>
          <cell r="CE268" t="str">
            <v>2EU</v>
          </cell>
          <cell r="CF268" t="str">
            <v>2EU</v>
          </cell>
          <cell r="CG268" t="str">
            <v>2EU</v>
          </cell>
        </row>
        <row r="269">
          <cell r="O269">
            <v>2</v>
          </cell>
          <cell r="AN269">
            <v>0</v>
          </cell>
          <cell r="AO269">
            <v>0</v>
          </cell>
          <cell r="AP269">
            <v>0</v>
          </cell>
          <cell r="AZ269">
            <v>0</v>
          </cell>
          <cell r="BT269">
            <v>0</v>
          </cell>
          <cell r="BX269">
            <v>0</v>
          </cell>
          <cell r="CB269">
            <v>0</v>
          </cell>
          <cell r="CE269" t="str">
            <v>2EU</v>
          </cell>
          <cell r="CF269" t="str">
            <v>2EU</v>
          </cell>
          <cell r="CG269" t="str">
            <v>2EU</v>
          </cell>
        </row>
        <row r="270">
          <cell r="O270">
            <v>3</v>
          </cell>
          <cell r="AN270">
            <v>0</v>
          </cell>
          <cell r="AO270">
            <v>0</v>
          </cell>
          <cell r="AP270">
            <v>0</v>
          </cell>
          <cell r="AZ270">
            <v>0</v>
          </cell>
          <cell r="BT270">
            <v>0</v>
          </cell>
          <cell r="BX270">
            <v>0</v>
          </cell>
          <cell r="CB270">
            <v>0</v>
          </cell>
          <cell r="CE270" t="str">
            <v>3EU</v>
          </cell>
          <cell r="CF270" t="str">
            <v>3EU</v>
          </cell>
          <cell r="CG270" t="str">
            <v>3EU</v>
          </cell>
        </row>
        <row r="271">
          <cell r="O271">
            <v>3</v>
          </cell>
          <cell r="AN271">
            <v>0</v>
          </cell>
          <cell r="AO271">
            <v>0</v>
          </cell>
          <cell r="AP271">
            <v>0</v>
          </cell>
          <cell r="AZ271">
            <v>0</v>
          </cell>
          <cell r="BT271">
            <v>0</v>
          </cell>
          <cell r="BX271">
            <v>0</v>
          </cell>
          <cell r="CB271">
            <v>0</v>
          </cell>
          <cell r="CE271" t="str">
            <v>3EU</v>
          </cell>
          <cell r="CF271" t="str">
            <v>3EU</v>
          </cell>
          <cell r="CG271" t="str">
            <v>3EU</v>
          </cell>
        </row>
        <row r="272">
          <cell r="O272">
            <v>3</v>
          </cell>
          <cell r="AN272">
            <v>1.62</v>
          </cell>
          <cell r="AO272">
            <v>1.62</v>
          </cell>
          <cell r="AP272">
            <v>1.62</v>
          </cell>
          <cell r="AZ272">
            <v>1.62</v>
          </cell>
          <cell r="BT272">
            <v>0.89126690365375449</v>
          </cell>
          <cell r="BX272">
            <v>0.89126690365375449</v>
          </cell>
          <cell r="CB272">
            <v>0.89126690365375449</v>
          </cell>
          <cell r="CE272" t="str">
            <v>3LOCAL</v>
          </cell>
          <cell r="CF272" t="str">
            <v>3LOCAL</v>
          </cell>
          <cell r="CG272" t="str">
            <v>3LOCAL</v>
          </cell>
        </row>
        <row r="273">
          <cell r="O273">
            <v>3</v>
          </cell>
          <cell r="AN273">
            <v>0</v>
          </cell>
          <cell r="AO273">
            <v>0</v>
          </cell>
          <cell r="AP273">
            <v>0</v>
          </cell>
          <cell r="AZ273">
            <v>0</v>
          </cell>
          <cell r="BT273">
            <v>0</v>
          </cell>
          <cell r="BX273">
            <v>0</v>
          </cell>
          <cell r="CB273">
            <v>0</v>
          </cell>
          <cell r="CE273" t="str">
            <v>3LOCAL</v>
          </cell>
          <cell r="CF273" t="str">
            <v>3LOCAL</v>
          </cell>
          <cell r="CG273" t="str">
            <v>3LOCAL</v>
          </cell>
        </row>
        <row r="274">
          <cell r="O274">
            <v>3</v>
          </cell>
          <cell r="AN274">
            <v>0</v>
          </cell>
          <cell r="AO274">
            <v>0</v>
          </cell>
          <cell r="AP274">
            <v>0</v>
          </cell>
          <cell r="AZ274">
            <v>0</v>
          </cell>
          <cell r="BT274">
            <v>0</v>
          </cell>
          <cell r="BX274">
            <v>0</v>
          </cell>
          <cell r="CB274">
            <v>0</v>
          </cell>
          <cell r="CE274" t="str">
            <v>3LOCAL</v>
          </cell>
          <cell r="CF274" t="str">
            <v>3LOCAL</v>
          </cell>
          <cell r="CG274" t="str">
            <v>3LOCAL</v>
          </cell>
        </row>
        <row r="275">
          <cell r="O275">
            <v>3</v>
          </cell>
          <cell r="AN275">
            <v>0</v>
          </cell>
          <cell r="AO275">
            <v>0</v>
          </cell>
          <cell r="AP275">
            <v>0</v>
          </cell>
          <cell r="AZ275">
            <v>0</v>
          </cell>
          <cell r="BT275">
            <v>0</v>
          </cell>
          <cell r="BX275">
            <v>0</v>
          </cell>
          <cell r="CB275">
            <v>0</v>
          </cell>
          <cell r="CE275" t="str">
            <v>3LOCAL</v>
          </cell>
          <cell r="CF275" t="str">
            <v>3LOCAL</v>
          </cell>
          <cell r="CG275" t="str">
            <v>3LOCAL</v>
          </cell>
        </row>
        <row r="276">
          <cell r="O276">
            <v>3</v>
          </cell>
          <cell r="AN276">
            <v>4.1659388487982535E-2</v>
          </cell>
          <cell r="AO276">
            <v>4.1659388487982535E-2</v>
          </cell>
          <cell r="AP276">
            <v>4.1659388487982535E-2</v>
          </cell>
          <cell r="AZ276">
            <v>4.4999999999999998E-2</v>
          </cell>
          <cell r="BT276">
            <v>4.1659388487982535E-2</v>
          </cell>
          <cell r="BX276">
            <v>4.1659388487982535E-2</v>
          </cell>
          <cell r="CB276">
            <v>4.1659388487982535E-2</v>
          </cell>
          <cell r="CE276" t="str">
            <v>3LOCAL</v>
          </cell>
          <cell r="CF276" t="str">
            <v>3LOCAL</v>
          </cell>
          <cell r="CG276" t="str">
            <v>3LOCAL</v>
          </cell>
        </row>
        <row r="277">
          <cell r="O277">
            <v>3</v>
          </cell>
          <cell r="AN277">
            <v>1.0461135331426725</v>
          </cell>
          <cell r="AO277">
            <v>1.0461135331426725</v>
          </cell>
          <cell r="AP277">
            <v>1.0461135331426725</v>
          </cell>
          <cell r="AZ277">
            <v>1.1299999999999999</v>
          </cell>
          <cell r="BT277">
            <v>0</v>
          </cell>
          <cell r="BX277">
            <v>0</v>
          </cell>
          <cell r="CB277">
            <v>0</v>
          </cell>
          <cell r="CE277" t="str">
            <v>3EU</v>
          </cell>
          <cell r="CF277" t="str">
            <v>3EU</v>
          </cell>
          <cell r="CG277" t="str">
            <v>3EU</v>
          </cell>
        </row>
        <row r="278">
          <cell r="O278">
            <v>3</v>
          </cell>
          <cell r="AN278">
            <v>0</v>
          </cell>
          <cell r="AO278">
            <v>0</v>
          </cell>
          <cell r="AP278">
            <v>0</v>
          </cell>
          <cell r="AZ278">
            <v>0</v>
          </cell>
          <cell r="BT278">
            <v>0</v>
          </cell>
          <cell r="BX278">
            <v>0</v>
          </cell>
          <cell r="CB278">
            <v>0</v>
          </cell>
          <cell r="CE278" t="str">
            <v>3LOCAL</v>
          </cell>
          <cell r="CF278" t="str">
            <v>3LOCAL</v>
          </cell>
          <cell r="CG278" t="str">
            <v>3LOCAL</v>
          </cell>
        </row>
        <row r="279">
          <cell r="O279">
            <v>3</v>
          </cell>
          <cell r="AN279">
            <v>0</v>
          </cell>
          <cell r="AO279">
            <v>0</v>
          </cell>
          <cell r="AP279">
            <v>0</v>
          </cell>
          <cell r="AZ279">
            <v>0</v>
          </cell>
          <cell r="BT279">
            <v>0</v>
          </cell>
          <cell r="BX279">
            <v>0</v>
          </cell>
          <cell r="CB279">
            <v>0</v>
          </cell>
          <cell r="CE279" t="str">
            <v>3LOCAL</v>
          </cell>
          <cell r="CF279" t="str">
            <v>3LOCAL</v>
          </cell>
          <cell r="CG279" t="str">
            <v>3LOCAL</v>
          </cell>
        </row>
        <row r="280">
          <cell r="O280">
            <v>3</v>
          </cell>
          <cell r="AN280">
            <v>4.1659388487982535E-2</v>
          </cell>
          <cell r="AO280">
            <v>4.1659388487982535E-2</v>
          </cell>
          <cell r="AP280">
            <v>4.1659388487982535E-2</v>
          </cell>
          <cell r="AZ280">
            <v>4.4999999999999998E-2</v>
          </cell>
          <cell r="BT280">
            <v>4.1659388487982535E-2</v>
          </cell>
          <cell r="BX280">
            <v>4.1659388487982535E-2</v>
          </cell>
          <cell r="CB280">
            <v>4.1659388487982535E-2</v>
          </cell>
          <cell r="CE280" t="str">
            <v>3LOCAL</v>
          </cell>
          <cell r="CF280" t="str">
            <v>3LOCAL</v>
          </cell>
          <cell r="CG280" t="str">
            <v>3LOCAL</v>
          </cell>
        </row>
        <row r="281">
          <cell r="O281">
            <v>3</v>
          </cell>
          <cell r="AN281">
            <v>0.22388302108263203</v>
          </cell>
          <cell r="AO281">
            <v>0.22388302108263203</v>
          </cell>
          <cell r="AP281">
            <v>0.22388302108263203</v>
          </cell>
          <cell r="AZ281">
            <v>0.24183590576766856</v>
          </cell>
          <cell r="BT281">
            <v>0.83263092315021803</v>
          </cell>
          <cell r="BX281">
            <v>0.83263092315021803</v>
          </cell>
          <cell r="CB281">
            <v>0.83263092315021803</v>
          </cell>
          <cell r="CE281" t="str">
            <v>3LOCAL</v>
          </cell>
          <cell r="CF281" t="str">
            <v>3LOCAL</v>
          </cell>
          <cell r="CG281" t="str">
            <v>3LOCAL</v>
          </cell>
        </row>
        <row r="282">
          <cell r="O282">
            <v>3</v>
          </cell>
          <cell r="AN282">
            <v>0.34253274979007864</v>
          </cell>
          <cell r="AO282">
            <v>0.34253274979007864</v>
          </cell>
          <cell r="AP282">
            <v>0.34253274979007864</v>
          </cell>
          <cell r="AZ282">
            <v>0.37</v>
          </cell>
          <cell r="BT282">
            <v>0</v>
          </cell>
          <cell r="BX282">
            <v>0</v>
          </cell>
          <cell r="CB282">
            <v>0</v>
          </cell>
          <cell r="CE282" t="str">
            <v>3LOCAL</v>
          </cell>
          <cell r="CF282" t="str">
            <v>3LOCAL</v>
          </cell>
          <cell r="CG282" t="str">
            <v>3LOCAL</v>
          </cell>
        </row>
        <row r="283">
          <cell r="O283">
            <v>3</v>
          </cell>
          <cell r="AN283">
            <v>2.1601164401176133E-2</v>
          </cell>
          <cell r="AO283">
            <v>2.1601164401176133E-2</v>
          </cell>
          <cell r="AP283">
            <v>2.1601164401176133E-2</v>
          </cell>
          <cell r="AZ283">
            <v>2.3333333333333334E-2</v>
          </cell>
          <cell r="BT283">
            <v>0</v>
          </cell>
          <cell r="BX283">
            <v>0</v>
          </cell>
          <cell r="CB283">
            <v>0</v>
          </cell>
          <cell r="CE283" t="str">
            <v>3LOCAL</v>
          </cell>
          <cell r="CF283" t="str">
            <v>3LOCAL</v>
          </cell>
          <cell r="CG283" t="str">
            <v>3LOCAL</v>
          </cell>
        </row>
        <row r="284">
          <cell r="O284">
            <v>3</v>
          </cell>
          <cell r="AN284">
            <v>0.22388302108263203</v>
          </cell>
          <cell r="AO284">
            <v>0.22388302108263203</v>
          </cell>
          <cell r="AP284">
            <v>0.22388302108263203</v>
          </cell>
          <cell r="AZ284">
            <v>0.24183590576766856</v>
          </cell>
          <cell r="BT284">
            <v>0.83263092315021803</v>
          </cell>
          <cell r="BX284">
            <v>0.83263092315021803</v>
          </cell>
          <cell r="CB284">
            <v>0.83263092315021803</v>
          </cell>
          <cell r="CE284" t="str">
            <v>3LOCAL</v>
          </cell>
          <cell r="CF284" t="str">
            <v>3LOCAL</v>
          </cell>
          <cell r="CG284" t="str">
            <v>3LOCAL</v>
          </cell>
        </row>
        <row r="285">
          <cell r="O285">
            <v>3</v>
          </cell>
          <cell r="AN285">
            <v>0.34253274979007864</v>
          </cell>
          <cell r="AO285">
            <v>0.34253274979007864</v>
          </cell>
          <cell r="AP285">
            <v>0.34253274979007864</v>
          </cell>
          <cell r="AZ285">
            <v>0.77144999999999997</v>
          </cell>
          <cell r="BT285">
            <v>0</v>
          </cell>
          <cell r="BX285">
            <v>0</v>
          </cell>
          <cell r="CB285">
            <v>0</v>
          </cell>
          <cell r="CE285" t="str">
            <v>3EU</v>
          </cell>
          <cell r="CF285" t="str">
            <v>3EU</v>
          </cell>
          <cell r="CG285" t="str">
            <v>3EU</v>
          </cell>
        </row>
        <row r="286">
          <cell r="O286">
            <v>3</v>
          </cell>
          <cell r="AN286">
            <v>2.1601164401176133E-2</v>
          </cell>
          <cell r="AO286">
            <v>2.1601164401176133E-2</v>
          </cell>
          <cell r="AP286">
            <v>2.1601164401176133E-2</v>
          </cell>
          <cell r="AZ286">
            <v>2.3333333333333334E-2</v>
          </cell>
          <cell r="BT286">
            <v>0</v>
          </cell>
          <cell r="BX286">
            <v>0</v>
          </cell>
          <cell r="CB286">
            <v>0</v>
          </cell>
          <cell r="CE286" t="str">
            <v>3LOCAL</v>
          </cell>
          <cell r="CF286" t="str">
            <v>3LOCAL</v>
          </cell>
          <cell r="CG286" t="str">
            <v>3LOCAL</v>
          </cell>
        </row>
        <row r="287">
          <cell r="O287">
            <v>3</v>
          </cell>
          <cell r="AN287">
            <v>0</v>
          </cell>
          <cell r="AO287">
            <v>0</v>
          </cell>
          <cell r="AP287">
            <v>0</v>
          </cell>
          <cell r="AZ287">
            <v>0</v>
          </cell>
          <cell r="BT287">
            <v>0</v>
          </cell>
          <cell r="BX287">
            <v>0</v>
          </cell>
          <cell r="CB287">
            <v>0</v>
          </cell>
          <cell r="CE287" t="str">
            <v>3EU</v>
          </cell>
          <cell r="CF287" t="str">
            <v>3EU</v>
          </cell>
          <cell r="CG287" t="str">
            <v>3EU</v>
          </cell>
        </row>
        <row r="288">
          <cell r="O288">
            <v>3</v>
          </cell>
          <cell r="AN288">
            <v>0</v>
          </cell>
          <cell r="AO288">
            <v>0</v>
          </cell>
          <cell r="AP288">
            <v>0</v>
          </cell>
          <cell r="AZ288">
            <v>0</v>
          </cell>
          <cell r="BT288">
            <v>0</v>
          </cell>
          <cell r="BX288">
            <v>0</v>
          </cell>
          <cell r="CB288">
            <v>0</v>
          </cell>
          <cell r="CE288" t="str">
            <v>3EU</v>
          </cell>
          <cell r="CF288" t="str">
            <v>3EU</v>
          </cell>
          <cell r="CG288" t="str">
            <v>3EU</v>
          </cell>
        </row>
        <row r="289">
          <cell r="O289">
            <v>3</v>
          </cell>
          <cell r="AN289">
            <v>0.57397379694553718</v>
          </cell>
          <cell r="AO289">
            <v>0.57397379694553718</v>
          </cell>
          <cell r="AP289">
            <v>0.57397379694553718</v>
          </cell>
          <cell r="AZ289">
            <v>0.62</v>
          </cell>
          <cell r="BT289">
            <v>0</v>
          </cell>
          <cell r="BX289">
            <v>0</v>
          </cell>
          <cell r="CB289">
            <v>0</v>
          </cell>
          <cell r="CE289" t="str">
            <v>3EU</v>
          </cell>
          <cell r="CF289" t="str">
            <v>3EU</v>
          </cell>
          <cell r="CG289" t="str">
            <v>3EU</v>
          </cell>
        </row>
        <row r="290">
          <cell r="O290">
            <v>3</v>
          </cell>
          <cell r="AN290">
            <v>0.57397379694553718</v>
          </cell>
          <cell r="AO290">
            <v>0.57397379694553718</v>
          </cell>
          <cell r="AP290">
            <v>0.57397379694553718</v>
          </cell>
          <cell r="AZ290">
            <v>0.62</v>
          </cell>
          <cell r="BT290">
            <v>0</v>
          </cell>
          <cell r="BX290">
            <v>0</v>
          </cell>
          <cell r="CB290">
            <v>0</v>
          </cell>
          <cell r="CE290" t="str">
            <v>3EU</v>
          </cell>
          <cell r="CF290" t="str">
            <v>3EU</v>
          </cell>
          <cell r="CG290" t="str">
            <v>3EU</v>
          </cell>
        </row>
        <row r="291">
          <cell r="O291">
            <v>3</v>
          </cell>
          <cell r="AN291">
            <v>0.15497829460758905</v>
          </cell>
          <cell r="AO291">
            <v>0.15497829460758905</v>
          </cell>
          <cell r="AP291">
            <v>0.15497829460758905</v>
          </cell>
          <cell r="AZ291">
            <v>0.16740579999999999</v>
          </cell>
          <cell r="BT291">
            <v>0.15497829460758905</v>
          </cell>
          <cell r="BX291">
            <v>0.15497829460758905</v>
          </cell>
          <cell r="CB291">
            <v>0.15497829460758905</v>
          </cell>
          <cell r="CE291" t="str">
            <v>3LOCAL</v>
          </cell>
          <cell r="CF291" t="str">
            <v>3LOCAL</v>
          </cell>
          <cell r="CG291" t="str">
            <v>3LOCAL</v>
          </cell>
        </row>
        <row r="292">
          <cell r="O292">
            <v>3</v>
          </cell>
          <cell r="AN292">
            <v>0.25921397281411357</v>
          </cell>
          <cell r="AO292">
            <v>0.25921397281411357</v>
          </cell>
          <cell r="AP292">
            <v>0.25921397281411357</v>
          </cell>
          <cell r="AZ292">
            <v>0.28000000000000003</v>
          </cell>
          <cell r="BT292">
            <v>0</v>
          </cell>
          <cell r="BX292">
            <v>0</v>
          </cell>
          <cell r="CB292">
            <v>0</v>
          </cell>
          <cell r="CE292" t="str">
            <v>3EU</v>
          </cell>
          <cell r="CF292" t="str">
            <v>3EU</v>
          </cell>
          <cell r="CG292" t="str">
            <v>3EU</v>
          </cell>
        </row>
        <row r="293">
          <cell r="O293">
            <v>3</v>
          </cell>
          <cell r="AN293">
            <v>0.25921397281411357</v>
          </cell>
          <cell r="AO293">
            <v>0.25921397281411357</v>
          </cell>
          <cell r="AP293">
            <v>0.25921397281411357</v>
          </cell>
          <cell r="AZ293">
            <v>0.28000000000000003</v>
          </cell>
          <cell r="BT293">
            <v>0</v>
          </cell>
          <cell r="BX293">
            <v>0</v>
          </cell>
          <cell r="CB293">
            <v>0</v>
          </cell>
          <cell r="CE293" t="str">
            <v>3EU</v>
          </cell>
          <cell r="CF293" t="str">
            <v>3EU</v>
          </cell>
          <cell r="CG293" t="str">
            <v>3EU</v>
          </cell>
        </row>
        <row r="294">
          <cell r="O294">
            <v>3</v>
          </cell>
          <cell r="AN294">
            <v>0.46288209431091709</v>
          </cell>
          <cell r="AO294">
            <v>0.46288209431091709</v>
          </cell>
          <cell r="AP294">
            <v>0.46288209431091709</v>
          </cell>
          <cell r="AZ294">
            <v>0.5</v>
          </cell>
          <cell r="BT294">
            <v>0</v>
          </cell>
          <cell r="BX294">
            <v>0</v>
          </cell>
          <cell r="CB294">
            <v>0</v>
          </cell>
          <cell r="CE294" t="str">
            <v>3EU</v>
          </cell>
          <cell r="CF294" t="str">
            <v>3EU</v>
          </cell>
          <cell r="CG294" t="str">
            <v>3EU</v>
          </cell>
        </row>
        <row r="295">
          <cell r="O295">
            <v>3</v>
          </cell>
          <cell r="AN295">
            <v>2.1601164401176133E-2</v>
          </cell>
          <cell r="AO295">
            <v>2.1601164401176133E-2</v>
          </cell>
          <cell r="AP295">
            <v>2.1601164401176133E-2</v>
          </cell>
          <cell r="AZ295">
            <v>2.3333333333333334E-2</v>
          </cell>
          <cell r="BT295">
            <v>2.160116440117613E-2</v>
          </cell>
          <cell r="BX295">
            <v>2.160116440117613E-2</v>
          </cell>
          <cell r="CB295">
            <v>2.160116440117613E-2</v>
          </cell>
          <cell r="CE295" t="str">
            <v>3LOCAL</v>
          </cell>
          <cell r="CF295" t="str">
            <v>3LOCAL</v>
          </cell>
          <cell r="CG295" t="str">
            <v>3LOCAL</v>
          </cell>
        </row>
        <row r="296">
          <cell r="O296">
            <v>3</v>
          </cell>
          <cell r="AN296">
            <v>0</v>
          </cell>
          <cell r="AO296">
            <v>10.109344939750429</v>
          </cell>
          <cell r="AP296">
            <v>0</v>
          </cell>
          <cell r="AZ296">
            <v>10.92</v>
          </cell>
          <cell r="BT296">
            <v>0</v>
          </cell>
          <cell r="BX296">
            <v>20.516729578187412</v>
          </cell>
          <cell r="CB296">
            <v>0</v>
          </cell>
          <cell r="CE296" t="str">
            <v>3LOCAL</v>
          </cell>
          <cell r="CF296" t="str">
            <v>3LOCAL</v>
          </cell>
          <cell r="CG296" t="str">
            <v>3LOCAL</v>
          </cell>
        </row>
        <row r="297">
          <cell r="O297">
            <v>3</v>
          </cell>
          <cell r="AN297">
            <v>0.19672970292348735</v>
          </cell>
          <cell r="AO297">
            <v>0.19672970292348735</v>
          </cell>
          <cell r="AP297">
            <v>0.19672970292348735</v>
          </cell>
          <cell r="AZ297">
            <v>0.21250519877675841</v>
          </cell>
          <cell r="BT297">
            <v>0.19672970292348735</v>
          </cell>
          <cell r="BX297">
            <v>0.19672970292348735</v>
          </cell>
          <cell r="CB297">
            <v>0.19672970292348735</v>
          </cell>
          <cell r="CE297" t="str">
            <v>3LOCAL</v>
          </cell>
          <cell r="CF297" t="str">
            <v>3LOCAL</v>
          </cell>
          <cell r="CG297" t="str">
            <v>3LOCAL</v>
          </cell>
        </row>
        <row r="298">
          <cell r="O298">
            <v>3</v>
          </cell>
          <cell r="AN298">
            <v>6.5000000000000002E-2</v>
          </cell>
          <cell r="AO298">
            <v>6.5000000000000002E-2</v>
          </cell>
          <cell r="AP298">
            <v>6.5000000000000002E-2</v>
          </cell>
          <cell r="AZ298">
            <v>6.5000000000000002E-2</v>
          </cell>
          <cell r="BT298">
            <v>6.0174672260419226E-2</v>
          </cell>
          <cell r="BX298">
            <v>6.0174672260419226E-2</v>
          </cell>
          <cell r="CB298">
            <v>6.0174672260419226E-2</v>
          </cell>
          <cell r="CE298" t="str">
            <v>3LOCAL</v>
          </cell>
          <cell r="CF298" t="str">
            <v>3LOCAL</v>
          </cell>
          <cell r="CG298" t="str">
            <v>3LOCAL</v>
          </cell>
        </row>
        <row r="299">
          <cell r="O299">
            <v>3</v>
          </cell>
          <cell r="AN299">
            <v>0</v>
          </cell>
          <cell r="AO299">
            <v>0</v>
          </cell>
          <cell r="AP299">
            <v>0</v>
          </cell>
          <cell r="AZ299">
            <v>0</v>
          </cell>
          <cell r="BT299">
            <v>0</v>
          </cell>
          <cell r="BX299">
            <v>0</v>
          </cell>
          <cell r="CB299">
            <v>0</v>
          </cell>
          <cell r="CE299" t="str">
            <v>3LOCAL</v>
          </cell>
          <cell r="CF299" t="str">
            <v>3LOCAL</v>
          </cell>
          <cell r="CG299" t="str">
            <v>3LOCAL</v>
          </cell>
        </row>
        <row r="300">
          <cell r="O300">
            <v>3</v>
          </cell>
          <cell r="AN300">
            <v>0</v>
          </cell>
          <cell r="AO300">
            <v>0</v>
          </cell>
          <cell r="AP300">
            <v>0</v>
          </cell>
          <cell r="AZ300">
            <v>0</v>
          </cell>
          <cell r="BT300">
            <v>0</v>
          </cell>
          <cell r="BX300">
            <v>0</v>
          </cell>
          <cell r="CB300">
            <v>0</v>
          </cell>
          <cell r="CE300" t="str">
            <v>3LOCAL</v>
          </cell>
          <cell r="CF300" t="str">
            <v>3LOCAL</v>
          </cell>
          <cell r="CG300" t="str">
            <v>3LOCAL</v>
          </cell>
        </row>
        <row r="301">
          <cell r="O301">
            <v>3</v>
          </cell>
          <cell r="AN301">
            <v>11.035109128372264</v>
          </cell>
          <cell r="AO301">
            <v>0</v>
          </cell>
          <cell r="AP301">
            <v>11.035109128372264</v>
          </cell>
          <cell r="AZ301">
            <v>0</v>
          </cell>
          <cell r="BT301">
            <v>21.49507091288892</v>
          </cell>
          <cell r="BX301">
            <v>0</v>
          </cell>
          <cell r="CB301">
            <v>21.49507091288892</v>
          </cell>
          <cell r="CE301" t="str">
            <v>3LOCAL</v>
          </cell>
          <cell r="CF301" t="str">
            <v>3LOCAL</v>
          </cell>
          <cell r="CG301" t="str">
            <v>3LOCAL</v>
          </cell>
        </row>
        <row r="302">
          <cell r="O302">
            <v>3</v>
          </cell>
          <cell r="AN302">
            <v>0</v>
          </cell>
          <cell r="AO302">
            <v>0</v>
          </cell>
          <cell r="AP302">
            <v>0</v>
          </cell>
          <cell r="AZ302">
            <v>0</v>
          </cell>
          <cell r="BT302">
            <v>0</v>
          </cell>
          <cell r="BX302">
            <v>0</v>
          </cell>
          <cell r="CB302">
            <v>0</v>
          </cell>
          <cell r="CE302" t="str">
            <v>3LOCAL</v>
          </cell>
          <cell r="CF302" t="str">
            <v>3LOCAL</v>
          </cell>
          <cell r="CG302" t="str">
            <v>3LOCAL</v>
          </cell>
        </row>
        <row r="303">
          <cell r="O303">
            <v>3</v>
          </cell>
          <cell r="AN303">
            <v>0</v>
          </cell>
          <cell r="AO303">
            <v>0</v>
          </cell>
          <cell r="AP303">
            <v>0</v>
          </cell>
          <cell r="AZ303">
            <v>0</v>
          </cell>
          <cell r="BT303">
            <v>0</v>
          </cell>
          <cell r="BX303">
            <v>0</v>
          </cell>
          <cell r="CB303">
            <v>0</v>
          </cell>
          <cell r="CE303" t="str">
            <v>3LOCAL</v>
          </cell>
          <cell r="CF303" t="str">
            <v>3LOCAL</v>
          </cell>
          <cell r="CG303" t="str">
            <v>3LOCAL</v>
          </cell>
        </row>
        <row r="304">
          <cell r="O304">
            <v>3</v>
          </cell>
          <cell r="AN304">
            <v>0</v>
          </cell>
          <cell r="AO304">
            <v>0</v>
          </cell>
          <cell r="AP304">
            <v>0</v>
          </cell>
          <cell r="AZ304">
            <v>0</v>
          </cell>
          <cell r="BT304">
            <v>0</v>
          </cell>
          <cell r="BX304">
            <v>0</v>
          </cell>
          <cell r="CB304">
            <v>0</v>
          </cell>
          <cell r="CE304" t="str">
            <v>3LOCAL</v>
          </cell>
          <cell r="CF304" t="str">
            <v>3LOCAL</v>
          </cell>
          <cell r="CG304" t="str">
            <v>3LOCAL</v>
          </cell>
        </row>
        <row r="305">
          <cell r="O305">
            <v>3</v>
          </cell>
          <cell r="AN305">
            <v>0</v>
          </cell>
          <cell r="AO305">
            <v>0</v>
          </cell>
          <cell r="AP305">
            <v>0</v>
          </cell>
          <cell r="AZ305">
            <v>0</v>
          </cell>
          <cell r="BT305">
            <v>0</v>
          </cell>
          <cell r="BX305">
            <v>0</v>
          </cell>
          <cell r="CB305">
            <v>0</v>
          </cell>
          <cell r="CE305" t="str">
            <v>3LOCAL</v>
          </cell>
          <cell r="CF305" t="str">
            <v>3LOCAL</v>
          </cell>
          <cell r="CG305" t="str">
            <v>3LOCAL</v>
          </cell>
        </row>
        <row r="306">
          <cell r="O306">
            <v>3</v>
          </cell>
          <cell r="AN306">
            <v>0</v>
          </cell>
          <cell r="AO306">
            <v>0</v>
          </cell>
          <cell r="AP306">
            <v>0</v>
          </cell>
          <cell r="AZ306">
            <v>0</v>
          </cell>
          <cell r="BT306">
            <v>0</v>
          </cell>
          <cell r="BX306">
            <v>0</v>
          </cell>
          <cell r="CB306">
            <v>0</v>
          </cell>
          <cell r="CE306" t="str">
            <v>3LOCAL</v>
          </cell>
          <cell r="CF306" t="str">
            <v>3LOCAL</v>
          </cell>
          <cell r="CG306" t="str">
            <v>3LOCAL</v>
          </cell>
        </row>
        <row r="307">
          <cell r="O307">
            <v>3</v>
          </cell>
          <cell r="AN307">
            <v>0</v>
          </cell>
          <cell r="AO307">
            <v>0</v>
          </cell>
          <cell r="AP307">
            <v>0</v>
          </cell>
          <cell r="AZ307">
            <v>0</v>
          </cell>
          <cell r="BT307">
            <v>0</v>
          </cell>
          <cell r="BX307">
            <v>0</v>
          </cell>
          <cell r="CB307">
            <v>0</v>
          </cell>
          <cell r="CE307" t="str">
            <v>3LOCAL</v>
          </cell>
          <cell r="CF307" t="str">
            <v>3LOCAL</v>
          </cell>
          <cell r="CG307" t="str">
            <v>3LOCAL</v>
          </cell>
        </row>
        <row r="308">
          <cell r="O308">
            <v>3</v>
          </cell>
          <cell r="AN308">
            <v>5.3509170102342019</v>
          </cell>
          <cell r="AO308">
            <v>5.3509170102342019</v>
          </cell>
          <cell r="AP308">
            <v>5.3509170102342019</v>
          </cell>
          <cell r="AZ308">
            <v>5.78</v>
          </cell>
          <cell r="BT308">
            <v>7.2620661853629933</v>
          </cell>
          <cell r="BX308">
            <v>7.2620661853629933</v>
          </cell>
          <cell r="CB308">
            <v>7.2620661853629933</v>
          </cell>
          <cell r="CE308" t="str">
            <v>3LOCAL</v>
          </cell>
          <cell r="CF308" t="str">
            <v>3LOCAL</v>
          </cell>
          <cell r="CG308" t="str">
            <v>3LOCAL</v>
          </cell>
        </row>
        <row r="309">
          <cell r="O309">
            <v>3</v>
          </cell>
          <cell r="AN309">
            <v>0</v>
          </cell>
          <cell r="AO309">
            <v>0</v>
          </cell>
          <cell r="AP309">
            <v>0</v>
          </cell>
          <cell r="AZ309">
            <v>0</v>
          </cell>
          <cell r="BT309">
            <v>0</v>
          </cell>
          <cell r="BX309">
            <v>0</v>
          </cell>
          <cell r="CB309">
            <v>0</v>
          </cell>
          <cell r="CE309" t="str">
            <v>3EU</v>
          </cell>
          <cell r="CF309" t="str">
            <v>3EU</v>
          </cell>
          <cell r="CG309" t="str">
            <v>3EU</v>
          </cell>
        </row>
        <row r="310">
          <cell r="O310">
            <v>3</v>
          </cell>
          <cell r="AN310">
            <v>0</v>
          </cell>
          <cell r="AO310">
            <v>0</v>
          </cell>
          <cell r="AP310">
            <v>0</v>
          </cell>
          <cell r="AZ310">
            <v>0</v>
          </cell>
          <cell r="BT310">
            <v>0</v>
          </cell>
          <cell r="BX310">
            <v>0</v>
          </cell>
          <cell r="CB310">
            <v>0</v>
          </cell>
          <cell r="CE310" t="str">
            <v>3EU</v>
          </cell>
          <cell r="CF310" t="str">
            <v>3EU</v>
          </cell>
          <cell r="CG310" t="str">
            <v>3EU</v>
          </cell>
        </row>
        <row r="311">
          <cell r="O311">
            <v>3</v>
          </cell>
          <cell r="AN311">
            <v>4.5547598080194245</v>
          </cell>
          <cell r="AO311">
            <v>4.5547598080194245</v>
          </cell>
          <cell r="AP311">
            <v>4.5547598080194245</v>
          </cell>
          <cell r="AZ311">
            <v>10.2582</v>
          </cell>
          <cell r="BT311">
            <v>0</v>
          </cell>
          <cell r="BX311">
            <v>0</v>
          </cell>
          <cell r="CB311">
            <v>0</v>
          </cell>
          <cell r="CE311" t="str">
            <v>3EU</v>
          </cell>
          <cell r="CF311" t="str">
            <v>3EU</v>
          </cell>
          <cell r="CG311" t="str">
            <v>3EU</v>
          </cell>
        </row>
        <row r="312">
          <cell r="O312">
            <v>3</v>
          </cell>
          <cell r="AN312">
            <v>0</v>
          </cell>
          <cell r="AO312">
            <v>0</v>
          </cell>
          <cell r="AP312">
            <v>0</v>
          </cell>
          <cell r="AZ312">
            <v>0</v>
          </cell>
          <cell r="BT312">
            <v>0</v>
          </cell>
          <cell r="BX312">
            <v>0</v>
          </cell>
          <cell r="CB312">
            <v>0</v>
          </cell>
          <cell r="CE312" t="str">
            <v>3LOCAL</v>
          </cell>
          <cell r="CF312" t="str">
            <v>3LOCAL</v>
          </cell>
          <cell r="CG312" t="str">
            <v>3LOCAL</v>
          </cell>
        </row>
        <row r="313">
          <cell r="O313">
            <v>3</v>
          </cell>
          <cell r="AN313">
            <v>3.7956331733495197</v>
          </cell>
          <cell r="AO313">
            <v>3.7956331733495197</v>
          </cell>
          <cell r="AP313">
            <v>3.7956331733495197</v>
          </cell>
          <cell r="AZ313">
            <v>8.5484999999999989</v>
          </cell>
          <cell r="BT313">
            <v>0</v>
          </cell>
          <cell r="BX313">
            <v>0</v>
          </cell>
          <cell r="CB313">
            <v>0</v>
          </cell>
          <cell r="CE313" t="str">
            <v>3EU</v>
          </cell>
          <cell r="CF313" t="str">
            <v>3EU</v>
          </cell>
          <cell r="CG313" t="str">
            <v>3EU</v>
          </cell>
        </row>
        <row r="314">
          <cell r="O314">
            <v>3</v>
          </cell>
          <cell r="AN314">
            <v>2.4255021741892056</v>
          </cell>
          <cell r="AO314">
            <v>2.4255021741892056</v>
          </cell>
          <cell r="AP314">
            <v>2.4255021741892056</v>
          </cell>
          <cell r="AZ314">
            <v>5.4626999999999999</v>
          </cell>
          <cell r="BT314">
            <v>0</v>
          </cell>
          <cell r="BX314">
            <v>0</v>
          </cell>
          <cell r="CB314">
            <v>0</v>
          </cell>
          <cell r="CE314" t="str">
            <v>3EU</v>
          </cell>
          <cell r="CF314" t="str">
            <v>3EU</v>
          </cell>
          <cell r="CG314" t="str">
            <v>3EU</v>
          </cell>
        </row>
        <row r="315">
          <cell r="O315">
            <v>3</v>
          </cell>
          <cell r="AN315">
            <v>0</v>
          </cell>
          <cell r="AO315">
            <v>0</v>
          </cell>
          <cell r="AP315">
            <v>0</v>
          </cell>
          <cell r="AZ315">
            <v>0</v>
          </cell>
          <cell r="BT315">
            <v>0</v>
          </cell>
          <cell r="BX315">
            <v>0</v>
          </cell>
          <cell r="CB315">
            <v>0</v>
          </cell>
          <cell r="CE315" t="str">
            <v>3EU</v>
          </cell>
          <cell r="CF315" t="str">
            <v>3EU</v>
          </cell>
          <cell r="CG315" t="str">
            <v>3EU</v>
          </cell>
        </row>
        <row r="316">
          <cell r="O316">
            <v>3</v>
          </cell>
          <cell r="AN316">
            <v>0</v>
          </cell>
          <cell r="AO316">
            <v>0</v>
          </cell>
          <cell r="AP316">
            <v>0</v>
          </cell>
          <cell r="AZ316">
            <v>0</v>
          </cell>
          <cell r="BT316">
            <v>0</v>
          </cell>
          <cell r="BX316">
            <v>0</v>
          </cell>
          <cell r="CB316">
            <v>0</v>
          </cell>
          <cell r="CE316" t="str">
            <v>3EU</v>
          </cell>
          <cell r="CF316" t="str">
            <v>3EU</v>
          </cell>
          <cell r="CG316" t="str">
            <v>3EU</v>
          </cell>
        </row>
        <row r="317">
          <cell r="O317">
            <v>3</v>
          </cell>
          <cell r="AN317">
            <v>0</v>
          </cell>
          <cell r="AO317">
            <v>0</v>
          </cell>
          <cell r="AP317">
            <v>0</v>
          </cell>
          <cell r="AZ317">
            <v>0</v>
          </cell>
          <cell r="BT317">
            <v>0</v>
          </cell>
          <cell r="BX317">
            <v>0</v>
          </cell>
          <cell r="CB317">
            <v>0</v>
          </cell>
          <cell r="CE317" t="str">
            <v>3EU</v>
          </cell>
          <cell r="CF317" t="str">
            <v>3EU</v>
          </cell>
          <cell r="CG317" t="str">
            <v>3EU</v>
          </cell>
        </row>
        <row r="318">
          <cell r="O318">
            <v>3</v>
          </cell>
          <cell r="AN318">
            <v>0</v>
          </cell>
          <cell r="AO318">
            <v>0</v>
          </cell>
          <cell r="AP318">
            <v>0</v>
          </cell>
          <cell r="AZ318">
            <v>0</v>
          </cell>
          <cell r="BT318">
            <v>0</v>
          </cell>
          <cell r="BX318">
            <v>0</v>
          </cell>
          <cell r="CB318">
            <v>0</v>
          </cell>
          <cell r="CE318" t="str">
            <v>3LOCAL</v>
          </cell>
          <cell r="CF318" t="str">
            <v>3LOCAL</v>
          </cell>
          <cell r="CG318" t="str">
            <v>3LOCAL</v>
          </cell>
        </row>
        <row r="319">
          <cell r="O319">
            <v>3</v>
          </cell>
          <cell r="AN319">
            <v>0</v>
          </cell>
          <cell r="AO319">
            <v>0</v>
          </cell>
          <cell r="AP319">
            <v>0</v>
          </cell>
          <cell r="AZ319">
            <v>0</v>
          </cell>
          <cell r="BT319">
            <v>0</v>
          </cell>
          <cell r="BX319">
            <v>0</v>
          </cell>
          <cell r="CB319">
            <v>0</v>
          </cell>
          <cell r="CE319" t="str">
            <v>3EU</v>
          </cell>
          <cell r="CF319" t="str">
            <v>3EU</v>
          </cell>
          <cell r="CG319" t="str">
            <v>3EU</v>
          </cell>
        </row>
        <row r="320">
          <cell r="O320">
            <v>3</v>
          </cell>
          <cell r="AN320">
            <v>0</v>
          </cell>
          <cell r="AO320">
            <v>0</v>
          </cell>
          <cell r="AP320">
            <v>0</v>
          </cell>
          <cell r="AZ320">
            <v>0</v>
          </cell>
          <cell r="BT320">
            <v>0</v>
          </cell>
          <cell r="BX320">
            <v>0</v>
          </cell>
          <cell r="CB320">
            <v>0</v>
          </cell>
          <cell r="CE320" t="str">
            <v>3EU</v>
          </cell>
          <cell r="CF320" t="str">
            <v>3EU</v>
          </cell>
          <cell r="CG320" t="str">
            <v>3EU</v>
          </cell>
        </row>
        <row r="321">
          <cell r="O321">
            <v>3</v>
          </cell>
          <cell r="AN321">
            <v>0</v>
          </cell>
          <cell r="AO321">
            <v>0</v>
          </cell>
          <cell r="AP321">
            <v>0</v>
          </cell>
          <cell r="AZ321">
            <v>0</v>
          </cell>
          <cell r="BT321">
            <v>0</v>
          </cell>
          <cell r="BX321">
            <v>0</v>
          </cell>
          <cell r="CB321">
            <v>0</v>
          </cell>
          <cell r="CE321" t="str">
            <v>3LOCAL</v>
          </cell>
          <cell r="CF321" t="str">
            <v>3LOCAL</v>
          </cell>
          <cell r="CG321" t="str">
            <v>3LOCAL</v>
          </cell>
        </row>
        <row r="322">
          <cell r="O322">
            <v>3</v>
          </cell>
          <cell r="AN322">
            <v>0</v>
          </cell>
          <cell r="AO322">
            <v>5.8693449558624282</v>
          </cell>
          <cell r="AP322">
            <v>0</v>
          </cell>
          <cell r="AZ322">
            <v>6.34</v>
          </cell>
          <cell r="BT322">
            <v>0</v>
          </cell>
          <cell r="BX322">
            <v>16.73764063473449</v>
          </cell>
          <cell r="CB322">
            <v>0</v>
          </cell>
          <cell r="CE322" t="str">
            <v>3LOCAL</v>
          </cell>
          <cell r="CF322" t="str">
            <v>3LOCAL</v>
          </cell>
          <cell r="CG322" t="str">
            <v>3LOCAL</v>
          </cell>
        </row>
        <row r="323">
          <cell r="O323">
            <v>3</v>
          </cell>
          <cell r="AN323">
            <v>0</v>
          </cell>
          <cell r="AO323">
            <v>8.6199999999999992</v>
          </cell>
          <cell r="AP323">
            <v>0</v>
          </cell>
          <cell r="AZ323">
            <v>17.9727</v>
          </cell>
          <cell r="BT323">
            <v>0</v>
          </cell>
          <cell r="BX323">
            <v>0</v>
          </cell>
          <cell r="CB323">
            <v>0</v>
          </cell>
          <cell r="CE323" t="str">
            <v>3EU</v>
          </cell>
          <cell r="CF323" t="str">
            <v>3EU</v>
          </cell>
          <cell r="CG323" t="str">
            <v>3EU</v>
          </cell>
        </row>
        <row r="324">
          <cell r="O324">
            <v>3</v>
          </cell>
          <cell r="AN324">
            <v>1.4547722964057395E-2</v>
          </cell>
          <cell r="AO324">
            <v>1.4547722964057395E-2</v>
          </cell>
          <cell r="AP324">
            <v>1.4547722964057395E-2</v>
          </cell>
          <cell r="AZ324">
            <v>1.5714285714285715E-2</v>
          </cell>
          <cell r="BT324">
            <v>0</v>
          </cell>
          <cell r="BX324">
            <v>0</v>
          </cell>
          <cell r="CB324">
            <v>0</v>
          </cell>
          <cell r="CE324" t="str">
            <v>3LOCAL</v>
          </cell>
          <cell r="CF324" t="str">
            <v>3LOCAL</v>
          </cell>
          <cell r="CG324" t="str">
            <v>3LOCAL</v>
          </cell>
        </row>
        <row r="325">
          <cell r="O325">
            <v>3</v>
          </cell>
          <cell r="AN325">
            <v>3.0858806287394473E-3</v>
          </cell>
          <cell r="AO325">
            <v>3.0858806287394473E-3</v>
          </cell>
          <cell r="AP325">
            <v>3.0858806287394473E-3</v>
          </cell>
          <cell r="AZ325">
            <v>3.3333333333333335E-3</v>
          </cell>
          <cell r="BT325">
            <v>0</v>
          </cell>
          <cell r="BX325">
            <v>0</v>
          </cell>
          <cell r="CB325">
            <v>0</v>
          </cell>
          <cell r="CE325" t="str">
            <v>3LOCAL</v>
          </cell>
          <cell r="CF325" t="str">
            <v>3LOCAL</v>
          </cell>
          <cell r="CG325" t="str">
            <v>3LOCAL</v>
          </cell>
        </row>
        <row r="326">
          <cell r="O326">
            <v>3</v>
          </cell>
          <cell r="AN326">
            <v>1.1000000000000001</v>
          </cell>
          <cell r="AO326">
            <v>1.1000000000000001</v>
          </cell>
          <cell r="AP326">
            <v>1.1000000000000001</v>
          </cell>
          <cell r="AZ326">
            <v>2.2935000000000003</v>
          </cell>
          <cell r="BT326">
            <v>0</v>
          </cell>
          <cell r="BX326">
            <v>0</v>
          </cell>
          <cell r="CB326">
            <v>0</v>
          </cell>
          <cell r="CE326" t="str">
            <v>3EU</v>
          </cell>
          <cell r="CF326" t="str">
            <v>3EU</v>
          </cell>
          <cell r="CG326" t="str">
            <v>3EU</v>
          </cell>
        </row>
        <row r="327">
          <cell r="O327">
            <v>3</v>
          </cell>
          <cell r="AN327">
            <v>1.4547722964057395E-2</v>
          </cell>
          <cell r="AO327">
            <v>1.4547722964057395E-2</v>
          </cell>
          <cell r="AP327">
            <v>1.4547722964057395E-2</v>
          </cell>
          <cell r="AZ327">
            <v>1.5714285714285715E-2</v>
          </cell>
          <cell r="BT327">
            <v>0</v>
          </cell>
          <cell r="BX327">
            <v>0</v>
          </cell>
          <cell r="CB327">
            <v>0</v>
          </cell>
          <cell r="CE327" t="str">
            <v>3LOCAL</v>
          </cell>
          <cell r="CF327" t="str">
            <v>3LOCAL</v>
          </cell>
          <cell r="CG327" t="str">
            <v>3LOCAL</v>
          </cell>
        </row>
        <row r="328">
          <cell r="O328">
            <v>3</v>
          </cell>
          <cell r="AN328">
            <v>0.12652110577831732</v>
          </cell>
          <cell r="AO328">
            <v>0.12652110577831732</v>
          </cell>
          <cell r="AP328">
            <v>0.12652110577831732</v>
          </cell>
          <cell r="AZ328">
            <v>0.13666666666666666</v>
          </cell>
          <cell r="BT328">
            <v>0</v>
          </cell>
          <cell r="BX328">
            <v>0</v>
          </cell>
          <cell r="CB328">
            <v>0</v>
          </cell>
          <cell r="CE328" t="str">
            <v>3LOCAL</v>
          </cell>
          <cell r="CF328" t="str">
            <v>3LOCAL</v>
          </cell>
          <cell r="CG328" t="str">
            <v>3LOCAL</v>
          </cell>
        </row>
        <row r="329">
          <cell r="O329">
            <v>3</v>
          </cell>
          <cell r="AN329">
            <v>0.84</v>
          </cell>
          <cell r="AO329">
            <v>0.84</v>
          </cell>
          <cell r="AP329">
            <v>0.84</v>
          </cell>
          <cell r="AZ329">
            <v>1.7513999999999998</v>
          </cell>
          <cell r="BT329">
            <v>0</v>
          </cell>
          <cell r="BX329">
            <v>0</v>
          </cell>
          <cell r="CB329">
            <v>0</v>
          </cell>
          <cell r="CE329" t="str">
            <v>3EU</v>
          </cell>
          <cell r="CF329" t="str">
            <v>3EU</v>
          </cell>
          <cell r="CG329" t="str">
            <v>3EU</v>
          </cell>
        </row>
        <row r="330">
          <cell r="O330">
            <v>3</v>
          </cell>
          <cell r="AN330">
            <v>0.12652110577831732</v>
          </cell>
          <cell r="AO330">
            <v>0.12652110577831732</v>
          </cell>
          <cell r="AP330">
            <v>0.12652110577831732</v>
          </cell>
          <cell r="AZ330">
            <v>0.13666666666666666</v>
          </cell>
          <cell r="BT330">
            <v>0</v>
          </cell>
          <cell r="BX330">
            <v>0</v>
          </cell>
          <cell r="CB330">
            <v>0</v>
          </cell>
          <cell r="CE330" t="str">
            <v>3LOCAL</v>
          </cell>
          <cell r="CF330" t="str">
            <v>3LOCAL</v>
          </cell>
          <cell r="CG330" t="str">
            <v>3LOCAL</v>
          </cell>
        </row>
        <row r="331">
          <cell r="O331">
            <v>3</v>
          </cell>
          <cell r="AN331">
            <v>1.22</v>
          </cell>
          <cell r="AO331">
            <v>1.22</v>
          </cell>
          <cell r="AP331">
            <v>1.22</v>
          </cell>
          <cell r="AZ331">
            <v>1.22</v>
          </cell>
          <cell r="BT331">
            <v>0</v>
          </cell>
          <cell r="BX331">
            <v>0</v>
          </cell>
          <cell r="CB331">
            <v>0</v>
          </cell>
          <cell r="CE331" t="str">
            <v>3LOCAL</v>
          </cell>
          <cell r="CF331" t="str">
            <v>3LOCAL</v>
          </cell>
          <cell r="CG331" t="str">
            <v>3LOCAL</v>
          </cell>
        </row>
        <row r="332">
          <cell r="O332">
            <v>3</v>
          </cell>
          <cell r="AN332">
            <v>6.8887083410040628E-2</v>
          </cell>
          <cell r="AO332">
            <v>6.8887083410040628E-2</v>
          </cell>
          <cell r="AP332">
            <v>6.8887083410040628E-2</v>
          </cell>
          <cell r="AZ332">
            <v>7.4411047928513399E-2</v>
          </cell>
          <cell r="BT332">
            <v>0</v>
          </cell>
          <cell r="BX332">
            <v>0</v>
          </cell>
          <cell r="CB332">
            <v>0</v>
          </cell>
          <cell r="CE332" t="str">
            <v>3EU</v>
          </cell>
          <cell r="CF332" t="str">
            <v>3EU</v>
          </cell>
          <cell r="CG332" t="str">
            <v>3EU</v>
          </cell>
        </row>
        <row r="333">
          <cell r="O333">
            <v>3</v>
          </cell>
          <cell r="AN333">
            <v>0.68506549958015728</v>
          </cell>
          <cell r="AO333">
            <v>0.68506549958015728</v>
          </cell>
          <cell r="AP333">
            <v>0.68506549958015728</v>
          </cell>
          <cell r="AZ333">
            <v>0.74</v>
          </cell>
          <cell r="BT333">
            <v>0</v>
          </cell>
          <cell r="BX333">
            <v>0</v>
          </cell>
          <cell r="CB333">
            <v>0</v>
          </cell>
          <cell r="CE333" t="str">
            <v>3EU</v>
          </cell>
          <cell r="CF333" t="str">
            <v>3EU</v>
          </cell>
          <cell r="CG333" t="str">
            <v>3EU</v>
          </cell>
        </row>
        <row r="334">
          <cell r="O334">
            <v>3</v>
          </cell>
          <cell r="AN334">
            <v>0.13845526174768591</v>
          </cell>
          <cell r="AO334">
            <v>0.13845526174768591</v>
          </cell>
          <cell r="AP334">
            <v>0.13845526174768591</v>
          </cell>
          <cell r="AZ334">
            <v>0.13666666666666666</v>
          </cell>
          <cell r="BT334">
            <v>0.12652110577831732</v>
          </cell>
          <cell r="BX334">
            <v>0.12652110577831732</v>
          </cell>
          <cell r="CB334">
            <v>0.12652110577831732</v>
          </cell>
          <cell r="CE334" t="str">
            <v>3LOCAL</v>
          </cell>
          <cell r="CF334" t="str">
            <v>3LOCAL</v>
          </cell>
          <cell r="CG334" t="str">
            <v>3LOCAL</v>
          </cell>
        </row>
        <row r="335">
          <cell r="O335">
            <v>3</v>
          </cell>
          <cell r="AN335">
            <v>1.2787430690026675</v>
          </cell>
          <cell r="AO335">
            <v>1.2787430690026675</v>
          </cell>
          <cell r="AP335">
            <v>1.2787430690026675</v>
          </cell>
          <cell r="AZ335">
            <v>1.3812837920489296</v>
          </cell>
          <cell r="BT335">
            <v>0</v>
          </cell>
          <cell r="BX335">
            <v>0</v>
          </cell>
          <cell r="CB335">
            <v>0</v>
          </cell>
          <cell r="CE335" t="str">
            <v>3EU</v>
          </cell>
          <cell r="CF335" t="str">
            <v>3EU</v>
          </cell>
          <cell r="CG335" t="str">
            <v>3EU</v>
          </cell>
        </row>
        <row r="336">
          <cell r="O336">
            <v>3</v>
          </cell>
          <cell r="AN336">
            <v>0</v>
          </cell>
          <cell r="AO336">
            <v>0</v>
          </cell>
          <cell r="AP336">
            <v>0</v>
          </cell>
          <cell r="AZ336">
            <v>0</v>
          </cell>
          <cell r="BT336">
            <v>0</v>
          </cell>
          <cell r="BX336">
            <v>0</v>
          </cell>
          <cell r="CB336">
            <v>0</v>
          </cell>
          <cell r="CE336" t="str">
            <v>3EU</v>
          </cell>
          <cell r="CF336" t="str">
            <v>3EU</v>
          </cell>
          <cell r="CG336" t="str">
            <v>3EU</v>
          </cell>
        </row>
        <row r="337">
          <cell r="O337">
            <v>3</v>
          </cell>
          <cell r="AN337">
            <v>0</v>
          </cell>
          <cell r="AO337">
            <v>0</v>
          </cell>
          <cell r="AP337">
            <v>0</v>
          </cell>
          <cell r="AZ337">
            <v>0</v>
          </cell>
          <cell r="BT337">
            <v>0</v>
          </cell>
          <cell r="BX337">
            <v>0</v>
          </cell>
          <cell r="CB337">
            <v>0</v>
          </cell>
          <cell r="CE337" t="str">
            <v>3LOCAL</v>
          </cell>
          <cell r="CF337" t="str">
            <v>3LOCAL</v>
          </cell>
          <cell r="CG337" t="str">
            <v>3LOCAL</v>
          </cell>
        </row>
        <row r="338">
          <cell r="O338">
            <v>3</v>
          </cell>
          <cell r="AN338">
            <v>0.46498781301777425</v>
          </cell>
          <cell r="AO338">
            <v>0.46498781301777425</v>
          </cell>
          <cell r="AP338">
            <v>0.46498781301777425</v>
          </cell>
          <cell r="AZ338">
            <v>0.50227457351746552</v>
          </cell>
          <cell r="BT338">
            <v>0</v>
          </cell>
          <cell r="BX338">
            <v>0</v>
          </cell>
          <cell r="CB338">
            <v>0</v>
          </cell>
          <cell r="CE338" t="str">
            <v>3EU</v>
          </cell>
          <cell r="CF338" t="str">
            <v>3EU</v>
          </cell>
          <cell r="CG338" t="str">
            <v>3EU</v>
          </cell>
        </row>
        <row r="339">
          <cell r="O339">
            <v>3</v>
          </cell>
          <cell r="AN339">
            <v>6.1717612574788944E-2</v>
          </cell>
          <cell r="AO339">
            <v>6.1717612574788944E-2</v>
          </cell>
          <cell r="AP339">
            <v>6.1717612574788944E-2</v>
          </cell>
          <cell r="AZ339">
            <v>6.6666666666666666E-2</v>
          </cell>
          <cell r="BT339">
            <v>6.1717612574788944E-2</v>
          </cell>
          <cell r="BX339">
            <v>6.1717612574788944E-2</v>
          </cell>
          <cell r="CB339">
            <v>6.1717612574788944E-2</v>
          </cell>
          <cell r="CE339" t="str">
            <v>3LOCAL</v>
          </cell>
          <cell r="CF339" t="str">
            <v>3LOCAL</v>
          </cell>
          <cell r="CG339" t="str">
            <v>3LOCAL</v>
          </cell>
        </row>
        <row r="340">
          <cell r="O340">
            <v>3</v>
          </cell>
          <cell r="AN340">
            <v>0</v>
          </cell>
          <cell r="AO340">
            <v>0</v>
          </cell>
          <cell r="AP340">
            <v>0</v>
          </cell>
          <cell r="AZ340">
            <v>0</v>
          </cell>
          <cell r="BT340">
            <v>0</v>
          </cell>
          <cell r="BX340">
            <v>0</v>
          </cell>
          <cell r="CB340">
            <v>0</v>
          </cell>
          <cell r="CE340" t="str">
            <v>3EU</v>
          </cell>
          <cell r="CF340" t="str">
            <v>3EU</v>
          </cell>
          <cell r="CG340" t="str">
            <v>3EU</v>
          </cell>
        </row>
        <row r="341">
          <cell r="O341">
            <v>3</v>
          </cell>
          <cell r="AN341">
            <v>0</v>
          </cell>
          <cell r="AO341">
            <v>0</v>
          </cell>
          <cell r="AP341">
            <v>0</v>
          </cell>
          <cell r="AZ341">
            <v>0</v>
          </cell>
          <cell r="BT341">
            <v>0</v>
          </cell>
          <cell r="BX341">
            <v>0</v>
          </cell>
          <cell r="CB341">
            <v>0</v>
          </cell>
          <cell r="CE341" t="str">
            <v>3EU</v>
          </cell>
          <cell r="CF341" t="str">
            <v>3EU</v>
          </cell>
          <cell r="CG341" t="str">
            <v>3EU</v>
          </cell>
        </row>
        <row r="342">
          <cell r="O342">
            <v>3</v>
          </cell>
          <cell r="AN342">
            <v>0</v>
          </cell>
          <cell r="AO342">
            <v>0</v>
          </cell>
          <cell r="AP342">
            <v>0</v>
          </cell>
          <cell r="AZ342">
            <v>0</v>
          </cell>
          <cell r="BT342">
            <v>0</v>
          </cell>
          <cell r="BX342">
            <v>0</v>
          </cell>
          <cell r="CB342">
            <v>0</v>
          </cell>
          <cell r="CE342" t="str">
            <v>3EU</v>
          </cell>
          <cell r="CF342" t="str">
            <v>3EU</v>
          </cell>
          <cell r="CG342" t="str">
            <v>3EU</v>
          </cell>
        </row>
        <row r="343">
          <cell r="O343">
            <v>3</v>
          </cell>
          <cell r="AN343">
            <v>0</v>
          </cell>
          <cell r="AO343">
            <v>5.8508296720899926</v>
          </cell>
          <cell r="AP343">
            <v>0</v>
          </cell>
          <cell r="AZ343">
            <v>6.32</v>
          </cell>
          <cell r="BT343">
            <v>0</v>
          </cell>
          <cell r="BX343">
            <v>16.306666178033495</v>
          </cell>
          <cell r="CB343">
            <v>0</v>
          </cell>
          <cell r="CE343" t="str">
            <v>3LOCAL</v>
          </cell>
          <cell r="CF343" t="str">
            <v>3LOCAL</v>
          </cell>
          <cell r="CG343" t="str">
            <v>3LOCAL</v>
          </cell>
        </row>
        <row r="344">
          <cell r="O344">
            <v>3</v>
          </cell>
          <cell r="AN344">
            <v>0</v>
          </cell>
          <cell r="AO344">
            <v>7.9800873059202102</v>
          </cell>
          <cell r="AP344">
            <v>0</v>
          </cell>
          <cell r="AZ344">
            <v>17.9727</v>
          </cell>
          <cell r="BT344">
            <v>0</v>
          </cell>
          <cell r="BX344">
            <v>0</v>
          </cell>
          <cell r="CB344">
            <v>0</v>
          </cell>
          <cell r="CE344" t="str">
            <v>3EU</v>
          </cell>
          <cell r="CF344" t="str">
            <v>3EU</v>
          </cell>
          <cell r="CG344" t="str">
            <v>3EU</v>
          </cell>
        </row>
        <row r="345">
          <cell r="O345">
            <v>3</v>
          </cell>
          <cell r="AN345">
            <v>1.4547722964057395E-2</v>
          </cell>
          <cell r="AO345">
            <v>1.4547722964057395E-2</v>
          </cell>
          <cell r="AP345">
            <v>1.4547722964057395E-2</v>
          </cell>
          <cell r="AZ345">
            <v>1.5714285714285715E-2</v>
          </cell>
          <cell r="BT345">
            <v>0</v>
          </cell>
          <cell r="BX345">
            <v>0</v>
          </cell>
          <cell r="CB345">
            <v>0</v>
          </cell>
          <cell r="CE345" t="str">
            <v>3LOCAL</v>
          </cell>
          <cell r="CF345" t="str">
            <v>3LOCAL</v>
          </cell>
          <cell r="CG345" t="str">
            <v>3LOCAL</v>
          </cell>
        </row>
        <row r="346">
          <cell r="O346">
            <v>3</v>
          </cell>
          <cell r="AN346">
            <v>0</v>
          </cell>
          <cell r="AO346">
            <v>0</v>
          </cell>
          <cell r="AP346">
            <v>0</v>
          </cell>
          <cell r="AZ346">
            <v>0</v>
          </cell>
          <cell r="BT346">
            <v>0</v>
          </cell>
          <cell r="BX346">
            <v>0</v>
          </cell>
          <cell r="CB346">
            <v>0</v>
          </cell>
          <cell r="CE346" t="str">
            <v>3LOCAL</v>
          </cell>
          <cell r="CF346" t="str">
            <v>3LOCAL</v>
          </cell>
          <cell r="CG346" t="str">
            <v>3LOCAL</v>
          </cell>
        </row>
        <row r="347">
          <cell r="O347">
            <v>3</v>
          </cell>
          <cell r="AN347">
            <v>1.0183406074840178</v>
          </cell>
          <cell r="AO347">
            <v>1.0183406074840178</v>
          </cell>
          <cell r="AP347">
            <v>1.0183406074840178</v>
          </cell>
          <cell r="AZ347">
            <v>2.2935000000000003</v>
          </cell>
          <cell r="BT347">
            <v>0</v>
          </cell>
          <cell r="BX347">
            <v>0</v>
          </cell>
          <cell r="CB347">
            <v>0</v>
          </cell>
          <cell r="CE347" t="str">
            <v>3EU</v>
          </cell>
          <cell r="CF347" t="str">
            <v>3EU</v>
          </cell>
          <cell r="CG347" t="str">
            <v>3EU</v>
          </cell>
        </row>
        <row r="348">
          <cell r="O348">
            <v>3</v>
          </cell>
          <cell r="AN348">
            <v>1.4547722964057395E-2</v>
          </cell>
          <cell r="AO348">
            <v>1.4547722964057395E-2</v>
          </cell>
          <cell r="AP348">
            <v>1.4547722964057395E-2</v>
          </cell>
          <cell r="AZ348">
            <v>1.5714285714285715E-2</v>
          </cell>
          <cell r="BT348">
            <v>0</v>
          </cell>
          <cell r="BX348">
            <v>0</v>
          </cell>
          <cell r="CB348">
            <v>0</v>
          </cell>
          <cell r="CE348" t="str">
            <v>3LOCAL</v>
          </cell>
          <cell r="CF348" t="str">
            <v>3LOCAL</v>
          </cell>
          <cell r="CG348" t="str">
            <v>3LOCAL</v>
          </cell>
        </row>
        <row r="349">
          <cell r="O349">
            <v>3</v>
          </cell>
          <cell r="AN349">
            <v>0.12652110577831732</v>
          </cell>
          <cell r="AO349">
            <v>0.12652110577831732</v>
          </cell>
          <cell r="AP349">
            <v>0.12652110577831732</v>
          </cell>
          <cell r="AZ349">
            <v>0.13666666666666666</v>
          </cell>
          <cell r="BT349">
            <v>0</v>
          </cell>
          <cell r="BX349">
            <v>0</v>
          </cell>
          <cell r="CB349">
            <v>0</v>
          </cell>
          <cell r="CE349" t="str">
            <v>3LOCAL</v>
          </cell>
          <cell r="CF349" t="str">
            <v>3LOCAL</v>
          </cell>
          <cell r="CG349" t="str">
            <v>3LOCAL</v>
          </cell>
        </row>
        <row r="350">
          <cell r="O350">
            <v>3</v>
          </cell>
          <cell r="AN350">
            <v>0.78689956032855901</v>
          </cell>
          <cell r="AO350">
            <v>0.78689956032855901</v>
          </cell>
          <cell r="AP350">
            <v>0.78689956032855901</v>
          </cell>
          <cell r="AZ350">
            <v>1.7722499999999999</v>
          </cell>
          <cell r="BT350">
            <v>0</v>
          </cell>
          <cell r="BX350">
            <v>0</v>
          </cell>
          <cell r="CB350">
            <v>0</v>
          </cell>
          <cell r="CE350" t="str">
            <v>3EU</v>
          </cell>
          <cell r="CF350" t="str">
            <v>3EU</v>
          </cell>
          <cell r="CG350" t="str">
            <v>3EU</v>
          </cell>
        </row>
        <row r="351">
          <cell r="O351">
            <v>3</v>
          </cell>
          <cell r="AN351">
            <v>0.12652110577831732</v>
          </cell>
          <cell r="AO351">
            <v>0.12652110577831732</v>
          </cell>
          <cell r="AP351">
            <v>0.12652110577831732</v>
          </cell>
          <cell r="AZ351">
            <v>0.13666666666666666</v>
          </cell>
          <cell r="BT351">
            <v>0</v>
          </cell>
          <cell r="BX351">
            <v>0</v>
          </cell>
          <cell r="CB351">
            <v>0</v>
          </cell>
          <cell r="CE351" t="str">
            <v>3LOCAL</v>
          </cell>
          <cell r="CF351" t="str">
            <v>3LOCAL</v>
          </cell>
          <cell r="CG351" t="str">
            <v>3LOCAL</v>
          </cell>
        </row>
        <row r="352">
          <cell r="O352">
            <v>3</v>
          </cell>
          <cell r="AN352">
            <v>1.1386899520048561</v>
          </cell>
          <cell r="AO352">
            <v>1.1386899520048561</v>
          </cell>
          <cell r="AP352">
            <v>1.1386899520048561</v>
          </cell>
          <cell r="AZ352">
            <v>2.5645500000000001</v>
          </cell>
          <cell r="BT352">
            <v>0</v>
          </cell>
          <cell r="BX352">
            <v>0</v>
          </cell>
          <cell r="CB352">
            <v>0</v>
          </cell>
          <cell r="CE352" t="str">
            <v>3EU</v>
          </cell>
          <cell r="CF352" t="str">
            <v>3EU</v>
          </cell>
          <cell r="CG352" t="str">
            <v>3EU</v>
          </cell>
        </row>
        <row r="353">
          <cell r="O353">
            <v>3</v>
          </cell>
          <cell r="AN353">
            <v>0.62026200637662898</v>
          </cell>
          <cell r="AO353">
            <v>0.62026200637662898</v>
          </cell>
          <cell r="AP353">
            <v>0.62026200637662898</v>
          </cell>
          <cell r="AZ353">
            <v>0.67</v>
          </cell>
          <cell r="BT353">
            <v>0</v>
          </cell>
          <cell r="BX353">
            <v>0</v>
          </cell>
          <cell r="CB353">
            <v>0</v>
          </cell>
          <cell r="CE353" t="str">
            <v>3EU</v>
          </cell>
          <cell r="CF353" t="str">
            <v>3EU</v>
          </cell>
          <cell r="CG353" t="str">
            <v>3EU</v>
          </cell>
        </row>
        <row r="354">
          <cell r="O354">
            <v>3</v>
          </cell>
          <cell r="AN354">
            <v>0.12652110577831732</v>
          </cell>
          <cell r="AO354">
            <v>0.12652110577831732</v>
          </cell>
          <cell r="AP354">
            <v>0.12652110577831732</v>
          </cell>
          <cell r="AZ354">
            <v>0.13666666666666666</v>
          </cell>
          <cell r="BT354">
            <v>0.12652110577831732</v>
          </cell>
          <cell r="BX354">
            <v>0.12652110577831732</v>
          </cell>
          <cell r="CB354">
            <v>0.12652110577831732</v>
          </cell>
          <cell r="CE354" t="str">
            <v>3LOCAL</v>
          </cell>
          <cell r="CF354" t="str">
            <v>3LOCAL</v>
          </cell>
          <cell r="CG354" t="str">
            <v>3LOCAL</v>
          </cell>
        </row>
        <row r="355">
          <cell r="O355">
            <v>3</v>
          </cell>
          <cell r="AN355">
            <v>1.2787430690026675</v>
          </cell>
          <cell r="AO355">
            <v>1.2787430690026675</v>
          </cell>
          <cell r="AP355">
            <v>1.2787430690026675</v>
          </cell>
          <cell r="AZ355">
            <v>1.3812837920489296</v>
          </cell>
          <cell r="BT355">
            <v>0</v>
          </cell>
          <cell r="BX355">
            <v>0</v>
          </cell>
          <cell r="CB355">
            <v>0</v>
          </cell>
          <cell r="CE355" t="str">
            <v>3EU</v>
          </cell>
          <cell r="CF355" t="str">
            <v>3EU</v>
          </cell>
          <cell r="CG355" t="str">
            <v>3EU</v>
          </cell>
        </row>
        <row r="356">
          <cell r="O356">
            <v>3</v>
          </cell>
          <cell r="AN356">
            <v>0</v>
          </cell>
          <cell r="AO356">
            <v>0</v>
          </cell>
          <cell r="AP356">
            <v>0</v>
          </cell>
          <cell r="AZ356">
            <v>0</v>
          </cell>
          <cell r="BT356">
            <v>0</v>
          </cell>
          <cell r="BX356">
            <v>0</v>
          </cell>
          <cell r="CB356">
            <v>0</v>
          </cell>
          <cell r="CE356" t="str">
            <v>3EU</v>
          </cell>
          <cell r="CF356" t="str">
            <v>3EU</v>
          </cell>
          <cell r="CG356" t="str">
            <v>3EU</v>
          </cell>
        </row>
        <row r="357">
          <cell r="O357">
            <v>3</v>
          </cell>
          <cell r="AN357">
            <v>0</v>
          </cell>
          <cell r="AO357">
            <v>0</v>
          </cell>
          <cell r="AP357">
            <v>0</v>
          </cell>
          <cell r="AZ357">
            <v>0</v>
          </cell>
          <cell r="BT357">
            <v>0</v>
          </cell>
          <cell r="BX357">
            <v>0</v>
          </cell>
          <cell r="CB357">
            <v>0</v>
          </cell>
          <cell r="CE357" t="str">
            <v>3LOCAL</v>
          </cell>
          <cell r="CF357" t="str">
            <v>3LOCAL</v>
          </cell>
          <cell r="CG357" t="str">
            <v>3LOCAL</v>
          </cell>
        </row>
        <row r="358">
          <cell r="O358">
            <v>3</v>
          </cell>
          <cell r="AN358">
            <v>6.4803493203528392E-2</v>
          </cell>
          <cell r="AO358">
            <v>6.4803493203528392E-2</v>
          </cell>
          <cell r="AP358">
            <v>6.4803493203528392E-2</v>
          </cell>
          <cell r="AZ358">
            <v>7.0000000000000007E-2</v>
          </cell>
          <cell r="BT358">
            <v>0</v>
          </cell>
          <cell r="BX358">
            <v>0</v>
          </cell>
          <cell r="CB358">
            <v>0</v>
          </cell>
          <cell r="CE358" t="str">
            <v>3EU</v>
          </cell>
          <cell r="CF358" t="str">
            <v>3EU</v>
          </cell>
          <cell r="CG358" t="str">
            <v>3EU</v>
          </cell>
        </row>
        <row r="359">
          <cell r="O359">
            <v>3</v>
          </cell>
          <cell r="AN359">
            <v>6.6666666666666666E-2</v>
          </cell>
          <cell r="AO359">
            <v>6.6666666666666666E-2</v>
          </cell>
          <cell r="AP359">
            <v>6.6666666666666666E-2</v>
          </cell>
          <cell r="AZ359">
            <v>6.6666666666666666E-2</v>
          </cell>
          <cell r="BT359">
            <v>6.1717612574788944E-2</v>
          </cell>
          <cell r="BX359">
            <v>6.1717612574788944E-2</v>
          </cell>
          <cell r="CB359">
            <v>6.1717612574788944E-2</v>
          </cell>
          <cell r="CE359" t="str">
            <v>3LOCAL</v>
          </cell>
          <cell r="CF359" t="str">
            <v>3LOCAL</v>
          </cell>
          <cell r="CG359" t="str">
            <v>3LOCAL</v>
          </cell>
        </row>
        <row r="360">
          <cell r="O360">
            <v>3</v>
          </cell>
          <cell r="AN360">
            <v>0</v>
          </cell>
          <cell r="AO360">
            <v>0</v>
          </cell>
          <cell r="AP360">
            <v>0</v>
          </cell>
          <cell r="AZ360">
            <v>0</v>
          </cell>
          <cell r="BT360">
            <v>0</v>
          </cell>
          <cell r="BX360">
            <v>0</v>
          </cell>
          <cell r="CB360">
            <v>0</v>
          </cell>
          <cell r="CE360" t="str">
            <v>3EU</v>
          </cell>
          <cell r="CF360" t="str">
            <v>3EU</v>
          </cell>
          <cell r="CG360" t="str">
            <v>3EU</v>
          </cell>
        </row>
        <row r="361">
          <cell r="O361">
            <v>3</v>
          </cell>
          <cell r="AN361">
            <v>0</v>
          </cell>
          <cell r="AO361">
            <v>0</v>
          </cell>
          <cell r="AP361">
            <v>0</v>
          </cell>
          <cell r="AZ361">
            <v>0</v>
          </cell>
          <cell r="BT361">
            <v>0</v>
          </cell>
          <cell r="BX361">
            <v>0</v>
          </cell>
          <cell r="CB361">
            <v>0</v>
          </cell>
          <cell r="CE361" t="str">
            <v>3EU</v>
          </cell>
          <cell r="CF361" t="str">
            <v>3EU</v>
          </cell>
          <cell r="CG361" t="str">
            <v>3EU</v>
          </cell>
        </row>
        <row r="362">
          <cell r="O362">
            <v>3</v>
          </cell>
          <cell r="AN362">
            <v>1.2682969384119129</v>
          </cell>
          <cell r="AO362">
            <v>1.2682969384119129</v>
          </cell>
          <cell r="AP362">
            <v>1.2682969384119129</v>
          </cell>
          <cell r="AZ362">
            <v>1.37</v>
          </cell>
          <cell r="BT362">
            <v>6.2857771099791107</v>
          </cell>
          <cell r="BX362">
            <v>6.2857771099791107</v>
          </cell>
          <cell r="CB362">
            <v>6.2857771099791107</v>
          </cell>
          <cell r="CE362" t="str">
            <v>3LOCAL</v>
          </cell>
          <cell r="CF362" t="str">
            <v>3LOCAL</v>
          </cell>
          <cell r="CG362" t="str">
            <v>3LOCAL</v>
          </cell>
        </row>
        <row r="363">
          <cell r="O363">
            <v>3</v>
          </cell>
          <cell r="AN363">
            <v>3.2401746601764199</v>
          </cell>
          <cell r="AO363">
            <v>3.2401746601764199</v>
          </cell>
          <cell r="AP363">
            <v>3.2401746601764199</v>
          </cell>
          <cell r="AZ363">
            <v>7.2974999999999994</v>
          </cell>
          <cell r="BT363">
            <v>0</v>
          </cell>
          <cell r="BX363">
            <v>0</v>
          </cell>
          <cell r="CB363">
            <v>0</v>
          </cell>
          <cell r="CE363" t="str">
            <v>3EU</v>
          </cell>
          <cell r="CF363" t="str">
            <v>3EU</v>
          </cell>
          <cell r="CG363" t="str">
            <v>3EU</v>
          </cell>
        </row>
        <row r="364">
          <cell r="O364">
            <v>3</v>
          </cell>
          <cell r="AN364">
            <v>0</v>
          </cell>
          <cell r="AO364">
            <v>0</v>
          </cell>
          <cell r="AP364">
            <v>0</v>
          </cell>
          <cell r="AZ364">
            <v>0</v>
          </cell>
          <cell r="BT364">
            <v>0</v>
          </cell>
          <cell r="BX364">
            <v>0</v>
          </cell>
          <cell r="CB364">
            <v>0</v>
          </cell>
          <cell r="CE364" t="str">
            <v>3EU</v>
          </cell>
          <cell r="CF364" t="str">
            <v>3EU</v>
          </cell>
          <cell r="CG364" t="str">
            <v>3EU</v>
          </cell>
        </row>
        <row r="365">
          <cell r="O365">
            <v>3</v>
          </cell>
          <cell r="AN365">
            <v>0.27772925658655023</v>
          </cell>
          <cell r="AO365">
            <v>0.27772925658655023</v>
          </cell>
          <cell r="AP365">
            <v>0.27772925658655023</v>
          </cell>
          <cell r="AZ365">
            <v>0.3</v>
          </cell>
          <cell r="BT365">
            <v>0.27772925658655023</v>
          </cell>
          <cell r="BX365">
            <v>0.27772925658655023</v>
          </cell>
          <cell r="CB365">
            <v>0.27772925658655023</v>
          </cell>
          <cell r="CE365" t="str">
            <v>3LOCAL</v>
          </cell>
          <cell r="CF365" t="str">
            <v>3LOCAL</v>
          </cell>
          <cell r="CG365" t="str">
            <v>3LOCAL</v>
          </cell>
        </row>
        <row r="366">
          <cell r="O366">
            <v>3</v>
          </cell>
          <cell r="AN366">
            <v>0</v>
          </cell>
          <cell r="AO366">
            <v>0</v>
          </cell>
          <cell r="AP366">
            <v>0</v>
          </cell>
          <cell r="AZ366">
            <v>0</v>
          </cell>
          <cell r="BT366">
            <v>0</v>
          </cell>
          <cell r="BX366">
            <v>0</v>
          </cell>
          <cell r="CB366">
            <v>0</v>
          </cell>
          <cell r="CE366" t="str">
            <v>3EU</v>
          </cell>
          <cell r="CF366" t="str">
            <v>3EU</v>
          </cell>
          <cell r="CG366" t="str">
            <v>3EU</v>
          </cell>
        </row>
        <row r="367">
          <cell r="O367">
            <v>3</v>
          </cell>
          <cell r="AN367">
            <v>1.4547722964057395E-2</v>
          </cell>
          <cell r="AO367">
            <v>1.4547722964057395E-2</v>
          </cell>
          <cell r="AP367">
            <v>1.4547722964057395E-2</v>
          </cell>
          <cell r="AZ367">
            <v>1.5714285714285715E-2</v>
          </cell>
          <cell r="BT367">
            <v>1.4547722964057395E-2</v>
          </cell>
          <cell r="BX367">
            <v>1.4547722964057395E-2</v>
          </cell>
          <cell r="CB367">
            <v>1.4547722964057395E-2</v>
          </cell>
          <cell r="CE367" t="str">
            <v>3LOCAL</v>
          </cell>
          <cell r="CF367" t="str">
            <v>3LOCAL</v>
          </cell>
          <cell r="CG367" t="str">
            <v>3LOCAL</v>
          </cell>
        </row>
        <row r="368">
          <cell r="O368">
            <v>3</v>
          </cell>
          <cell r="AN368">
            <v>0</v>
          </cell>
          <cell r="AO368">
            <v>0</v>
          </cell>
          <cell r="AP368">
            <v>0</v>
          </cell>
          <cell r="AZ368">
            <v>0</v>
          </cell>
          <cell r="BT368">
            <v>0</v>
          </cell>
          <cell r="BX368">
            <v>0</v>
          </cell>
          <cell r="CB368">
            <v>0</v>
          </cell>
          <cell r="CE368" t="str">
            <v>3EU</v>
          </cell>
          <cell r="CF368" t="str">
            <v>3EU</v>
          </cell>
          <cell r="CG368" t="str">
            <v>3EU</v>
          </cell>
        </row>
        <row r="369">
          <cell r="O369">
            <v>3</v>
          </cell>
          <cell r="AN369">
            <v>0</v>
          </cell>
          <cell r="AO369">
            <v>0</v>
          </cell>
          <cell r="AP369">
            <v>0</v>
          </cell>
          <cell r="AZ369">
            <v>0</v>
          </cell>
          <cell r="BT369">
            <v>0</v>
          </cell>
          <cell r="BX369">
            <v>0</v>
          </cell>
          <cell r="CB369">
            <v>0</v>
          </cell>
          <cell r="CE369" t="str">
            <v>3EU</v>
          </cell>
          <cell r="CF369" t="str">
            <v>3EU</v>
          </cell>
          <cell r="CG369" t="str">
            <v>3EU</v>
          </cell>
        </row>
        <row r="370">
          <cell r="O370">
            <v>3</v>
          </cell>
          <cell r="AN370">
            <v>1.1016593844599827</v>
          </cell>
          <cell r="AO370">
            <v>1.1016593844599827</v>
          </cell>
          <cell r="AP370">
            <v>1.1016593844599827</v>
          </cell>
          <cell r="AZ370">
            <v>1.19</v>
          </cell>
          <cell r="BT370">
            <v>2.0551911166489534</v>
          </cell>
          <cell r="BX370">
            <v>2.0551911166489534</v>
          </cell>
          <cell r="CB370">
            <v>2.0551911166489534</v>
          </cell>
          <cell r="CE370" t="str">
            <v>3LOCAL</v>
          </cell>
          <cell r="CF370" t="str">
            <v>3LOCAL</v>
          </cell>
          <cell r="CG370" t="str">
            <v>3LOCAL</v>
          </cell>
        </row>
        <row r="371">
          <cell r="O371">
            <v>3</v>
          </cell>
          <cell r="AN371">
            <v>0.9442794723942709</v>
          </cell>
          <cell r="AO371">
            <v>0.9442794723942709</v>
          </cell>
          <cell r="AP371">
            <v>0.9442794723942709</v>
          </cell>
          <cell r="AZ371">
            <v>2.1267</v>
          </cell>
          <cell r="BT371">
            <v>0</v>
          </cell>
          <cell r="BX371">
            <v>0</v>
          </cell>
          <cell r="CB371">
            <v>0</v>
          </cell>
          <cell r="CE371" t="str">
            <v>3EU</v>
          </cell>
          <cell r="CF371" t="str">
            <v>3EU</v>
          </cell>
          <cell r="CG371" t="str">
            <v>3EU</v>
          </cell>
        </row>
        <row r="372">
          <cell r="O372">
            <v>3</v>
          </cell>
          <cell r="AN372">
            <v>2.7772925658655023E-2</v>
          </cell>
          <cell r="AO372">
            <v>2.7772925658655023E-2</v>
          </cell>
          <cell r="AP372">
            <v>2.7772925658655023E-2</v>
          </cell>
          <cell r="AZ372">
            <v>0.03</v>
          </cell>
          <cell r="BT372">
            <v>0</v>
          </cell>
          <cell r="BX372">
            <v>0</v>
          </cell>
          <cell r="CB372">
            <v>0</v>
          </cell>
          <cell r="CE372" t="str">
            <v>3LOCAL</v>
          </cell>
          <cell r="CF372" t="str">
            <v>3LOCAL</v>
          </cell>
          <cell r="CG372" t="str">
            <v>3LOCAL</v>
          </cell>
        </row>
        <row r="373">
          <cell r="O373">
            <v>3</v>
          </cell>
          <cell r="AN373">
            <v>1.4547722964057395E-2</v>
          </cell>
          <cell r="AO373">
            <v>1.4547722964057395E-2</v>
          </cell>
          <cell r="AP373">
            <v>1.4547722964057395E-2</v>
          </cell>
          <cell r="AZ373">
            <v>1.5714285714285715E-2</v>
          </cell>
          <cell r="BT373">
            <v>0</v>
          </cell>
          <cell r="BX373">
            <v>0</v>
          </cell>
          <cell r="CB373">
            <v>0</v>
          </cell>
          <cell r="CE373" t="str">
            <v>3EU</v>
          </cell>
          <cell r="CF373" t="str">
            <v>3EU</v>
          </cell>
          <cell r="CG373" t="str">
            <v>3EU</v>
          </cell>
        </row>
        <row r="374">
          <cell r="O374">
            <v>3</v>
          </cell>
          <cell r="AN374">
            <v>0.53694322940066375</v>
          </cell>
          <cell r="AO374">
            <v>0.53694322940066375</v>
          </cell>
          <cell r="AP374">
            <v>0.53694322940066375</v>
          </cell>
          <cell r="AZ374">
            <v>0.57999999999999996</v>
          </cell>
          <cell r="BT374">
            <v>0</v>
          </cell>
          <cell r="BX374">
            <v>0</v>
          </cell>
          <cell r="CB374">
            <v>0</v>
          </cell>
          <cell r="CE374" t="str">
            <v>3EU</v>
          </cell>
          <cell r="CF374" t="str">
            <v>3EU</v>
          </cell>
          <cell r="CG374" t="str">
            <v>3EU</v>
          </cell>
        </row>
        <row r="375">
          <cell r="O375">
            <v>3</v>
          </cell>
          <cell r="AN375">
            <v>0</v>
          </cell>
          <cell r="AO375">
            <v>0</v>
          </cell>
          <cell r="AP375">
            <v>0</v>
          </cell>
          <cell r="AZ375">
            <v>0</v>
          </cell>
          <cell r="BT375">
            <v>0</v>
          </cell>
          <cell r="BX375">
            <v>0</v>
          </cell>
          <cell r="CB375">
            <v>0</v>
          </cell>
          <cell r="CE375" t="str">
            <v>3EU</v>
          </cell>
          <cell r="CF375" t="str">
            <v>3EU</v>
          </cell>
          <cell r="CG375" t="str">
            <v>3EU</v>
          </cell>
        </row>
        <row r="376">
          <cell r="O376">
            <v>3</v>
          </cell>
          <cell r="AN376">
            <v>1.4547722964057395E-2</v>
          </cell>
          <cell r="AO376">
            <v>1.4547722964057395E-2</v>
          </cell>
          <cell r="AP376">
            <v>1.4547722964057395E-2</v>
          </cell>
          <cell r="AZ376">
            <v>1.5714285714285715E-2</v>
          </cell>
          <cell r="BT376">
            <v>0</v>
          </cell>
          <cell r="BX376">
            <v>0</v>
          </cell>
          <cell r="CB376">
            <v>0</v>
          </cell>
          <cell r="CE376" t="str">
            <v>3EU</v>
          </cell>
          <cell r="CF376" t="str">
            <v>3EU</v>
          </cell>
          <cell r="CG376" t="str">
            <v>3EU</v>
          </cell>
        </row>
        <row r="377">
          <cell r="O377">
            <v>3</v>
          </cell>
          <cell r="AN377">
            <v>4.6288209431091715E-2</v>
          </cell>
          <cell r="AO377">
            <v>4.6288209431091715E-2</v>
          </cell>
          <cell r="AP377">
            <v>4.6288209431091715E-2</v>
          </cell>
          <cell r="AZ377">
            <v>0.05</v>
          </cell>
          <cell r="BT377">
            <v>0</v>
          </cell>
          <cell r="BX377">
            <v>0</v>
          </cell>
          <cell r="CB377">
            <v>0</v>
          </cell>
          <cell r="CE377" t="str">
            <v>3EU</v>
          </cell>
          <cell r="CF377" t="str">
            <v>3EU</v>
          </cell>
          <cell r="CG377" t="str">
            <v>3EU</v>
          </cell>
        </row>
        <row r="378">
          <cell r="O378">
            <v>3</v>
          </cell>
          <cell r="AN378">
            <v>6.0174672260419226E-2</v>
          </cell>
          <cell r="AO378">
            <v>6.0174672260419226E-2</v>
          </cell>
          <cell r="AP378">
            <v>6.0174672260419226E-2</v>
          </cell>
          <cell r="AZ378">
            <v>6.5000000000000002E-2</v>
          </cell>
          <cell r="BT378">
            <v>6.0174672260419226E-2</v>
          </cell>
          <cell r="BX378">
            <v>6.0174672260419226E-2</v>
          </cell>
          <cell r="CB378">
            <v>6.0174672260419226E-2</v>
          </cell>
          <cell r="CE378" t="str">
            <v>3LOCAL</v>
          </cell>
          <cell r="CF378" t="str">
            <v>3LOCAL</v>
          </cell>
          <cell r="CG378" t="str">
            <v>3LOCAL</v>
          </cell>
        </row>
        <row r="379">
          <cell r="O379">
            <v>3</v>
          </cell>
          <cell r="AN379">
            <v>0</v>
          </cell>
          <cell r="AO379">
            <v>0</v>
          </cell>
          <cell r="AP379">
            <v>0</v>
          </cell>
          <cell r="AZ379">
            <v>0</v>
          </cell>
          <cell r="BT379">
            <v>0</v>
          </cell>
          <cell r="BX379">
            <v>0</v>
          </cell>
          <cell r="CB379">
            <v>0</v>
          </cell>
          <cell r="CE379" t="str">
            <v>3EU</v>
          </cell>
          <cell r="CF379" t="str">
            <v>3EU</v>
          </cell>
          <cell r="CG379" t="str">
            <v>3EU</v>
          </cell>
        </row>
        <row r="380">
          <cell r="O380">
            <v>3</v>
          </cell>
          <cell r="AN380">
            <v>0</v>
          </cell>
          <cell r="AO380">
            <v>0</v>
          </cell>
          <cell r="AP380">
            <v>0</v>
          </cell>
          <cell r="AZ380">
            <v>0</v>
          </cell>
          <cell r="BT380">
            <v>0</v>
          </cell>
          <cell r="BX380">
            <v>0</v>
          </cell>
          <cell r="CB380">
            <v>0</v>
          </cell>
          <cell r="CE380" t="str">
            <v>3EU</v>
          </cell>
          <cell r="CF380" t="str">
            <v>3EU</v>
          </cell>
          <cell r="CG380" t="str">
            <v>3EU</v>
          </cell>
        </row>
        <row r="381">
          <cell r="O381">
            <v>3</v>
          </cell>
          <cell r="AN381">
            <v>0</v>
          </cell>
          <cell r="AO381">
            <v>0</v>
          </cell>
          <cell r="AP381">
            <v>0</v>
          </cell>
          <cell r="AZ381">
            <v>0</v>
          </cell>
          <cell r="BT381">
            <v>0</v>
          </cell>
          <cell r="BX381">
            <v>0</v>
          </cell>
          <cell r="CB381">
            <v>0</v>
          </cell>
          <cell r="CE381" t="str">
            <v>3LOCAL</v>
          </cell>
          <cell r="CF381" t="str">
            <v>3LOCAL</v>
          </cell>
          <cell r="CG381" t="str">
            <v>3LOCAL</v>
          </cell>
        </row>
        <row r="382">
          <cell r="O382">
            <v>3</v>
          </cell>
          <cell r="AN382">
            <v>5.8693449558624282</v>
          </cell>
          <cell r="AO382">
            <v>0</v>
          </cell>
          <cell r="AP382">
            <v>5.8693449558624282</v>
          </cell>
          <cell r="AZ382">
            <v>0</v>
          </cell>
          <cell r="BT382">
            <v>17.715981969435994</v>
          </cell>
          <cell r="BX382">
            <v>0</v>
          </cell>
          <cell r="CB382">
            <v>17.715981969435994</v>
          </cell>
          <cell r="CE382" t="str">
            <v>3LOCAL</v>
          </cell>
          <cell r="CF382" t="str">
            <v>3LOCAL</v>
          </cell>
          <cell r="CG382" t="str">
            <v>3LOCAL</v>
          </cell>
        </row>
        <row r="383">
          <cell r="O383">
            <v>3</v>
          </cell>
          <cell r="AN383">
            <v>8.9058514945420448</v>
          </cell>
          <cell r="AO383">
            <v>0</v>
          </cell>
          <cell r="AP383">
            <v>8.9058514945420448</v>
          </cell>
          <cell r="AZ383">
            <v>0</v>
          </cell>
          <cell r="BT383">
            <v>0</v>
          </cell>
          <cell r="BX383">
            <v>0</v>
          </cell>
          <cell r="CB383">
            <v>0</v>
          </cell>
          <cell r="CE383" t="str">
            <v>3LOCAL</v>
          </cell>
          <cell r="CF383" t="str">
            <v>3LOCAL</v>
          </cell>
          <cell r="CG383" t="str">
            <v>3LOCAL</v>
          </cell>
        </row>
        <row r="384">
          <cell r="O384">
            <v>3</v>
          </cell>
          <cell r="AN384">
            <v>5.8508296720899926</v>
          </cell>
          <cell r="AO384">
            <v>0</v>
          </cell>
          <cell r="AP384">
            <v>5.8508296720899926</v>
          </cell>
          <cell r="AZ384">
            <v>0</v>
          </cell>
          <cell r="BT384">
            <v>17.285007512735003</v>
          </cell>
          <cell r="BX384">
            <v>0</v>
          </cell>
          <cell r="CB384">
            <v>17.285007512735003</v>
          </cell>
          <cell r="CE384" t="str">
            <v>3LOCAL</v>
          </cell>
          <cell r="CF384" t="str">
            <v>3LOCAL</v>
          </cell>
          <cell r="CG384" t="str">
            <v>3LOCAL</v>
          </cell>
        </row>
        <row r="385">
          <cell r="O385">
            <v>3</v>
          </cell>
          <cell r="AN385">
            <v>8.9058514945420448</v>
          </cell>
          <cell r="AO385">
            <v>0</v>
          </cell>
          <cell r="AP385">
            <v>8.9058514945420448</v>
          </cell>
          <cell r="AZ385">
            <v>0</v>
          </cell>
          <cell r="BT385">
            <v>0</v>
          </cell>
          <cell r="BX385">
            <v>0</v>
          </cell>
          <cell r="CB385">
            <v>0</v>
          </cell>
          <cell r="CE385" t="str">
            <v>3LOCAL</v>
          </cell>
          <cell r="CF385" t="str">
            <v>3LOCAL</v>
          </cell>
          <cell r="CG385" t="str">
            <v>3LOCAL</v>
          </cell>
        </row>
        <row r="386">
          <cell r="O386">
            <v>3</v>
          </cell>
          <cell r="AN386">
            <v>0</v>
          </cell>
          <cell r="AO386">
            <v>0</v>
          </cell>
          <cell r="AP386">
            <v>0</v>
          </cell>
          <cell r="AZ386">
            <v>0</v>
          </cell>
          <cell r="BT386">
            <v>0</v>
          </cell>
          <cell r="BX386">
            <v>0</v>
          </cell>
          <cell r="CB386">
            <v>0</v>
          </cell>
          <cell r="CE386" t="str">
            <v>3LOCAL</v>
          </cell>
          <cell r="CF386" t="str">
            <v>3LOCAL</v>
          </cell>
          <cell r="CG386" t="str">
            <v>3LOCAL</v>
          </cell>
        </row>
        <row r="387">
          <cell r="O387">
            <v>3</v>
          </cell>
          <cell r="AN387">
            <v>0</v>
          </cell>
          <cell r="AO387">
            <v>0</v>
          </cell>
          <cell r="AP387">
            <v>0</v>
          </cell>
          <cell r="AZ387">
            <v>0</v>
          </cell>
          <cell r="BT387">
            <v>0</v>
          </cell>
          <cell r="BX387">
            <v>0</v>
          </cell>
          <cell r="CB387">
            <v>0</v>
          </cell>
          <cell r="CE387" t="str">
            <v>3LOCAL</v>
          </cell>
          <cell r="CF387" t="str">
            <v>3LOCAL</v>
          </cell>
          <cell r="CG387" t="str">
            <v>3LOCAL</v>
          </cell>
        </row>
        <row r="388">
          <cell r="O388">
            <v>3</v>
          </cell>
          <cell r="AN388">
            <v>0</v>
          </cell>
          <cell r="AO388">
            <v>0</v>
          </cell>
          <cell r="AP388">
            <v>0</v>
          </cell>
          <cell r="AZ388">
            <v>0</v>
          </cell>
          <cell r="BT388">
            <v>0</v>
          </cell>
          <cell r="BX388">
            <v>0</v>
          </cell>
          <cell r="CB388">
            <v>0</v>
          </cell>
          <cell r="CE388" t="str">
            <v>3LOCAL</v>
          </cell>
          <cell r="CF388" t="str">
            <v>3LOCAL</v>
          </cell>
          <cell r="CG388" t="str">
            <v>3LOCAL</v>
          </cell>
        </row>
        <row r="389">
          <cell r="O389">
            <v>3</v>
          </cell>
          <cell r="AN389">
            <v>0</v>
          </cell>
          <cell r="AO389">
            <v>0</v>
          </cell>
          <cell r="AP389">
            <v>0</v>
          </cell>
          <cell r="AZ389">
            <v>0</v>
          </cell>
          <cell r="BT389">
            <v>0</v>
          </cell>
          <cell r="BX389">
            <v>0</v>
          </cell>
          <cell r="CB389">
            <v>0</v>
          </cell>
          <cell r="CE389" t="str">
            <v>3LOCAL</v>
          </cell>
          <cell r="CF389" t="str">
            <v>3LOCAL</v>
          </cell>
          <cell r="CG389" t="str">
            <v>3LOCAL</v>
          </cell>
        </row>
        <row r="390">
          <cell r="O390">
            <v>3</v>
          </cell>
          <cell r="AN390">
            <v>6.1717612574788944E-2</v>
          </cell>
          <cell r="AO390">
            <v>6.1717612574788944E-2</v>
          </cell>
          <cell r="AP390">
            <v>6.1717612574788944E-2</v>
          </cell>
          <cell r="AZ390">
            <v>6.6666666666666666E-2</v>
          </cell>
          <cell r="BT390">
            <v>6.1717612574788944E-2</v>
          </cell>
          <cell r="BX390">
            <v>6.1717612574788944E-2</v>
          </cell>
          <cell r="CB390">
            <v>6.1717612574788944E-2</v>
          </cell>
          <cell r="CE390" t="str">
            <v>3LOCAL</v>
          </cell>
          <cell r="CF390" t="str">
            <v>3LOCAL</v>
          </cell>
          <cell r="CG390" t="str">
            <v>3LOCAL</v>
          </cell>
        </row>
        <row r="391">
          <cell r="O391">
            <v>3</v>
          </cell>
          <cell r="AN391">
            <v>0</v>
          </cell>
          <cell r="AO391">
            <v>0</v>
          </cell>
          <cell r="AP391">
            <v>0</v>
          </cell>
          <cell r="AZ391">
            <v>0</v>
          </cell>
          <cell r="BT391">
            <v>0</v>
          </cell>
          <cell r="BX391">
            <v>0</v>
          </cell>
          <cell r="CB391">
            <v>0</v>
          </cell>
          <cell r="CE391" t="str">
            <v>3LOCAL</v>
          </cell>
          <cell r="CF391" t="str">
            <v>3LOCAL</v>
          </cell>
          <cell r="CG391" t="str">
            <v>3LOCAL</v>
          </cell>
        </row>
        <row r="392">
          <cell r="O392">
            <v>3</v>
          </cell>
          <cell r="AN392">
            <v>0</v>
          </cell>
          <cell r="AO392">
            <v>0</v>
          </cell>
          <cell r="AP392">
            <v>0</v>
          </cell>
          <cell r="AZ392">
            <v>0</v>
          </cell>
          <cell r="BT392">
            <v>0</v>
          </cell>
          <cell r="BX392">
            <v>0</v>
          </cell>
          <cell r="CB392">
            <v>0</v>
          </cell>
          <cell r="CE392" t="str">
            <v>3LOCAL</v>
          </cell>
          <cell r="CF392" t="str">
            <v>3LOCAL</v>
          </cell>
          <cell r="CG392" t="str">
            <v>3LOCAL</v>
          </cell>
        </row>
        <row r="393">
          <cell r="O393">
            <v>3</v>
          </cell>
          <cell r="AN393">
            <v>0</v>
          </cell>
          <cell r="AO393">
            <v>0</v>
          </cell>
          <cell r="AP393">
            <v>0</v>
          </cell>
          <cell r="AZ393">
            <v>0</v>
          </cell>
          <cell r="BT393">
            <v>0</v>
          </cell>
          <cell r="BX393">
            <v>0</v>
          </cell>
          <cell r="CB393">
            <v>0</v>
          </cell>
          <cell r="CE393" t="str">
            <v>3LOCAL</v>
          </cell>
          <cell r="CF393" t="str">
            <v>3LOCAL</v>
          </cell>
          <cell r="CG393" t="str">
            <v>3LOCAL</v>
          </cell>
        </row>
        <row r="394">
          <cell r="O394">
            <v>3</v>
          </cell>
          <cell r="AN394">
            <v>0</v>
          </cell>
          <cell r="AO394">
            <v>0</v>
          </cell>
          <cell r="AP394">
            <v>0</v>
          </cell>
          <cell r="AZ394">
            <v>0</v>
          </cell>
          <cell r="BT394">
            <v>0</v>
          </cell>
          <cell r="BX394">
            <v>0</v>
          </cell>
          <cell r="CB394">
            <v>0</v>
          </cell>
          <cell r="CE394" t="str">
            <v>3LOCAL</v>
          </cell>
          <cell r="CF394" t="str">
            <v>3LOCAL</v>
          </cell>
          <cell r="CG394" t="str">
            <v>3LOCAL</v>
          </cell>
        </row>
        <row r="395">
          <cell r="O395">
            <v>3</v>
          </cell>
          <cell r="AN395">
            <v>0</v>
          </cell>
          <cell r="AO395">
            <v>0</v>
          </cell>
          <cell r="AP395">
            <v>0</v>
          </cell>
          <cell r="AZ395">
            <v>0</v>
          </cell>
          <cell r="BT395">
            <v>0</v>
          </cell>
          <cell r="BX395">
            <v>0</v>
          </cell>
          <cell r="CB395">
            <v>0</v>
          </cell>
          <cell r="CE395" t="str">
            <v>3LOCAL</v>
          </cell>
          <cell r="CF395" t="str">
            <v>3LOCAL</v>
          </cell>
          <cell r="CG395" t="str">
            <v>3LOCAL</v>
          </cell>
        </row>
        <row r="396">
          <cell r="O396">
            <v>3</v>
          </cell>
          <cell r="AN396">
            <v>0</v>
          </cell>
          <cell r="AO396">
            <v>0</v>
          </cell>
          <cell r="AP396">
            <v>0</v>
          </cell>
          <cell r="AZ396">
            <v>0</v>
          </cell>
          <cell r="BT396">
            <v>0</v>
          </cell>
          <cell r="BX396">
            <v>0</v>
          </cell>
          <cell r="CB396">
            <v>0</v>
          </cell>
          <cell r="CE396" t="str">
            <v>3LOCAL</v>
          </cell>
          <cell r="CF396" t="str">
            <v>3LOCAL</v>
          </cell>
          <cell r="CG396" t="str">
            <v>3LOCAL</v>
          </cell>
        </row>
        <row r="397">
          <cell r="O397">
            <v>3</v>
          </cell>
          <cell r="AN397">
            <v>0</v>
          </cell>
          <cell r="AO397">
            <v>0</v>
          </cell>
          <cell r="AP397">
            <v>0</v>
          </cell>
          <cell r="AZ397">
            <v>0</v>
          </cell>
          <cell r="BT397">
            <v>0</v>
          </cell>
          <cell r="BX397">
            <v>0</v>
          </cell>
          <cell r="CB397">
            <v>0</v>
          </cell>
          <cell r="CE397" t="str">
            <v>3LOCAL</v>
          </cell>
          <cell r="CF397" t="str">
            <v>3LOCAL</v>
          </cell>
          <cell r="CG397" t="str">
            <v>3LOCAL</v>
          </cell>
        </row>
        <row r="398">
          <cell r="O398">
            <v>3</v>
          </cell>
          <cell r="AN398">
            <v>0</v>
          </cell>
          <cell r="AO398">
            <v>0</v>
          </cell>
          <cell r="AP398">
            <v>0</v>
          </cell>
          <cell r="AZ398">
            <v>0</v>
          </cell>
          <cell r="BT398">
            <v>0</v>
          </cell>
          <cell r="BX398">
            <v>0</v>
          </cell>
          <cell r="CB398">
            <v>0</v>
          </cell>
          <cell r="CE398" t="str">
            <v>3LOCAL</v>
          </cell>
          <cell r="CF398" t="str">
            <v>3LOCAL</v>
          </cell>
          <cell r="CG398" t="str">
            <v>3LOCAL</v>
          </cell>
        </row>
        <row r="399">
          <cell r="O399">
            <v>3</v>
          </cell>
          <cell r="AN399">
            <v>0</v>
          </cell>
          <cell r="AO399">
            <v>0</v>
          </cell>
          <cell r="AP399">
            <v>0</v>
          </cell>
          <cell r="AZ399">
            <v>0</v>
          </cell>
          <cell r="BT399">
            <v>0</v>
          </cell>
          <cell r="BX399">
            <v>0</v>
          </cell>
          <cell r="CB399">
            <v>0</v>
          </cell>
          <cell r="CE399" t="str">
            <v>3LOCAL</v>
          </cell>
          <cell r="CF399" t="str">
            <v>3LOCAL</v>
          </cell>
          <cell r="CG399" t="str">
            <v>3LOCAL</v>
          </cell>
        </row>
        <row r="400">
          <cell r="O400">
            <v>3</v>
          </cell>
          <cell r="AN400">
            <v>0</v>
          </cell>
          <cell r="AO400">
            <v>0</v>
          </cell>
          <cell r="AP400">
            <v>0</v>
          </cell>
          <cell r="AZ400">
            <v>0</v>
          </cell>
          <cell r="BT400">
            <v>0</v>
          </cell>
          <cell r="BX400">
            <v>0</v>
          </cell>
          <cell r="CB400">
            <v>0</v>
          </cell>
          <cell r="CE400" t="str">
            <v>3LOCAL</v>
          </cell>
          <cell r="CF400" t="str">
            <v>3LOCAL</v>
          </cell>
          <cell r="CG400" t="str">
            <v>3LOCAL</v>
          </cell>
        </row>
        <row r="401">
          <cell r="O401">
            <v>3</v>
          </cell>
          <cell r="AN401">
            <v>0</v>
          </cell>
          <cell r="AO401">
            <v>0</v>
          </cell>
          <cell r="AP401">
            <v>0</v>
          </cell>
          <cell r="AZ401">
            <v>0</v>
          </cell>
          <cell r="BT401">
            <v>0</v>
          </cell>
          <cell r="BX401">
            <v>0</v>
          </cell>
          <cell r="CB401">
            <v>0</v>
          </cell>
          <cell r="CE401" t="str">
            <v>3LOCAL</v>
          </cell>
          <cell r="CF401" t="str">
            <v>3LOCAL</v>
          </cell>
          <cell r="CG401" t="str">
            <v>3LOCAL</v>
          </cell>
        </row>
        <row r="402">
          <cell r="O402">
            <v>3</v>
          </cell>
          <cell r="AN402">
            <v>0</v>
          </cell>
          <cell r="AO402">
            <v>0</v>
          </cell>
          <cell r="AP402">
            <v>0</v>
          </cell>
          <cell r="AZ402">
            <v>0</v>
          </cell>
          <cell r="BT402">
            <v>0</v>
          </cell>
          <cell r="BX402">
            <v>0</v>
          </cell>
          <cell r="CB402">
            <v>0</v>
          </cell>
          <cell r="CE402" t="str">
            <v>3LOCAL</v>
          </cell>
          <cell r="CF402" t="str">
            <v>3LOCAL</v>
          </cell>
          <cell r="CG402" t="str">
            <v>3LOCAL</v>
          </cell>
        </row>
        <row r="403">
          <cell r="O403">
            <v>3</v>
          </cell>
          <cell r="AN403">
            <v>0</v>
          </cell>
          <cell r="AO403">
            <v>0</v>
          </cell>
          <cell r="AP403">
            <v>0</v>
          </cell>
          <cell r="AZ403">
            <v>0</v>
          </cell>
          <cell r="BT403">
            <v>0</v>
          </cell>
          <cell r="BX403">
            <v>0</v>
          </cell>
          <cell r="CB403">
            <v>0</v>
          </cell>
          <cell r="CE403" t="str">
            <v>3LOCAL</v>
          </cell>
          <cell r="CF403" t="str">
            <v>3LOCAL</v>
          </cell>
          <cell r="CG403" t="str">
            <v>3LOCAL</v>
          </cell>
        </row>
        <row r="404">
          <cell r="O404">
            <v>3</v>
          </cell>
          <cell r="AN404">
            <v>0</v>
          </cell>
          <cell r="AO404">
            <v>0</v>
          </cell>
          <cell r="AP404">
            <v>0</v>
          </cell>
          <cell r="AZ404">
            <v>0</v>
          </cell>
          <cell r="BT404">
            <v>0</v>
          </cell>
          <cell r="BX404">
            <v>0</v>
          </cell>
          <cell r="CB404">
            <v>0</v>
          </cell>
          <cell r="CE404" t="str">
            <v>3LOCAL</v>
          </cell>
          <cell r="CF404" t="str">
            <v>3LOCAL</v>
          </cell>
          <cell r="CG404" t="str">
            <v>3LOCAL</v>
          </cell>
        </row>
        <row r="405">
          <cell r="AN405">
            <v>0</v>
          </cell>
          <cell r="AO405">
            <v>0</v>
          </cell>
          <cell r="AP405">
            <v>0</v>
          </cell>
          <cell r="BT405">
            <v>0</v>
          </cell>
          <cell r="BX405">
            <v>0</v>
          </cell>
          <cell r="CB405">
            <v>0</v>
          </cell>
          <cell r="CE405" t="str">
            <v>EU</v>
          </cell>
          <cell r="CF405" t="str">
            <v>EU</v>
          </cell>
          <cell r="CG405" t="str">
            <v>EU</v>
          </cell>
        </row>
        <row r="406">
          <cell r="AN406">
            <v>0</v>
          </cell>
          <cell r="AO406">
            <v>0</v>
          </cell>
          <cell r="AP406">
            <v>0</v>
          </cell>
          <cell r="BT406">
            <v>0</v>
          </cell>
          <cell r="BX406">
            <v>0</v>
          </cell>
          <cell r="CB406">
            <v>0</v>
          </cell>
          <cell r="CE406" t="str">
            <v>EU</v>
          </cell>
          <cell r="CF406" t="str">
            <v>EU</v>
          </cell>
          <cell r="CG406" t="str">
            <v>EU</v>
          </cell>
        </row>
        <row r="407">
          <cell r="O407">
            <v>4</v>
          </cell>
          <cell r="AN407">
            <v>1.407161566705188</v>
          </cell>
          <cell r="AO407">
            <v>1.407161566705188</v>
          </cell>
          <cell r="AP407">
            <v>1.407161566705188</v>
          </cell>
          <cell r="AZ407">
            <v>1.52</v>
          </cell>
          <cell r="BT407">
            <v>1.407161566705188</v>
          </cell>
          <cell r="BX407">
            <v>1.407161566705188</v>
          </cell>
          <cell r="CB407">
            <v>1.407161566705188</v>
          </cell>
          <cell r="CE407" t="str">
            <v>4EU</v>
          </cell>
          <cell r="CF407" t="str">
            <v>4EU</v>
          </cell>
          <cell r="CG407" t="str">
            <v>4EU</v>
          </cell>
        </row>
        <row r="408">
          <cell r="O408">
            <v>4</v>
          </cell>
          <cell r="AN408">
            <v>0.30550218224520531</v>
          </cell>
          <cell r="AO408">
            <v>0.30550218224520531</v>
          </cell>
          <cell r="AP408">
            <v>0.30550218224520531</v>
          </cell>
          <cell r="AZ408">
            <v>0.33</v>
          </cell>
          <cell r="BT408">
            <v>0.30550218224520531</v>
          </cell>
          <cell r="BX408">
            <v>0.30550218224520531</v>
          </cell>
          <cell r="CB408">
            <v>0.30550218224520531</v>
          </cell>
          <cell r="CE408" t="str">
            <v>4EU</v>
          </cell>
          <cell r="CF408" t="str">
            <v>4EU</v>
          </cell>
          <cell r="CG408" t="str">
            <v>4EU</v>
          </cell>
        </row>
        <row r="409">
          <cell r="O409">
            <v>4</v>
          </cell>
          <cell r="AN409">
            <v>3.2772052277212929</v>
          </cell>
          <cell r="AO409">
            <v>3.2772052277212929</v>
          </cell>
          <cell r="AP409">
            <v>3.2772052277212929</v>
          </cell>
          <cell r="AZ409">
            <v>3.54</v>
          </cell>
          <cell r="BT409">
            <v>2.3207839092315625</v>
          </cell>
          <cell r="BX409">
            <v>2.3207839092315625</v>
          </cell>
          <cell r="CB409">
            <v>2.3207839092315625</v>
          </cell>
          <cell r="CE409" t="str">
            <v>4LOCAL</v>
          </cell>
          <cell r="CF409" t="str">
            <v>4LOCAL</v>
          </cell>
          <cell r="CG409" t="str">
            <v>4LOCAL</v>
          </cell>
        </row>
        <row r="410">
          <cell r="O410">
            <v>4</v>
          </cell>
          <cell r="AN410">
            <v>0.91650654673561582</v>
          </cell>
          <cell r="AO410">
            <v>0.91650654673561582</v>
          </cell>
          <cell r="AP410">
            <v>0.91650654673561582</v>
          </cell>
          <cell r="AZ410">
            <v>0.99</v>
          </cell>
          <cell r="BT410">
            <v>0.37648272305312014</v>
          </cell>
          <cell r="BX410">
            <v>0.37648272305312014</v>
          </cell>
          <cell r="CB410">
            <v>0.37648272305312014</v>
          </cell>
          <cell r="CE410" t="str">
            <v>4LOCAL</v>
          </cell>
          <cell r="CF410" t="str">
            <v>4LOCAL</v>
          </cell>
          <cell r="CG410" t="str">
            <v>4LOCAL</v>
          </cell>
        </row>
        <row r="411">
          <cell r="O411">
            <v>4</v>
          </cell>
          <cell r="AN411">
            <v>0</v>
          </cell>
          <cell r="AO411">
            <v>5.1963646150342617</v>
          </cell>
          <cell r="AP411">
            <v>0</v>
          </cell>
          <cell r="AZ411">
            <v>5.0199999999999996</v>
          </cell>
          <cell r="BT411">
            <v>0</v>
          </cell>
          <cell r="BX411">
            <v>5.1963646150342617</v>
          </cell>
          <cell r="CB411">
            <v>0</v>
          </cell>
          <cell r="CE411" t="str">
            <v>4EU</v>
          </cell>
          <cell r="CF411" t="str">
            <v>4EU</v>
          </cell>
          <cell r="CG411" t="str">
            <v>4EU</v>
          </cell>
        </row>
        <row r="412">
          <cell r="O412">
            <v>4</v>
          </cell>
          <cell r="AN412">
            <v>0</v>
          </cell>
          <cell r="AO412">
            <v>2.0288594911289151</v>
          </cell>
          <cell r="AP412">
            <v>0</v>
          </cell>
          <cell r="AZ412">
            <v>1.96</v>
          </cell>
          <cell r="BT412">
            <v>0</v>
          </cell>
          <cell r="BX412">
            <v>2.4857967048858334</v>
          </cell>
          <cell r="CB412">
            <v>0</v>
          </cell>
          <cell r="CE412" t="str">
            <v>4LOCAL</v>
          </cell>
          <cell r="CF412" t="str">
            <v>4LOCAL</v>
          </cell>
          <cell r="CG412" t="str">
            <v>4LOCAL</v>
          </cell>
        </row>
        <row r="413">
          <cell r="O413">
            <v>4</v>
          </cell>
          <cell r="AN413">
            <v>2.5878309835827999</v>
          </cell>
          <cell r="AO413">
            <v>0</v>
          </cell>
          <cell r="AP413">
            <v>2.5878309835827999</v>
          </cell>
          <cell r="AZ413">
            <v>0</v>
          </cell>
          <cell r="BT413">
            <v>4.5933418674660915</v>
          </cell>
          <cell r="BX413">
            <v>0</v>
          </cell>
          <cell r="CB413">
            <v>4.5933418674660915</v>
          </cell>
          <cell r="CE413" t="str">
            <v>4LOCAL</v>
          </cell>
          <cell r="CF413" t="str">
            <v>4LOCAL</v>
          </cell>
          <cell r="CG413" t="str">
            <v>4LOCAL</v>
          </cell>
        </row>
        <row r="414">
          <cell r="O414">
            <v>4</v>
          </cell>
          <cell r="AN414">
            <v>1.2682969384119129</v>
          </cell>
          <cell r="AO414">
            <v>1.2682969384119129</v>
          </cell>
          <cell r="AP414">
            <v>1.2682969384119129</v>
          </cell>
          <cell r="AZ414">
            <v>1.37</v>
          </cell>
          <cell r="BT414">
            <v>0.45384218669417226</v>
          </cell>
          <cell r="BX414">
            <v>0.45384218669417226</v>
          </cell>
          <cell r="CB414">
            <v>0.45384218669417226</v>
          </cell>
          <cell r="CE414" t="str">
            <v>4LOCAL</v>
          </cell>
          <cell r="CF414" t="str">
            <v>4LOCAL</v>
          </cell>
          <cell r="CG414" t="str">
            <v>4LOCAL</v>
          </cell>
        </row>
        <row r="415">
          <cell r="O415">
            <v>4</v>
          </cell>
          <cell r="AN415">
            <v>0.12960698640705678</v>
          </cell>
          <cell r="AO415">
            <v>0.12960698640705678</v>
          </cell>
          <cell r="AP415">
            <v>0.12960698640705678</v>
          </cell>
          <cell r="AZ415">
            <v>0.14000000000000001</v>
          </cell>
          <cell r="BT415">
            <v>0.12960698640705678</v>
          </cell>
          <cell r="BX415">
            <v>0.12960698640705678</v>
          </cell>
          <cell r="CB415">
            <v>0.12960698640705678</v>
          </cell>
          <cell r="CE415" t="str">
            <v>4EU</v>
          </cell>
          <cell r="CF415" t="str">
            <v>4EU</v>
          </cell>
          <cell r="CG415" t="str">
            <v>4EU</v>
          </cell>
        </row>
        <row r="416">
          <cell r="O416">
            <v>4</v>
          </cell>
          <cell r="AN416">
            <v>0</v>
          </cell>
          <cell r="AO416">
            <v>0</v>
          </cell>
          <cell r="AP416">
            <v>2.8883842685001229</v>
          </cell>
          <cell r="AZ416">
            <v>0</v>
          </cell>
          <cell r="BT416">
            <v>0</v>
          </cell>
          <cell r="BX416">
            <v>0</v>
          </cell>
          <cell r="CB416">
            <v>2.8883842685001229</v>
          </cell>
          <cell r="CE416" t="str">
            <v>4EU</v>
          </cell>
          <cell r="CF416" t="str">
            <v>4EU</v>
          </cell>
          <cell r="CG416" t="str">
            <v>4EU</v>
          </cell>
        </row>
        <row r="417">
          <cell r="O417">
            <v>4</v>
          </cell>
          <cell r="AN417">
            <v>0</v>
          </cell>
          <cell r="AO417">
            <v>0</v>
          </cell>
          <cell r="AP417">
            <v>2.7772925658655025</v>
          </cell>
          <cell r="AZ417">
            <v>0</v>
          </cell>
          <cell r="BT417">
            <v>0</v>
          </cell>
          <cell r="BX417">
            <v>0</v>
          </cell>
          <cell r="CB417">
            <v>2.7772925658655025</v>
          </cell>
          <cell r="CE417" t="str">
            <v>4EU</v>
          </cell>
          <cell r="CF417" t="str">
            <v>4EU</v>
          </cell>
          <cell r="CG417" t="str">
            <v>4EU</v>
          </cell>
        </row>
        <row r="418">
          <cell r="O418">
            <v>4</v>
          </cell>
          <cell r="AN418">
            <v>2.96</v>
          </cell>
          <cell r="AO418">
            <v>0</v>
          </cell>
          <cell r="AP418">
            <v>0</v>
          </cell>
          <cell r="AZ418">
            <v>0</v>
          </cell>
          <cell r="BT418">
            <v>2.96</v>
          </cell>
          <cell r="BX418">
            <v>0</v>
          </cell>
          <cell r="CB418">
            <v>0</v>
          </cell>
          <cell r="CE418" t="str">
            <v>4EU</v>
          </cell>
          <cell r="CF418" t="str">
            <v>4EU</v>
          </cell>
          <cell r="CG418" t="str">
            <v>4EU</v>
          </cell>
        </row>
        <row r="419">
          <cell r="O419">
            <v>4</v>
          </cell>
          <cell r="AN419">
            <v>2.93</v>
          </cell>
          <cell r="AO419">
            <v>0</v>
          </cell>
          <cell r="AP419">
            <v>0</v>
          </cell>
          <cell r="AZ419">
            <v>0</v>
          </cell>
          <cell r="BT419">
            <v>2.93</v>
          </cell>
          <cell r="BX419">
            <v>0</v>
          </cell>
          <cell r="CB419">
            <v>0</v>
          </cell>
          <cell r="CE419" t="str">
            <v>4EU</v>
          </cell>
          <cell r="CF419" t="str">
            <v>4EU</v>
          </cell>
          <cell r="CG419" t="str">
            <v>4EU</v>
          </cell>
        </row>
        <row r="420">
          <cell r="O420">
            <v>4</v>
          </cell>
          <cell r="AN420">
            <v>4.8602619902646298</v>
          </cell>
          <cell r="AO420">
            <v>0</v>
          </cell>
          <cell r="AP420">
            <v>4.8602619902646298</v>
          </cell>
          <cell r="AZ420">
            <v>0</v>
          </cell>
          <cell r="BT420">
            <v>4.8602619902646298</v>
          </cell>
          <cell r="BX420">
            <v>0</v>
          </cell>
          <cell r="CB420">
            <v>4.8602619902646298</v>
          </cell>
          <cell r="CE420" t="str">
            <v>4EU</v>
          </cell>
          <cell r="CF420" t="str">
            <v>4EU</v>
          </cell>
          <cell r="CG420" t="str">
            <v>4EU</v>
          </cell>
        </row>
        <row r="421">
          <cell r="O421">
            <v>4</v>
          </cell>
          <cell r="AN421">
            <v>0.68506549958015728</v>
          </cell>
          <cell r="AO421">
            <v>0</v>
          </cell>
          <cell r="AP421">
            <v>0.68506549958015728</v>
          </cell>
          <cell r="AZ421">
            <v>0</v>
          </cell>
          <cell r="BT421">
            <v>0.35269542272877191</v>
          </cell>
          <cell r="BX421">
            <v>0</v>
          </cell>
          <cell r="CB421">
            <v>0.35269542272877191</v>
          </cell>
          <cell r="CE421" t="str">
            <v>4LOCAL</v>
          </cell>
          <cell r="CF421" t="str">
            <v>4LOCAL</v>
          </cell>
          <cell r="CG421" t="str">
            <v>4LOCAL</v>
          </cell>
        </row>
        <row r="422">
          <cell r="O422">
            <v>4</v>
          </cell>
          <cell r="AN422">
            <v>0.72209606712503072</v>
          </cell>
          <cell r="AO422">
            <v>0</v>
          </cell>
          <cell r="AP422">
            <v>0</v>
          </cell>
          <cell r="AZ422">
            <v>0</v>
          </cell>
          <cell r="BT422">
            <v>0.72209606712503072</v>
          </cell>
          <cell r="BX422">
            <v>0</v>
          </cell>
          <cell r="CB422">
            <v>0</v>
          </cell>
          <cell r="CE422" t="str">
            <v>4EU</v>
          </cell>
          <cell r="CF422" t="str">
            <v>4EU</v>
          </cell>
          <cell r="CG422" t="str">
            <v>4EU</v>
          </cell>
        </row>
        <row r="423">
          <cell r="O423">
            <v>4</v>
          </cell>
          <cell r="AN423">
            <v>0.68506549958015728</v>
          </cell>
          <cell r="AO423">
            <v>0</v>
          </cell>
          <cell r="AP423">
            <v>0</v>
          </cell>
          <cell r="AZ423">
            <v>0</v>
          </cell>
          <cell r="BT423">
            <v>0.68506549958015728</v>
          </cell>
          <cell r="BX423">
            <v>0</v>
          </cell>
          <cell r="CB423">
            <v>0</v>
          </cell>
          <cell r="CE423" t="str">
            <v>4EU</v>
          </cell>
          <cell r="CF423" t="str">
            <v>4EU</v>
          </cell>
          <cell r="CG423" t="str">
            <v>4EU</v>
          </cell>
        </row>
        <row r="424">
          <cell r="O424">
            <v>4</v>
          </cell>
          <cell r="AN424">
            <v>0</v>
          </cell>
          <cell r="AO424">
            <v>0</v>
          </cell>
          <cell r="AP424">
            <v>1.3516157153878778</v>
          </cell>
          <cell r="AZ424">
            <v>0</v>
          </cell>
          <cell r="BT424">
            <v>0</v>
          </cell>
          <cell r="BX424">
            <v>0</v>
          </cell>
          <cell r="CB424">
            <v>1.3516157153878778</v>
          </cell>
          <cell r="CE424" t="str">
            <v>4EU</v>
          </cell>
          <cell r="CF424" t="str">
            <v>4EU</v>
          </cell>
          <cell r="CG424" t="str">
            <v>4EU</v>
          </cell>
        </row>
        <row r="425">
          <cell r="O425">
            <v>4</v>
          </cell>
          <cell r="AN425">
            <v>0</v>
          </cell>
          <cell r="AO425">
            <v>0.25921397281411357</v>
          </cell>
          <cell r="AP425">
            <v>0</v>
          </cell>
          <cell r="AZ425">
            <v>0.28000000000000003</v>
          </cell>
          <cell r="BT425">
            <v>0</v>
          </cell>
          <cell r="BX425">
            <v>0.25921397281411357</v>
          </cell>
          <cell r="CB425">
            <v>0</v>
          </cell>
          <cell r="CE425" t="str">
            <v>4EU</v>
          </cell>
          <cell r="CF425" t="str">
            <v>4EU</v>
          </cell>
          <cell r="CG425" t="str">
            <v>4EU</v>
          </cell>
        </row>
        <row r="426">
          <cell r="O426">
            <v>4</v>
          </cell>
          <cell r="AN426">
            <v>2.4739664203051568</v>
          </cell>
          <cell r="AO426">
            <v>2.4739664203051568</v>
          </cell>
          <cell r="AP426">
            <v>2.4739664203051568</v>
          </cell>
          <cell r="AZ426">
            <v>2.39</v>
          </cell>
          <cell r="BT426">
            <v>2.421413463642331</v>
          </cell>
          <cell r="BX426">
            <v>2.421413463642331</v>
          </cell>
          <cell r="CB426">
            <v>2.421413463642331</v>
          </cell>
          <cell r="CE426" t="str">
            <v>4LOCAL</v>
          </cell>
          <cell r="CF426" t="str">
            <v>4LOCAL</v>
          </cell>
          <cell r="CG426" t="str">
            <v>4LOCAL</v>
          </cell>
        </row>
        <row r="427">
          <cell r="O427">
            <v>4</v>
          </cell>
          <cell r="AN427">
            <v>4.8754735730699954</v>
          </cell>
          <cell r="AO427">
            <v>4.8754735730699954</v>
          </cell>
          <cell r="AP427">
            <v>4.8754735730699954</v>
          </cell>
          <cell r="AZ427">
            <v>4.71</v>
          </cell>
          <cell r="BT427">
            <v>3.612503426647117</v>
          </cell>
          <cell r="BX427">
            <v>3.612503426647117</v>
          </cell>
          <cell r="CB427">
            <v>3.612503426647117</v>
          </cell>
          <cell r="CE427" t="str">
            <v>4LOCAL</v>
          </cell>
          <cell r="CF427" t="str">
            <v>4LOCAL</v>
          </cell>
          <cell r="CG427" t="str">
            <v>4LOCAL</v>
          </cell>
        </row>
        <row r="428">
          <cell r="O428">
            <v>4</v>
          </cell>
          <cell r="AN428">
            <v>1.1109170263462009</v>
          </cell>
          <cell r="AO428">
            <v>1.1109170263462009</v>
          </cell>
          <cell r="AP428">
            <v>1.1109170263462009</v>
          </cell>
          <cell r="AZ428">
            <v>1.2</v>
          </cell>
          <cell r="BT428">
            <v>0.91846717586433257</v>
          </cell>
          <cell r="BX428">
            <v>0.91846717586433257</v>
          </cell>
          <cell r="CB428">
            <v>0.91846717586433257</v>
          </cell>
          <cell r="CE428" t="str">
            <v>4LOCAL</v>
          </cell>
          <cell r="CF428" t="str">
            <v>4LOCAL</v>
          </cell>
          <cell r="CG428" t="str">
            <v>4LOCAL</v>
          </cell>
        </row>
        <row r="429">
          <cell r="O429">
            <v>4</v>
          </cell>
          <cell r="AN429">
            <v>0.92576418862183418</v>
          </cell>
          <cell r="AO429">
            <v>0.92576418862183418</v>
          </cell>
          <cell r="AP429">
            <v>0.92576418862183418</v>
          </cell>
          <cell r="AZ429">
            <v>1</v>
          </cell>
          <cell r="BT429">
            <v>0.92576418862183418</v>
          </cell>
          <cell r="BX429">
            <v>0.92576418862183418</v>
          </cell>
          <cell r="CB429">
            <v>0.92576418862183418</v>
          </cell>
          <cell r="CE429" t="str">
            <v>4EU</v>
          </cell>
          <cell r="CF429" t="str">
            <v>4EU</v>
          </cell>
          <cell r="CG429" t="str">
            <v>4EU</v>
          </cell>
        </row>
        <row r="430">
          <cell r="O430">
            <v>4</v>
          </cell>
          <cell r="AN430">
            <v>3.418434602599469E-2</v>
          </cell>
          <cell r="AO430">
            <v>0</v>
          </cell>
          <cell r="AP430">
            <v>3.418434602599469E-2</v>
          </cell>
          <cell r="AZ430">
            <v>0</v>
          </cell>
          <cell r="BT430">
            <v>3.418434602599469E-2</v>
          </cell>
          <cell r="BX430">
            <v>0</v>
          </cell>
          <cell r="CB430">
            <v>3.418434602599469E-2</v>
          </cell>
          <cell r="CE430" t="str">
            <v>4EU</v>
          </cell>
          <cell r="CF430" t="str">
            <v>4EU</v>
          </cell>
          <cell r="CG430" t="str">
            <v>4EU</v>
          </cell>
        </row>
        <row r="431">
          <cell r="O431">
            <v>4</v>
          </cell>
          <cell r="AN431">
            <v>0.33003528615980487</v>
          </cell>
          <cell r="AO431">
            <v>0.33003528615980487</v>
          </cell>
          <cell r="AP431">
            <v>0.33003528615980487</v>
          </cell>
          <cell r="AZ431">
            <v>0.35650038121600003</v>
          </cell>
          <cell r="BT431">
            <v>0.33003528615980487</v>
          </cell>
          <cell r="BX431">
            <v>0.33003528615980487</v>
          </cell>
          <cell r="CB431">
            <v>0.33003528615980487</v>
          </cell>
          <cell r="CE431" t="str">
            <v>4EU</v>
          </cell>
          <cell r="CF431" t="str">
            <v>4EU</v>
          </cell>
          <cell r="CG431" t="str">
            <v>4EU</v>
          </cell>
        </row>
        <row r="432">
          <cell r="O432">
            <v>4</v>
          </cell>
          <cell r="AN432">
            <v>0.16663755395193014</v>
          </cell>
          <cell r="AO432">
            <v>0</v>
          </cell>
          <cell r="AP432">
            <v>0.16663755395193014</v>
          </cell>
          <cell r="AZ432">
            <v>0</v>
          </cell>
          <cell r="BT432">
            <v>0.16663755395193014</v>
          </cell>
          <cell r="BX432">
            <v>0</v>
          </cell>
          <cell r="CB432">
            <v>0.16663755395193014</v>
          </cell>
          <cell r="CE432" t="str">
            <v>4EU</v>
          </cell>
          <cell r="CF432" t="str">
            <v>4EU</v>
          </cell>
          <cell r="CG432" t="str">
            <v>4EU</v>
          </cell>
        </row>
        <row r="433">
          <cell r="O433">
            <v>4</v>
          </cell>
          <cell r="AN433">
            <v>0.21000000000000002</v>
          </cell>
          <cell r="AO433">
            <v>0.21000000000000002</v>
          </cell>
          <cell r="AP433">
            <v>0.21000000000000002</v>
          </cell>
          <cell r="AZ433">
            <v>0.21000000000000002</v>
          </cell>
          <cell r="BT433">
            <v>0.21000000000000002</v>
          </cell>
          <cell r="BX433">
            <v>0.21000000000000002</v>
          </cell>
          <cell r="CB433">
            <v>0.21000000000000002</v>
          </cell>
          <cell r="CE433" t="str">
            <v>4EU</v>
          </cell>
          <cell r="CF433" t="str">
            <v>4EU</v>
          </cell>
          <cell r="CG433" t="str">
            <v>4EU</v>
          </cell>
        </row>
        <row r="434">
          <cell r="O434">
            <v>5</v>
          </cell>
          <cell r="AN434">
            <v>0</v>
          </cell>
          <cell r="AO434">
            <v>0</v>
          </cell>
          <cell r="AP434">
            <v>0</v>
          </cell>
          <cell r="AZ434">
            <v>0</v>
          </cell>
          <cell r="BT434">
            <v>0</v>
          </cell>
          <cell r="BX434">
            <v>0</v>
          </cell>
          <cell r="CB434">
            <v>0</v>
          </cell>
          <cell r="CE434" t="str">
            <v>5EU</v>
          </cell>
          <cell r="CF434" t="str">
            <v>5EU</v>
          </cell>
          <cell r="CG434" t="str">
            <v>5EU</v>
          </cell>
        </row>
        <row r="435">
          <cell r="O435">
            <v>5</v>
          </cell>
          <cell r="AN435">
            <v>0</v>
          </cell>
          <cell r="AO435">
            <v>0</v>
          </cell>
          <cell r="AP435">
            <v>0</v>
          </cell>
          <cell r="AZ435">
            <v>0</v>
          </cell>
          <cell r="BT435">
            <v>0</v>
          </cell>
          <cell r="BX435">
            <v>0</v>
          </cell>
          <cell r="CB435">
            <v>0</v>
          </cell>
          <cell r="CE435" t="str">
            <v>5EU</v>
          </cell>
          <cell r="CF435" t="str">
            <v>5EU</v>
          </cell>
          <cell r="CG435" t="str">
            <v>5EU</v>
          </cell>
        </row>
        <row r="436">
          <cell r="O436">
            <v>5</v>
          </cell>
          <cell r="AN436">
            <v>0</v>
          </cell>
          <cell r="AO436">
            <v>14.839999943608003</v>
          </cell>
          <cell r="AP436">
            <v>14.839999943608003</v>
          </cell>
          <cell r="AZ436">
            <v>16.03</v>
          </cell>
          <cell r="BT436">
            <v>0</v>
          </cell>
          <cell r="BX436">
            <v>17.249678712536372</v>
          </cell>
          <cell r="CB436">
            <v>17.249678712536372</v>
          </cell>
          <cell r="CE436" t="str">
            <v>5LOCAL</v>
          </cell>
          <cell r="CF436" t="str">
            <v>5LOCAL</v>
          </cell>
          <cell r="CG436" t="str">
            <v>5LOCAL</v>
          </cell>
        </row>
        <row r="437">
          <cell r="O437">
            <v>5</v>
          </cell>
          <cell r="AN437">
            <v>34.984628688019114</v>
          </cell>
          <cell r="AO437">
            <v>0</v>
          </cell>
          <cell r="AP437">
            <v>0</v>
          </cell>
          <cell r="AZ437">
            <v>0</v>
          </cell>
          <cell r="BT437">
            <v>36.631046303119319</v>
          </cell>
          <cell r="BX437">
            <v>0</v>
          </cell>
          <cell r="CB437">
            <v>0</v>
          </cell>
          <cell r="CE437" t="str">
            <v>5LOCAL</v>
          </cell>
          <cell r="CF437" t="str">
            <v>5LOCAL</v>
          </cell>
          <cell r="CG437" t="str">
            <v>5LOCAL</v>
          </cell>
        </row>
        <row r="438">
          <cell r="O438">
            <v>5</v>
          </cell>
          <cell r="AN438">
            <v>0</v>
          </cell>
          <cell r="AO438">
            <v>0</v>
          </cell>
          <cell r="AP438">
            <v>0</v>
          </cell>
          <cell r="AZ438">
            <v>0</v>
          </cell>
          <cell r="BT438">
            <v>0</v>
          </cell>
          <cell r="BX438">
            <v>0</v>
          </cell>
          <cell r="CB438">
            <v>0</v>
          </cell>
          <cell r="CE438" t="str">
            <v>5LOCAL</v>
          </cell>
          <cell r="CF438" t="str">
            <v>5LOCAL</v>
          </cell>
          <cell r="CG438" t="str">
            <v>5LOCAL</v>
          </cell>
        </row>
        <row r="439">
          <cell r="O439">
            <v>5</v>
          </cell>
          <cell r="AN439">
            <v>0</v>
          </cell>
          <cell r="AO439">
            <v>8.3744628502731118</v>
          </cell>
          <cell r="AP439">
            <v>8.3744628502731118</v>
          </cell>
          <cell r="AZ439">
            <v>9.0459999999999994</v>
          </cell>
          <cell r="BT439">
            <v>0</v>
          </cell>
          <cell r="BX439">
            <v>9.0498693472897429</v>
          </cell>
          <cell r="CB439">
            <v>9.0498693472897429</v>
          </cell>
          <cell r="CE439" t="str">
            <v>5EU</v>
          </cell>
          <cell r="CF439" t="str">
            <v>5LOCAL</v>
          </cell>
          <cell r="CG439" t="str">
            <v>5LOCAL</v>
          </cell>
        </row>
        <row r="440">
          <cell r="O440">
            <v>5</v>
          </cell>
          <cell r="AN440">
            <v>0</v>
          </cell>
          <cell r="AO440">
            <v>0</v>
          </cell>
          <cell r="AP440">
            <v>0</v>
          </cell>
          <cell r="AZ440">
            <v>0</v>
          </cell>
          <cell r="BT440">
            <v>0</v>
          </cell>
          <cell r="BX440">
            <v>0</v>
          </cell>
          <cell r="CB440">
            <v>0</v>
          </cell>
          <cell r="CE440" t="str">
            <v>5EU</v>
          </cell>
          <cell r="CF440" t="str">
            <v>5EU</v>
          </cell>
          <cell r="CG440" t="str">
            <v>5EU</v>
          </cell>
        </row>
        <row r="441">
          <cell r="O441">
            <v>5</v>
          </cell>
          <cell r="AN441">
            <v>8.3744628502731118</v>
          </cell>
          <cell r="AO441">
            <v>0</v>
          </cell>
          <cell r="AP441">
            <v>0</v>
          </cell>
          <cell r="AZ441">
            <v>0</v>
          </cell>
          <cell r="BT441">
            <v>9.0498693472897429</v>
          </cell>
          <cell r="BX441">
            <v>0</v>
          </cell>
          <cell r="CB441">
            <v>0</v>
          </cell>
          <cell r="CE441" t="str">
            <v>5LOCAL</v>
          </cell>
          <cell r="CF441" t="str">
            <v>5EU</v>
          </cell>
          <cell r="CG441" t="str">
            <v>5EU</v>
          </cell>
        </row>
        <row r="442">
          <cell r="O442">
            <v>5</v>
          </cell>
          <cell r="AN442">
            <v>8.3744628502731118</v>
          </cell>
          <cell r="AO442">
            <v>8.3744628502731118</v>
          </cell>
          <cell r="AP442">
            <v>8.3744628502731118</v>
          </cell>
          <cell r="AZ442">
            <v>9.0459999999999994</v>
          </cell>
          <cell r="BT442">
            <v>9.0498693472897429</v>
          </cell>
          <cell r="BX442">
            <v>9.0498693472897429</v>
          </cell>
          <cell r="CB442">
            <v>9.0498693472897429</v>
          </cell>
          <cell r="CE442" t="str">
            <v>5LOCAL</v>
          </cell>
          <cell r="CF442" t="str">
            <v>5LOCAL</v>
          </cell>
          <cell r="CG442" t="str">
            <v>5LOCAL</v>
          </cell>
        </row>
        <row r="443">
          <cell r="O443">
            <v>5</v>
          </cell>
          <cell r="AN443">
            <v>0</v>
          </cell>
          <cell r="AO443">
            <v>0</v>
          </cell>
          <cell r="AP443">
            <v>0</v>
          </cell>
          <cell r="AZ443">
            <v>0</v>
          </cell>
          <cell r="BT443">
            <v>0</v>
          </cell>
          <cell r="BX443">
            <v>0</v>
          </cell>
          <cell r="CB443">
            <v>0</v>
          </cell>
          <cell r="CE443" t="str">
            <v>5EU</v>
          </cell>
          <cell r="CF443" t="str">
            <v>5EU</v>
          </cell>
          <cell r="CG443" t="str">
            <v>5EU</v>
          </cell>
        </row>
        <row r="444">
          <cell r="O444">
            <v>5</v>
          </cell>
          <cell r="AN444">
            <v>0</v>
          </cell>
          <cell r="AO444">
            <v>0</v>
          </cell>
          <cell r="AP444">
            <v>0</v>
          </cell>
          <cell r="AZ444">
            <v>0</v>
          </cell>
          <cell r="BT444">
            <v>0</v>
          </cell>
          <cell r="BX444">
            <v>0</v>
          </cell>
          <cell r="CB444">
            <v>0</v>
          </cell>
          <cell r="CE444" t="str">
            <v>5EU</v>
          </cell>
          <cell r="CF444" t="str">
            <v>5EU</v>
          </cell>
          <cell r="CG444" t="str">
            <v>5EU</v>
          </cell>
        </row>
        <row r="445">
          <cell r="O445">
            <v>5</v>
          </cell>
          <cell r="AN445">
            <v>43.668296777291921</v>
          </cell>
          <cell r="AO445">
            <v>43.668296777291921</v>
          </cell>
          <cell r="AP445">
            <v>43.668296777291921</v>
          </cell>
          <cell r="AZ445">
            <v>47.17</v>
          </cell>
          <cell r="BT445">
            <v>51.13840133394028</v>
          </cell>
          <cell r="BX445">
            <v>51.13840133394028</v>
          </cell>
          <cell r="CB445">
            <v>51.13840133394028</v>
          </cell>
          <cell r="CE445" t="str">
            <v>5LOCAL</v>
          </cell>
          <cell r="CF445" t="str">
            <v>5LOCAL</v>
          </cell>
          <cell r="CG445" t="str">
            <v>5LOCAL</v>
          </cell>
        </row>
        <row r="446">
          <cell r="O446">
            <v>5</v>
          </cell>
          <cell r="AN446">
            <v>0</v>
          </cell>
          <cell r="AO446">
            <v>0</v>
          </cell>
          <cell r="AP446">
            <v>0</v>
          </cell>
          <cell r="AZ446">
            <v>0</v>
          </cell>
          <cell r="BT446">
            <v>0</v>
          </cell>
          <cell r="BX446">
            <v>0</v>
          </cell>
          <cell r="CB446">
            <v>0</v>
          </cell>
          <cell r="CE446" t="str">
            <v>5LOCAL</v>
          </cell>
          <cell r="CF446" t="str">
            <v>5LOCAL</v>
          </cell>
          <cell r="CG446" t="str">
            <v>5LOCAL</v>
          </cell>
        </row>
        <row r="447">
          <cell r="O447">
            <v>5</v>
          </cell>
          <cell r="AN447">
            <v>0</v>
          </cell>
          <cell r="AO447">
            <v>0</v>
          </cell>
          <cell r="AP447">
            <v>0</v>
          </cell>
          <cell r="AZ447">
            <v>0</v>
          </cell>
          <cell r="BT447">
            <v>0</v>
          </cell>
          <cell r="BX447">
            <v>0</v>
          </cell>
          <cell r="CB447">
            <v>0</v>
          </cell>
          <cell r="CE447" t="str">
            <v>5EU</v>
          </cell>
          <cell r="CF447" t="str">
            <v>5EU</v>
          </cell>
          <cell r="CG447" t="str">
            <v>5EU</v>
          </cell>
        </row>
        <row r="448">
          <cell r="O448">
            <v>5</v>
          </cell>
          <cell r="AN448">
            <v>0</v>
          </cell>
          <cell r="AO448">
            <v>0</v>
          </cell>
          <cell r="AP448">
            <v>0</v>
          </cell>
          <cell r="AZ448">
            <v>0</v>
          </cell>
          <cell r="BT448">
            <v>0</v>
          </cell>
          <cell r="BX448">
            <v>0</v>
          </cell>
          <cell r="CB448">
            <v>0</v>
          </cell>
          <cell r="CE448" t="str">
            <v>5EU</v>
          </cell>
          <cell r="CF448" t="str">
            <v>5EU</v>
          </cell>
          <cell r="CG448" t="str">
            <v>5EU</v>
          </cell>
        </row>
        <row r="449">
          <cell r="O449">
            <v>5</v>
          </cell>
          <cell r="AN449">
            <v>0</v>
          </cell>
          <cell r="AO449">
            <v>0</v>
          </cell>
          <cell r="AP449">
            <v>9.5909169941222014</v>
          </cell>
          <cell r="AZ449">
            <v>0</v>
          </cell>
          <cell r="BT449">
            <v>0</v>
          </cell>
          <cell r="BX449">
            <v>0</v>
          </cell>
          <cell r="CB449">
            <v>10.631282710333259</v>
          </cell>
          <cell r="CE449" t="str">
            <v>5LOCAL</v>
          </cell>
          <cell r="CF449" t="str">
            <v>5LOCAL</v>
          </cell>
          <cell r="CG449" t="str">
            <v>5LOCAL</v>
          </cell>
        </row>
        <row r="450">
          <cell r="O450">
            <v>5</v>
          </cell>
          <cell r="AN450">
            <v>0</v>
          </cell>
          <cell r="AO450">
            <v>0</v>
          </cell>
          <cell r="AP450">
            <v>11.266550175527723</v>
          </cell>
          <cell r="AZ450">
            <v>0</v>
          </cell>
          <cell r="BT450">
            <v>0</v>
          </cell>
          <cell r="BX450">
            <v>0</v>
          </cell>
          <cell r="CB450">
            <v>13.589893843101061</v>
          </cell>
          <cell r="CE450" t="str">
            <v>5LOCAL</v>
          </cell>
          <cell r="CF450" t="str">
            <v>5LOCAL</v>
          </cell>
          <cell r="CG450" t="str">
            <v>5LOCAL</v>
          </cell>
        </row>
        <row r="451">
          <cell r="O451">
            <v>5</v>
          </cell>
          <cell r="AN451">
            <v>5.8878602396348647</v>
          </cell>
          <cell r="AO451">
            <v>5.8878602396348647</v>
          </cell>
          <cell r="AP451">
            <v>0</v>
          </cell>
          <cell r="AZ451">
            <v>6.3599999999999994</v>
          </cell>
          <cell r="BT451">
            <v>1.4617007738563801</v>
          </cell>
          <cell r="BX451">
            <v>1.4617007738563801</v>
          </cell>
          <cell r="CB451">
            <v>0</v>
          </cell>
          <cell r="CE451" t="str">
            <v>5LOCAL</v>
          </cell>
          <cell r="CF451" t="str">
            <v>5LOCAL</v>
          </cell>
          <cell r="CG451" t="str">
            <v>5LOCAL</v>
          </cell>
        </row>
        <row r="452">
          <cell r="O452">
            <v>5</v>
          </cell>
          <cell r="AN452">
            <v>7.563493421040385</v>
          </cell>
          <cell r="AO452">
            <v>7.563493421040385</v>
          </cell>
          <cell r="AP452">
            <v>0</v>
          </cell>
          <cell r="AZ452">
            <v>8.17</v>
          </cell>
          <cell r="BT452">
            <v>7.563493421040385</v>
          </cell>
          <cell r="BX452">
            <v>7.563493421040385</v>
          </cell>
          <cell r="CB452">
            <v>0</v>
          </cell>
          <cell r="CE452" t="str">
            <v>5EU</v>
          </cell>
          <cell r="CF452" t="str">
            <v>5EU</v>
          </cell>
          <cell r="CG452" t="str">
            <v>5EU</v>
          </cell>
        </row>
        <row r="453">
          <cell r="O453">
            <v>5</v>
          </cell>
          <cell r="AN453">
            <v>14.071615667051878</v>
          </cell>
          <cell r="AO453">
            <v>14.071615667051878</v>
          </cell>
          <cell r="AP453">
            <v>14.071615667051878</v>
          </cell>
          <cell r="AZ453">
            <v>15.2</v>
          </cell>
          <cell r="BT453">
            <v>15.512337187106249</v>
          </cell>
          <cell r="BX453">
            <v>15.512337187106249</v>
          </cell>
          <cell r="CB453">
            <v>15.512337187106249</v>
          </cell>
          <cell r="CE453" t="str">
            <v>5LOCAL</v>
          </cell>
          <cell r="CF453" t="str">
            <v>5LOCAL</v>
          </cell>
          <cell r="CG453" t="str">
            <v>5LOCAL</v>
          </cell>
        </row>
        <row r="454">
          <cell r="O454">
            <v>5</v>
          </cell>
          <cell r="AN454">
            <v>6.7117903675082982</v>
          </cell>
          <cell r="AO454">
            <v>6.7117903675082982</v>
          </cell>
          <cell r="AP454">
            <v>0</v>
          </cell>
          <cell r="AZ454">
            <v>7.25</v>
          </cell>
          <cell r="BT454">
            <v>5.2512581139231278</v>
          </cell>
          <cell r="BX454">
            <v>5.2512581139231278</v>
          </cell>
          <cell r="CB454">
            <v>0</v>
          </cell>
          <cell r="CE454" t="str">
            <v>5LOCAL</v>
          </cell>
          <cell r="CF454" t="str">
            <v>5LOCAL</v>
          </cell>
          <cell r="CG454" t="str">
            <v>5LOCAL</v>
          </cell>
        </row>
        <row r="455">
          <cell r="O455">
            <v>5</v>
          </cell>
          <cell r="AN455">
            <v>5.313886442689328</v>
          </cell>
          <cell r="AO455">
            <v>5.313886442689328</v>
          </cell>
          <cell r="AP455">
            <v>5.313886442689328</v>
          </cell>
          <cell r="AZ455">
            <v>5.74</v>
          </cell>
          <cell r="BT455">
            <v>5.2311383510345335</v>
          </cell>
          <cell r="BX455">
            <v>5.2311383510345335</v>
          </cell>
          <cell r="CB455">
            <v>5.2311383510345335</v>
          </cell>
          <cell r="CE455" t="str">
            <v>5LOCAL</v>
          </cell>
          <cell r="CF455" t="str">
            <v>5LOCAL</v>
          </cell>
          <cell r="CG455" t="str">
            <v>5LOCAL</v>
          </cell>
        </row>
        <row r="456">
          <cell r="O456">
            <v>5</v>
          </cell>
          <cell r="AN456">
            <v>0</v>
          </cell>
          <cell r="AO456">
            <v>0</v>
          </cell>
          <cell r="AP456">
            <v>20.718602541356649</v>
          </cell>
          <cell r="AZ456">
            <v>0</v>
          </cell>
          <cell r="BT456">
            <v>0</v>
          </cell>
          <cell r="BX456">
            <v>0</v>
          </cell>
          <cell r="CB456">
            <v>24.373080763243205</v>
          </cell>
          <cell r="CE456" t="str">
            <v>5LOCAL</v>
          </cell>
          <cell r="CF456" t="str">
            <v>5LOCAL</v>
          </cell>
          <cell r="CG456" t="str">
            <v>5LOCAL</v>
          </cell>
        </row>
        <row r="457">
          <cell r="O457">
            <v>5</v>
          </cell>
          <cell r="AN457">
            <v>0</v>
          </cell>
          <cell r="AO457">
            <v>0</v>
          </cell>
          <cell r="AP457">
            <v>20.718602541356649</v>
          </cell>
          <cell r="AZ457">
            <v>0</v>
          </cell>
          <cell r="BT457">
            <v>0</v>
          </cell>
          <cell r="BX457">
            <v>0</v>
          </cell>
          <cell r="CB457">
            <v>24.373080763243205</v>
          </cell>
          <cell r="CE457" t="str">
            <v>5LOCAL</v>
          </cell>
          <cell r="CF457" t="str">
            <v>5LOCAL</v>
          </cell>
          <cell r="CG457" t="str">
            <v>5LOCAL</v>
          </cell>
        </row>
        <row r="458">
          <cell r="O458">
            <v>5</v>
          </cell>
          <cell r="AN458">
            <v>0.72209606712503072</v>
          </cell>
          <cell r="AO458">
            <v>0.72209606712503072</v>
          </cell>
          <cell r="AP458">
            <v>0.72209606712503072</v>
          </cell>
          <cell r="AZ458">
            <v>0.78</v>
          </cell>
          <cell r="BT458">
            <v>0.72209606712503072</v>
          </cell>
          <cell r="BX458">
            <v>0.72209606712503072</v>
          </cell>
          <cell r="CB458">
            <v>0.72209606712503072</v>
          </cell>
          <cell r="CE458" t="str">
            <v>5EU</v>
          </cell>
          <cell r="CF458" t="str">
            <v>5EU</v>
          </cell>
          <cell r="CG458" t="str">
            <v>5EU</v>
          </cell>
        </row>
        <row r="459">
          <cell r="O459">
            <v>5</v>
          </cell>
          <cell r="AN459">
            <v>3.7104628679963114</v>
          </cell>
          <cell r="AO459">
            <v>3.7104628679963114</v>
          </cell>
          <cell r="AP459">
            <v>3.7104628679963114</v>
          </cell>
          <cell r="AZ459">
            <v>4.008</v>
          </cell>
          <cell r="BT459">
            <v>4.6044077370548191</v>
          </cell>
          <cell r="BX459">
            <v>4.6044077370548191</v>
          </cell>
          <cell r="CB459">
            <v>4.6044077370548191</v>
          </cell>
          <cell r="CE459" t="str">
            <v>5LOCAL</v>
          </cell>
          <cell r="CF459" t="str">
            <v>5LOCAL</v>
          </cell>
          <cell r="CG459" t="str">
            <v>5LOCAL</v>
          </cell>
        </row>
        <row r="460">
          <cell r="O460">
            <v>5</v>
          </cell>
          <cell r="AN460">
            <v>0.23287754486545842</v>
          </cell>
          <cell r="AO460">
            <v>0.23287754486545842</v>
          </cell>
          <cell r="AP460">
            <v>0.23287754486545842</v>
          </cell>
          <cell r="AZ460">
            <v>0.25155168857000004</v>
          </cell>
          <cell r="BT460">
            <v>0.23287754486545842</v>
          </cell>
          <cell r="BX460">
            <v>0.23287754486545842</v>
          </cell>
          <cell r="CB460">
            <v>0.23287754486545842</v>
          </cell>
          <cell r="CE460" t="str">
            <v>5EU</v>
          </cell>
          <cell r="CF460" t="str">
            <v>5EU</v>
          </cell>
          <cell r="CG460" t="str">
            <v>5EU</v>
          </cell>
        </row>
        <row r="461">
          <cell r="O461">
            <v>5</v>
          </cell>
          <cell r="AN461">
            <v>0.23701146578022986</v>
          </cell>
          <cell r="AO461">
            <v>0.23701146578022986</v>
          </cell>
          <cell r="AP461">
            <v>0.23701146578022986</v>
          </cell>
          <cell r="AZ461">
            <v>0.25601710316000004</v>
          </cell>
          <cell r="BT461">
            <v>0.23701146578022986</v>
          </cell>
          <cell r="BX461">
            <v>0.23701146578022986</v>
          </cell>
          <cell r="CB461">
            <v>0.23701146578022986</v>
          </cell>
          <cell r="CE461" t="str">
            <v>5EU</v>
          </cell>
          <cell r="CF461" t="str">
            <v>5EU</v>
          </cell>
          <cell r="CG461" t="str">
            <v>5EU</v>
          </cell>
        </row>
        <row r="462">
          <cell r="O462">
            <v>5</v>
          </cell>
          <cell r="AN462">
            <v>0</v>
          </cell>
          <cell r="AO462">
            <v>0</v>
          </cell>
          <cell r="AP462">
            <v>0</v>
          </cell>
          <cell r="AZ462">
            <v>0</v>
          </cell>
          <cell r="BT462">
            <v>0</v>
          </cell>
          <cell r="BX462">
            <v>0</v>
          </cell>
          <cell r="CB462">
            <v>0</v>
          </cell>
          <cell r="CE462" t="str">
            <v>5EU</v>
          </cell>
          <cell r="CF462" t="str">
            <v>5EU</v>
          </cell>
          <cell r="CG462" t="str">
            <v>5EU</v>
          </cell>
        </row>
        <row r="463">
          <cell r="O463">
            <v>5</v>
          </cell>
          <cell r="AN463">
            <v>0</v>
          </cell>
          <cell r="AO463">
            <v>0</v>
          </cell>
          <cell r="AP463">
            <v>0</v>
          </cell>
          <cell r="AZ463">
            <v>0</v>
          </cell>
          <cell r="BT463">
            <v>0</v>
          </cell>
          <cell r="BX463">
            <v>0</v>
          </cell>
          <cell r="CB463">
            <v>0</v>
          </cell>
          <cell r="CE463" t="str">
            <v>5EU</v>
          </cell>
          <cell r="CF463" t="str">
            <v>5EU</v>
          </cell>
          <cell r="CG463" t="str">
            <v>5EU</v>
          </cell>
        </row>
        <row r="464">
          <cell r="O464">
            <v>5</v>
          </cell>
          <cell r="AN464">
            <v>0</v>
          </cell>
          <cell r="AO464">
            <v>0</v>
          </cell>
          <cell r="AP464">
            <v>10.072314372205557</v>
          </cell>
          <cell r="AZ464">
            <v>0</v>
          </cell>
          <cell r="BT464">
            <v>0</v>
          </cell>
          <cell r="BX464">
            <v>0</v>
          </cell>
          <cell r="CB464">
            <v>11.068887553160186</v>
          </cell>
          <cell r="CE464" t="str">
            <v>5LOCAL</v>
          </cell>
          <cell r="CF464" t="str">
            <v>5LOCAL</v>
          </cell>
          <cell r="CG464" t="str">
            <v>5LOCAL</v>
          </cell>
        </row>
        <row r="465">
          <cell r="O465">
            <v>5</v>
          </cell>
          <cell r="AN465">
            <v>0</v>
          </cell>
          <cell r="AO465">
            <v>53.425851325366054</v>
          </cell>
          <cell r="AP465">
            <v>53.425851325366054</v>
          </cell>
          <cell r="AZ465">
            <v>57.71</v>
          </cell>
          <cell r="BT465">
            <v>0</v>
          </cell>
          <cell r="BX465">
            <v>64.449636461034302</v>
          </cell>
          <cell r="CB465">
            <v>64.449636461034302</v>
          </cell>
          <cell r="CE465" t="str">
            <v>5LOCAL</v>
          </cell>
          <cell r="CF465" t="str">
            <v>5LOCAL</v>
          </cell>
          <cell r="CG465" t="str">
            <v>5LOCAL</v>
          </cell>
        </row>
        <row r="466">
          <cell r="O466">
            <v>5</v>
          </cell>
          <cell r="AN466">
            <v>0</v>
          </cell>
          <cell r="AO466">
            <v>0</v>
          </cell>
          <cell r="AP466">
            <v>0</v>
          </cell>
          <cell r="AZ466">
            <v>0</v>
          </cell>
          <cell r="BT466">
            <v>0</v>
          </cell>
          <cell r="BX466">
            <v>0</v>
          </cell>
          <cell r="CB466">
            <v>0</v>
          </cell>
          <cell r="CE466" t="str">
            <v>5EU</v>
          </cell>
          <cell r="CF466" t="str">
            <v>5EU</v>
          </cell>
          <cell r="CG466" t="str">
            <v>5EU</v>
          </cell>
        </row>
        <row r="467">
          <cell r="O467">
            <v>6</v>
          </cell>
          <cell r="AN467">
            <v>0</v>
          </cell>
          <cell r="AO467">
            <v>0</v>
          </cell>
          <cell r="AP467">
            <v>17.430871543577179</v>
          </cell>
          <cell r="AZ467">
            <v>0</v>
          </cell>
          <cell r="BT467">
            <v>0</v>
          </cell>
          <cell r="BX467">
            <v>0</v>
          </cell>
          <cell r="CB467">
            <v>17.430871543577179</v>
          </cell>
          <cell r="CE467" t="str">
            <v>6LOCAL</v>
          </cell>
          <cell r="CF467" t="str">
            <v>6LOCAL</v>
          </cell>
          <cell r="CG467" t="str">
            <v>6LOCAL</v>
          </cell>
        </row>
        <row r="468">
          <cell r="O468">
            <v>6</v>
          </cell>
          <cell r="AN468">
            <v>44.055536110138846</v>
          </cell>
          <cell r="AO468">
            <v>44.055536110138846</v>
          </cell>
          <cell r="AP468">
            <v>0</v>
          </cell>
          <cell r="AZ468">
            <v>48.408319999999996</v>
          </cell>
          <cell r="BT468">
            <v>44.055536110138846</v>
          </cell>
          <cell r="BX468">
            <v>44.055536110138846</v>
          </cell>
          <cell r="CB468">
            <v>0</v>
          </cell>
          <cell r="CE468" t="str">
            <v>6LOCAL</v>
          </cell>
          <cell r="CF468" t="str">
            <v>6LOCAL</v>
          </cell>
          <cell r="CG468" t="str">
            <v>6LOCAL</v>
          </cell>
        </row>
        <row r="469">
          <cell r="O469">
            <v>6</v>
          </cell>
          <cell r="AN469">
            <v>1.8434255046085641</v>
          </cell>
          <cell r="AO469">
            <v>1.8434255046085641</v>
          </cell>
          <cell r="AP469">
            <v>1.8434255046085641</v>
          </cell>
          <cell r="AZ469">
            <v>2.02556</v>
          </cell>
          <cell r="BT469">
            <v>1.8434255046085639</v>
          </cell>
          <cell r="BX469">
            <v>1.8434255046085639</v>
          </cell>
          <cell r="CB469">
            <v>1.8434255046085639</v>
          </cell>
          <cell r="CE469" t="str">
            <v>6LOCAL</v>
          </cell>
          <cell r="CF469" t="str">
            <v>6LOCAL</v>
          </cell>
          <cell r="CG469" t="str">
            <v>6LOCAL</v>
          </cell>
        </row>
        <row r="470">
          <cell r="O470">
            <v>6</v>
          </cell>
          <cell r="AN470">
            <v>3.3368335083420839</v>
          </cell>
          <cell r="AO470">
            <v>3.3368335083420839</v>
          </cell>
          <cell r="AP470">
            <v>3.3368335083420839</v>
          </cell>
          <cell r="AZ470">
            <v>3.6665199999999998</v>
          </cell>
          <cell r="BT470">
            <v>3.4768405086921015</v>
          </cell>
          <cell r="BX470">
            <v>3.4768405086921015</v>
          </cell>
          <cell r="CB470">
            <v>3.4768405086921015</v>
          </cell>
          <cell r="CE470" t="str">
            <v>6LOCAL</v>
          </cell>
          <cell r="CF470" t="str">
            <v>6LOCAL</v>
          </cell>
          <cell r="CG470" t="str">
            <v>6LOCAL</v>
          </cell>
        </row>
        <row r="471">
          <cell r="O471">
            <v>6</v>
          </cell>
          <cell r="AN471">
            <v>4.2702135106755348</v>
          </cell>
          <cell r="AO471">
            <v>4.2702135106755348</v>
          </cell>
          <cell r="AP471">
            <v>0</v>
          </cell>
          <cell r="AZ471">
            <v>4.6921200000000001</v>
          </cell>
          <cell r="BT471">
            <v>4.2702135106755339</v>
          </cell>
          <cell r="BX471">
            <v>4.2702135106755339</v>
          </cell>
          <cell r="CB471">
            <v>0</v>
          </cell>
          <cell r="CE471" t="str">
            <v>6LOCAL</v>
          </cell>
          <cell r="CF471" t="str">
            <v>6LOCAL</v>
          </cell>
          <cell r="CG471" t="str">
            <v>6LOCAL</v>
          </cell>
        </row>
        <row r="472">
          <cell r="O472">
            <v>6</v>
          </cell>
          <cell r="AN472">
            <v>3.033485007583713</v>
          </cell>
          <cell r="AO472">
            <v>3.033485007583713</v>
          </cell>
          <cell r="AP472">
            <v>0</v>
          </cell>
          <cell r="AZ472">
            <v>3.3332000000000002</v>
          </cell>
          <cell r="BT472">
            <v>3.0334850075837125</v>
          </cell>
          <cell r="BX472">
            <v>3.0334850075837125</v>
          </cell>
          <cell r="CB472">
            <v>0</v>
          </cell>
          <cell r="CE472" t="str">
            <v>6LOCAL</v>
          </cell>
          <cell r="CF472" t="str">
            <v>6LOCAL</v>
          </cell>
          <cell r="CG472" t="str">
            <v>6LOCAL</v>
          </cell>
        </row>
        <row r="473">
          <cell r="O473">
            <v>6</v>
          </cell>
          <cell r="AN473">
            <v>1.5167425037918565</v>
          </cell>
          <cell r="AO473">
            <v>1.5167425037918565</v>
          </cell>
          <cell r="AP473">
            <v>0</v>
          </cell>
          <cell r="AZ473">
            <v>1.6666000000000001</v>
          </cell>
          <cell r="BT473">
            <v>1.5167425037918563</v>
          </cell>
          <cell r="BX473">
            <v>1.5167425037918563</v>
          </cell>
          <cell r="CB473">
            <v>0</v>
          </cell>
          <cell r="CE473" t="str">
            <v>6LOCAL</v>
          </cell>
          <cell r="CF473" t="str">
            <v>6LOCAL</v>
          </cell>
          <cell r="CG473" t="str">
            <v>6LOCAL</v>
          </cell>
        </row>
        <row r="474">
          <cell r="O474">
            <v>6</v>
          </cell>
          <cell r="AN474">
            <v>1.3067320032668301</v>
          </cell>
          <cell r="AO474">
            <v>1.3067320032668301</v>
          </cell>
          <cell r="AP474">
            <v>0</v>
          </cell>
          <cell r="AZ474">
            <v>1.43584</v>
          </cell>
          <cell r="BT474">
            <v>1.3067320032668301</v>
          </cell>
          <cell r="BX474">
            <v>1.3067320032668301</v>
          </cell>
          <cell r="CB474">
            <v>0</v>
          </cell>
          <cell r="CE474" t="str">
            <v>6LOCAL</v>
          </cell>
          <cell r="CF474" t="str">
            <v>6LOCAL</v>
          </cell>
          <cell r="CG474" t="str">
            <v>6LOCAL</v>
          </cell>
        </row>
        <row r="475">
          <cell r="O475">
            <v>6</v>
          </cell>
          <cell r="AN475">
            <v>8.120000000000001</v>
          </cell>
          <cell r="AO475">
            <v>0</v>
          </cell>
          <cell r="AP475">
            <v>0</v>
          </cell>
          <cell r="AZ475">
            <v>0</v>
          </cell>
          <cell r="BT475">
            <v>8.120000000000001</v>
          </cell>
          <cell r="BX475">
            <v>0</v>
          </cell>
          <cell r="CB475">
            <v>0</v>
          </cell>
          <cell r="CE475" t="str">
            <v>6EU</v>
          </cell>
          <cell r="CF475" t="str">
            <v>6EU</v>
          </cell>
          <cell r="CG475" t="str">
            <v>6EU</v>
          </cell>
        </row>
        <row r="476">
          <cell r="O476">
            <v>6</v>
          </cell>
          <cell r="AN476">
            <v>0</v>
          </cell>
          <cell r="AO476">
            <v>0.96</v>
          </cell>
          <cell r="AP476">
            <v>0</v>
          </cell>
          <cell r="AZ476">
            <v>0.96</v>
          </cell>
          <cell r="BT476">
            <v>0</v>
          </cell>
          <cell r="BX476">
            <v>0.96</v>
          </cell>
          <cell r="CB476">
            <v>0</v>
          </cell>
          <cell r="CE476" t="str">
            <v>6EU</v>
          </cell>
          <cell r="CF476" t="str">
            <v>6EU</v>
          </cell>
          <cell r="CG476" t="str">
            <v>6EU</v>
          </cell>
        </row>
        <row r="477">
          <cell r="O477">
            <v>6</v>
          </cell>
          <cell r="AN477">
            <v>3.81</v>
          </cell>
          <cell r="AO477">
            <v>0</v>
          </cell>
          <cell r="AP477">
            <v>0</v>
          </cell>
          <cell r="AZ477">
            <v>0</v>
          </cell>
          <cell r="BT477">
            <v>3.81</v>
          </cell>
          <cell r="BX477">
            <v>0</v>
          </cell>
          <cell r="CB477">
            <v>0</v>
          </cell>
          <cell r="CE477" t="str">
            <v>6EU</v>
          </cell>
          <cell r="CF477" t="str">
            <v>6EU</v>
          </cell>
          <cell r="CG477" t="str">
            <v>6EU</v>
          </cell>
        </row>
        <row r="478">
          <cell r="O478">
            <v>6</v>
          </cell>
          <cell r="AN478">
            <v>0</v>
          </cell>
          <cell r="AO478">
            <v>1.19</v>
          </cell>
          <cell r="AP478">
            <v>0</v>
          </cell>
          <cell r="AZ478">
            <v>1.19</v>
          </cell>
          <cell r="BT478">
            <v>0</v>
          </cell>
          <cell r="BX478">
            <v>1.19</v>
          </cell>
          <cell r="CB478">
            <v>0</v>
          </cell>
          <cell r="CE478" t="str">
            <v>6EU</v>
          </cell>
          <cell r="CF478" t="str">
            <v>6EU</v>
          </cell>
          <cell r="CG478" t="str">
            <v>6EU</v>
          </cell>
        </row>
        <row r="479">
          <cell r="O479">
            <v>6</v>
          </cell>
          <cell r="AN479">
            <v>2.25</v>
          </cell>
          <cell r="AO479">
            <v>0</v>
          </cell>
          <cell r="AP479">
            <v>0</v>
          </cell>
          <cell r="AZ479">
            <v>0</v>
          </cell>
          <cell r="BT479">
            <v>2.25</v>
          </cell>
          <cell r="BX479">
            <v>0</v>
          </cell>
          <cell r="CB479">
            <v>0</v>
          </cell>
          <cell r="CE479" t="str">
            <v>6EU</v>
          </cell>
          <cell r="CF479" t="str">
            <v>6EU</v>
          </cell>
          <cell r="CG479" t="str">
            <v>6EU</v>
          </cell>
        </row>
        <row r="480">
          <cell r="O480">
            <v>6</v>
          </cell>
          <cell r="AN480">
            <v>0</v>
          </cell>
          <cell r="AO480">
            <v>1.5</v>
          </cell>
          <cell r="AP480">
            <v>0</v>
          </cell>
          <cell r="AZ480">
            <v>1.5</v>
          </cell>
          <cell r="BT480">
            <v>0</v>
          </cell>
          <cell r="BX480">
            <v>1.5</v>
          </cell>
          <cell r="CB480">
            <v>0</v>
          </cell>
          <cell r="CE480" t="str">
            <v>6EU</v>
          </cell>
          <cell r="CF480" t="str">
            <v>6EU</v>
          </cell>
          <cell r="CG480" t="str">
            <v>6EU</v>
          </cell>
        </row>
        <row r="481">
          <cell r="O481">
            <v>6</v>
          </cell>
          <cell r="AN481">
            <v>1</v>
          </cell>
          <cell r="AO481">
            <v>0</v>
          </cell>
          <cell r="AP481">
            <v>0</v>
          </cell>
          <cell r="AZ481">
            <v>0</v>
          </cell>
          <cell r="BT481">
            <v>1</v>
          </cell>
          <cell r="BX481">
            <v>0</v>
          </cell>
          <cell r="CB481">
            <v>0</v>
          </cell>
          <cell r="CE481" t="str">
            <v>6EU</v>
          </cell>
          <cell r="CF481" t="str">
            <v>6EU</v>
          </cell>
          <cell r="CG481" t="str">
            <v>6EU</v>
          </cell>
        </row>
        <row r="482">
          <cell r="O482">
            <v>6</v>
          </cell>
          <cell r="AN482">
            <v>0</v>
          </cell>
          <cell r="AO482">
            <v>39.580399849594492</v>
          </cell>
          <cell r="AP482">
            <v>0</v>
          </cell>
          <cell r="AZ482">
            <v>42.754300000000008</v>
          </cell>
          <cell r="BT482">
            <v>0</v>
          </cell>
          <cell r="BX482">
            <v>38.5658922936829</v>
          </cell>
          <cell r="CB482">
            <v>0</v>
          </cell>
          <cell r="CE482" t="str">
            <v>6EU</v>
          </cell>
          <cell r="CF482" t="str">
            <v>6LOCAL</v>
          </cell>
          <cell r="CG482" t="str">
            <v>6EU</v>
          </cell>
        </row>
        <row r="483">
          <cell r="O483">
            <v>6</v>
          </cell>
          <cell r="AN483">
            <v>52.989399798640292</v>
          </cell>
          <cell r="AO483">
            <v>52.989399798640292</v>
          </cell>
          <cell r="AP483">
            <v>52.989399798640292</v>
          </cell>
          <cell r="AZ483">
            <v>57.238550000000004</v>
          </cell>
          <cell r="BT483">
            <v>52.989399798640292</v>
          </cell>
          <cell r="BX483">
            <v>52.989399798640292</v>
          </cell>
          <cell r="CB483">
            <v>52.989399798640292</v>
          </cell>
          <cell r="CE483" t="str">
            <v>6EU</v>
          </cell>
          <cell r="CF483" t="str">
            <v>6EU</v>
          </cell>
          <cell r="CG483" t="str">
            <v>6EU</v>
          </cell>
        </row>
        <row r="484">
          <cell r="O484">
            <v>6</v>
          </cell>
          <cell r="AN484">
            <v>1.0917999958511602</v>
          </cell>
          <cell r="AO484">
            <v>1.0917999958511602</v>
          </cell>
          <cell r="AP484">
            <v>1.0917999958511602</v>
          </cell>
          <cell r="AZ484">
            <v>1.1793500000000001</v>
          </cell>
          <cell r="BT484">
            <v>0.7481951112251255</v>
          </cell>
          <cell r="BX484">
            <v>0.7481951112251255</v>
          </cell>
          <cell r="CB484">
            <v>0.7481951112251255</v>
          </cell>
          <cell r="CE484" t="str">
            <v>6LOCAL</v>
          </cell>
          <cell r="CF484" t="str">
            <v>6LOCAL</v>
          </cell>
          <cell r="CG484" t="str">
            <v>6LOCAL</v>
          </cell>
        </row>
        <row r="485">
          <cell r="O485">
            <v>6</v>
          </cell>
          <cell r="AN485">
            <v>1.5369999941594001</v>
          </cell>
          <cell r="AO485">
            <v>1.5369999941594001</v>
          </cell>
          <cell r="AP485">
            <v>1.5369999941594001</v>
          </cell>
          <cell r="AZ485">
            <v>1.66025</v>
          </cell>
          <cell r="BT485">
            <v>1.0528090299409973</v>
          </cell>
          <cell r="BX485">
            <v>1.0528090299409973</v>
          </cell>
          <cell r="CB485">
            <v>1.0528090299409973</v>
          </cell>
          <cell r="CE485" t="str">
            <v>6LOCAL</v>
          </cell>
          <cell r="CF485" t="str">
            <v>6LOCAL</v>
          </cell>
          <cell r="CG485" t="str">
            <v>6LOCAL</v>
          </cell>
        </row>
        <row r="486">
          <cell r="O486">
            <v>6</v>
          </cell>
          <cell r="AN486">
            <v>0</v>
          </cell>
          <cell r="AO486">
            <v>0</v>
          </cell>
          <cell r="AP486">
            <v>0</v>
          </cell>
          <cell r="AZ486">
            <v>0</v>
          </cell>
          <cell r="BT486">
            <v>0</v>
          </cell>
          <cell r="BX486">
            <v>0</v>
          </cell>
          <cell r="CB486">
            <v>0</v>
          </cell>
          <cell r="CE486" t="str">
            <v>6EU</v>
          </cell>
          <cell r="CF486" t="str">
            <v>6EU</v>
          </cell>
          <cell r="CG486" t="str">
            <v>6EU</v>
          </cell>
        </row>
        <row r="487">
          <cell r="O487">
            <v>6</v>
          </cell>
          <cell r="AN487">
            <v>13.779999947636002</v>
          </cell>
          <cell r="AO487">
            <v>13.779999947636002</v>
          </cell>
          <cell r="AP487">
            <v>13.779999947636002</v>
          </cell>
          <cell r="AZ487">
            <v>14.885</v>
          </cell>
          <cell r="BT487">
            <v>9.4107816909150888</v>
          </cell>
          <cell r="BX487">
            <v>9.4107816909150888</v>
          </cell>
          <cell r="CB487">
            <v>9.4107816909150888</v>
          </cell>
          <cell r="CE487" t="str">
            <v>6LOCAL</v>
          </cell>
          <cell r="CF487" t="str">
            <v>6LOCAL</v>
          </cell>
          <cell r="CG487" t="str">
            <v>6LOCAL</v>
          </cell>
        </row>
        <row r="488">
          <cell r="O488">
            <v>6</v>
          </cell>
          <cell r="AN488">
            <v>2.8619999891244006</v>
          </cell>
          <cell r="AO488">
            <v>2.8619999891244006</v>
          </cell>
          <cell r="AP488">
            <v>2.8619999891244006</v>
          </cell>
          <cell r="AZ488">
            <v>3.0915000000000004</v>
          </cell>
          <cell r="BT488">
            <v>1.9578553890130832</v>
          </cell>
          <cell r="BX488">
            <v>1.9578553890130832</v>
          </cell>
          <cell r="CB488">
            <v>1.9578553890130832</v>
          </cell>
          <cell r="CE488" t="str">
            <v>6LOCAL</v>
          </cell>
          <cell r="CF488" t="str">
            <v>6LOCAL</v>
          </cell>
          <cell r="CG488" t="str">
            <v>6LOCAL</v>
          </cell>
        </row>
        <row r="489">
          <cell r="O489">
            <v>6</v>
          </cell>
          <cell r="AN489">
            <v>9.3067999646341608</v>
          </cell>
          <cell r="AO489">
            <v>9.3067999646341608</v>
          </cell>
          <cell r="AP489">
            <v>9.3067999646341608</v>
          </cell>
          <cell r="AZ489">
            <v>10.053099999999999</v>
          </cell>
          <cell r="BT489">
            <v>6.3537948473632131</v>
          </cell>
          <cell r="BX489">
            <v>6.3537948473632131</v>
          </cell>
          <cell r="CB489">
            <v>6.3537948473632131</v>
          </cell>
          <cell r="CE489" t="str">
            <v>6LOCAL</v>
          </cell>
          <cell r="CF489" t="str">
            <v>6LOCAL</v>
          </cell>
          <cell r="CG489" t="str">
            <v>6LOCAL</v>
          </cell>
        </row>
        <row r="490">
          <cell r="O490">
            <v>6</v>
          </cell>
          <cell r="AN490">
            <v>61.140799767664966</v>
          </cell>
          <cell r="AO490">
            <v>61.140799767664966</v>
          </cell>
          <cell r="AP490">
            <v>61.140799767664966</v>
          </cell>
          <cell r="AZ490">
            <v>66.043599999999998</v>
          </cell>
          <cell r="BT490">
            <v>61.140799767664966</v>
          </cell>
          <cell r="BX490">
            <v>61.140799767664966</v>
          </cell>
          <cell r="CB490">
            <v>61.140799767664966</v>
          </cell>
          <cell r="CE490" t="str">
            <v>6EU</v>
          </cell>
          <cell r="CF490" t="str">
            <v>6EU</v>
          </cell>
          <cell r="CG490" t="str">
            <v>6EU</v>
          </cell>
        </row>
        <row r="491">
          <cell r="O491">
            <v>6</v>
          </cell>
          <cell r="AN491">
            <v>0</v>
          </cell>
          <cell r="AO491">
            <v>0</v>
          </cell>
          <cell r="AP491">
            <v>0</v>
          </cell>
          <cell r="AZ491">
            <v>0</v>
          </cell>
          <cell r="BT491">
            <v>0</v>
          </cell>
          <cell r="BX491">
            <v>0</v>
          </cell>
          <cell r="CB491">
            <v>0</v>
          </cell>
          <cell r="CE491" t="str">
            <v>6EU</v>
          </cell>
          <cell r="CF491" t="str">
            <v>6EU</v>
          </cell>
          <cell r="CG491" t="str">
            <v>6EU</v>
          </cell>
        </row>
        <row r="492">
          <cell r="O492">
            <v>6</v>
          </cell>
          <cell r="AN492">
            <v>3.1587999879965607</v>
          </cell>
          <cell r="AO492">
            <v>3.1587999879965607</v>
          </cell>
          <cell r="AP492">
            <v>3.1587999879965607</v>
          </cell>
          <cell r="AZ492">
            <v>3.4121000000000001</v>
          </cell>
          <cell r="BT492">
            <v>2.4750247370542748</v>
          </cell>
          <cell r="BX492">
            <v>2.4750247370542748</v>
          </cell>
          <cell r="CB492">
            <v>2.4750247370542748</v>
          </cell>
          <cell r="CE492" t="str">
            <v>6LOCAL</v>
          </cell>
          <cell r="CF492" t="str">
            <v>6LOCAL</v>
          </cell>
          <cell r="CG492" t="str">
            <v>6LOCAL</v>
          </cell>
        </row>
        <row r="493">
          <cell r="O493">
            <v>6</v>
          </cell>
          <cell r="AN493">
            <v>7.3457999720859606</v>
          </cell>
          <cell r="AO493">
            <v>7.3457999720859606</v>
          </cell>
          <cell r="AP493">
            <v>7.3457999720859606</v>
          </cell>
          <cell r="AZ493">
            <v>7.93485</v>
          </cell>
          <cell r="BT493">
            <v>5.439659911313079</v>
          </cell>
          <cell r="BX493">
            <v>5.439659911313079</v>
          </cell>
          <cell r="CB493">
            <v>5.439659911313079</v>
          </cell>
          <cell r="CE493" t="str">
            <v>6LOCAL</v>
          </cell>
          <cell r="CF493" t="str">
            <v>6LOCAL</v>
          </cell>
          <cell r="CG493" t="str">
            <v>6LOCAL</v>
          </cell>
        </row>
        <row r="494">
          <cell r="O494">
            <v>6</v>
          </cell>
          <cell r="AN494">
            <v>2.5757999902119604</v>
          </cell>
          <cell r="AO494">
            <v>2.5757999902119604</v>
          </cell>
          <cell r="AP494">
            <v>2.5757999902119604</v>
          </cell>
          <cell r="AZ494">
            <v>2.7823500000000001</v>
          </cell>
          <cell r="BT494">
            <v>2.5757999902119604</v>
          </cell>
          <cell r="BX494">
            <v>2.5757999902119604</v>
          </cell>
          <cell r="CB494">
            <v>2.5757999902119604</v>
          </cell>
          <cell r="CE494" t="str">
            <v>6EU</v>
          </cell>
          <cell r="CF494" t="str">
            <v>6EU</v>
          </cell>
          <cell r="CG494" t="str">
            <v>6EU</v>
          </cell>
        </row>
        <row r="495">
          <cell r="O495">
            <v>6</v>
          </cell>
          <cell r="AN495">
            <v>0</v>
          </cell>
          <cell r="AO495">
            <v>0</v>
          </cell>
          <cell r="AP495">
            <v>0</v>
          </cell>
          <cell r="AZ495">
            <v>0</v>
          </cell>
          <cell r="BT495">
            <v>1.7546817165683293</v>
          </cell>
          <cell r="BX495">
            <v>1.7546817165683293</v>
          </cell>
          <cell r="CB495">
            <v>1.7546817165683293</v>
          </cell>
          <cell r="CE495" t="str">
            <v>6LOCAL</v>
          </cell>
          <cell r="CF495" t="str">
            <v>6LOCAL</v>
          </cell>
          <cell r="CG495" t="str">
            <v>6LOCAL</v>
          </cell>
        </row>
        <row r="496">
          <cell r="O496">
            <v>6</v>
          </cell>
          <cell r="AN496">
            <v>0</v>
          </cell>
          <cell r="AO496">
            <v>0</v>
          </cell>
          <cell r="AP496">
            <v>0</v>
          </cell>
          <cell r="AZ496">
            <v>0</v>
          </cell>
          <cell r="BT496">
            <v>0</v>
          </cell>
          <cell r="BX496">
            <v>0</v>
          </cell>
          <cell r="CB496">
            <v>0</v>
          </cell>
          <cell r="CE496" t="str">
            <v>6EU</v>
          </cell>
          <cell r="CF496" t="str">
            <v>6EU</v>
          </cell>
          <cell r="CG496" t="str">
            <v>6EU</v>
          </cell>
        </row>
        <row r="497">
          <cell r="O497">
            <v>6</v>
          </cell>
          <cell r="AN497">
            <v>2.1199999919440002</v>
          </cell>
          <cell r="AO497">
            <v>2.1199999919440002</v>
          </cell>
          <cell r="AP497">
            <v>2.1199999919440002</v>
          </cell>
          <cell r="AZ497">
            <v>2.29</v>
          </cell>
          <cell r="BT497">
            <v>0.95136878366987954</v>
          </cell>
          <cell r="BX497">
            <v>0.95136878366987954</v>
          </cell>
          <cell r="CB497">
            <v>0.95136878366987954</v>
          </cell>
          <cell r="CE497" t="str">
            <v>6LOCAL</v>
          </cell>
          <cell r="CF497" t="str">
            <v>6LOCAL</v>
          </cell>
          <cell r="CG497" t="str">
            <v>6LOCAL</v>
          </cell>
        </row>
        <row r="498">
          <cell r="O498">
            <v>6</v>
          </cell>
          <cell r="AN498">
            <v>1.2719999951664001</v>
          </cell>
          <cell r="AO498">
            <v>1.2719999951664001</v>
          </cell>
          <cell r="AP498">
            <v>1.2719999951664001</v>
          </cell>
          <cell r="AZ498">
            <v>1.3739999999999999</v>
          </cell>
          <cell r="BT498">
            <v>1.2719999951664001</v>
          </cell>
          <cell r="BX498">
            <v>1.2719999951664001</v>
          </cell>
          <cell r="CB498">
            <v>1.2719999951664001</v>
          </cell>
          <cell r="CE498" t="str">
            <v>6EU</v>
          </cell>
          <cell r="CF498" t="str">
            <v>6EU</v>
          </cell>
          <cell r="CG498" t="str">
            <v>6EU</v>
          </cell>
        </row>
        <row r="499">
          <cell r="O499">
            <v>6</v>
          </cell>
          <cell r="AN499">
            <v>1.5687999940385604</v>
          </cell>
          <cell r="AO499">
            <v>1.5687999940385604</v>
          </cell>
          <cell r="AP499">
            <v>1.5687999940385604</v>
          </cell>
          <cell r="AZ499">
            <v>1.6946000000000001</v>
          </cell>
          <cell r="BT499">
            <v>0.82207644665958146</v>
          </cell>
          <cell r="BX499">
            <v>0.82207644665958146</v>
          </cell>
          <cell r="CB499">
            <v>0.82207644665958146</v>
          </cell>
          <cell r="CE499" t="str">
            <v>6LOCAL</v>
          </cell>
          <cell r="CF499" t="str">
            <v>6LOCAL</v>
          </cell>
          <cell r="CG499" t="str">
            <v>6LOCAL</v>
          </cell>
        </row>
        <row r="500">
          <cell r="O500">
            <v>6</v>
          </cell>
          <cell r="AN500">
            <v>3.7205999858617207</v>
          </cell>
          <cell r="AO500">
            <v>3.7205999858617207</v>
          </cell>
          <cell r="AP500">
            <v>3.7205999858617207</v>
          </cell>
          <cell r="AZ500">
            <v>4.0189500000000002</v>
          </cell>
          <cell r="BT500">
            <v>0.87748744823542346</v>
          </cell>
          <cell r="BX500">
            <v>0.87748744823542346</v>
          </cell>
          <cell r="CB500">
            <v>0.87748744823542346</v>
          </cell>
          <cell r="CE500" t="str">
            <v>6LOCAL</v>
          </cell>
          <cell r="CF500" t="str">
            <v>6LOCAL</v>
          </cell>
          <cell r="CG500" t="str">
            <v>6LOCAL</v>
          </cell>
        </row>
        <row r="501">
          <cell r="O501">
            <v>6</v>
          </cell>
          <cell r="AN501">
            <v>0</v>
          </cell>
          <cell r="AO501">
            <v>0</v>
          </cell>
          <cell r="AP501">
            <v>0</v>
          </cell>
          <cell r="AZ501">
            <v>0</v>
          </cell>
          <cell r="BT501">
            <v>0</v>
          </cell>
          <cell r="BX501">
            <v>0</v>
          </cell>
          <cell r="CB501">
            <v>0</v>
          </cell>
          <cell r="CE501" t="str">
            <v>6EU</v>
          </cell>
          <cell r="CF501" t="str">
            <v>6EU</v>
          </cell>
          <cell r="CG501" t="str">
            <v>6EU</v>
          </cell>
        </row>
        <row r="502">
          <cell r="O502">
            <v>6</v>
          </cell>
          <cell r="AN502">
            <v>0</v>
          </cell>
          <cell r="AO502">
            <v>0</v>
          </cell>
          <cell r="AP502">
            <v>0</v>
          </cell>
          <cell r="AZ502">
            <v>0</v>
          </cell>
          <cell r="BT502">
            <v>0</v>
          </cell>
          <cell r="BX502">
            <v>0</v>
          </cell>
          <cell r="CB502">
            <v>0</v>
          </cell>
          <cell r="CE502" t="str">
            <v>6EU</v>
          </cell>
          <cell r="CF502" t="str">
            <v>6EU</v>
          </cell>
          <cell r="CG502" t="str">
            <v>6EU</v>
          </cell>
        </row>
        <row r="503">
          <cell r="O503">
            <v>6</v>
          </cell>
          <cell r="AN503">
            <v>7.4199999718040015</v>
          </cell>
          <cell r="AO503">
            <v>7.4199999718040015</v>
          </cell>
          <cell r="AP503">
            <v>7.4199999718040015</v>
          </cell>
          <cell r="AZ503">
            <v>8.0150000000000006</v>
          </cell>
          <cell r="BT503">
            <v>7.4199999718040015</v>
          </cell>
          <cell r="BX503">
            <v>7.4199999718040015</v>
          </cell>
          <cell r="CB503">
            <v>7.4199999718040015</v>
          </cell>
          <cell r="CE503" t="str">
            <v>6EU</v>
          </cell>
          <cell r="CF503" t="str">
            <v>6EU</v>
          </cell>
          <cell r="CG503" t="str">
            <v>6EU</v>
          </cell>
        </row>
        <row r="504">
          <cell r="O504">
            <v>6</v>
          </cell>
          <cell r="AN504">
            <v>0</v>
          </cell>
          <cell r="AO504">
            <v>0</v>
          </cell>
          <cell r="AP504">
            <v>0</v>
          </cell>
          <cell r="AZ504">
            <v>0</v>
          </cell>
          <cell r="BT504">
            <v>0</v>
          </cell>
          <cell r="BX504">
            <v>0</v>
          </cell>
          <cell r="CB504">
            <v>0</v>
          </cell>
          <cell r="CE504" t="str">
            <v>6EU</v>
          </cell>
          <cell r="CF504" t="str">
            <v>6EU</v>
          </cell>
          <cell r="CG504" t="str">
            <v>6EU</v>
          </cell>
        </row>
        <row r="505">
          <cell r="O505">
            <v>6</v>
          </cell>
          <cell r="AN505">
            <v>4.81239998171288</v>
          </cell>
          <cell r="AO505">
            <v>4.81239998171288</v>
          </cell>
          <cell r="AP505">
            <v>4.81239998171288</v>
          </cell>
          <cell r="AZ505">
            <v>5.1982999999999997</v>
          </cell>
          <cell r="BT505">
            <v>4.81239998171288</v>
          </cell>
          <cell r="BX505">
            <v>4.81239998171288</v>
          </cell>
          <cell r="CB505">
            <v>4.81239998171288</v>
          </cell>
          <cell r="CE505" t="str">
            <v>6EU</v>
          </cell>
          <cell r="CF505" t="str">
            <v>6EU</v>
          </cell>
          <cell r="CG505" t="str">
            <v>6EU</v>
          </cell>
        </row>
        <row r="506">
          <cell r="O506">
            <v>6</v>
          </cell>
          <cell r="AN506">
            <v>-2.1199999919440002</v>
          </cell>
          <cell r="AO506">
            <v>-2.1199999919440002</v>
          </cell>
          <cell r="AP506">
            <v>-2.1199999919440002</v>
          </cell>
          <cell r="AZ506">
            <v>-2.29</v>
          </cell>
          <cell r="BT506">
            <v>-2.1199999919440002</v>
          </cell>
          <cell r="BX506">
            <v>-2.1199999919440002</v>
          </cell>
          <cell r="CB506">
            <v>-2.1199999919440002</v>
          </cell>
          <cell r="CE506" t="str">
            <v>6EU</v>
          </cell>
          <cell r="CF506" t="str">
            <v>6EU</v>
          </cell>
          <cell r="CG506" t="str">
            <v>6EU</v>
          </cell>
        </row>
        <row r="507">
          <cell r="O507">
            <v>6</v>
          </cell>
          <cell r="AN507">
            <v>9.6883999631840805</v>
          </cell>
          <cell r="AO507">
            <v>9.6883999631840805</v>
          </cell>
          <cell r="AP507">
            <v>9.6883999631840805</v>
          </cell>
          <cell r="AZ507">
            <v>10.465299999999999</v>
          </cell>
          <cell r="BT507">
            <v>9.6883999631840805</v>
          </cell>
          <cell r="BX507">
            <v>9.6883999631840805</v>
          </cell>
          <cell r="CB507">
            <v>9.6883999631840805</v>
          </cell>
          <cell r="CE507" t="str">
            <v>6EU</v>
          </cell>
          <cell r="CF507" t="str">
            <v>6EU</v>
          </cell>
          <cell r="CG507" t="str">
            <v>6EU</v>
          </cell>
        </row>
        <row r="508">
          <cell r="O508">
            <v>7</v>
          </cell>
          <cell r="AN508">
            <v>0</v>
          </cell>
          <cell r="AO508">
            <v>0</v>
          </cell>
          <cell r="AP508">
            <v>0</v>
          </cell>
          <cell r="AZ508">
            <v>0</v>
          </cell>
          <cell r="BT508">
            <v>0</v>
          </cell>
          <cell r="BX508">
            <v>0</v>
          </cell>
          <cell r="CB508">
            <v>0</v>
          </cell>
          <cell r="CE508" t="str">
            <v>7EU</v>
          </cell>
          <cell r="CF508" t="str">
            <v>7EU</v>
          </cell>
          <cell r="CG508" t="str">
            <v>7EU</v>
          </cell>
        </row>
        <row r="509">
          <cell r="O509">
            <v>7</v>
          </cell>
          <cell r="AN509">
            <v>0</v>
          </cell>
          <cell r="AO509">
            <v>0</v>
          </cell>
          <cell r="AP509">
            <v>0</v>
          </cell>
          <cell r="AZ509">
            <v>0</v>
          </cell>
          <cell r="BT509">
            <v>0</v>
          </cell>
          <cell r="BX509">
            <v>0</v>
          </cell>
          <cell r="CB509">
            <v>0</v>
          </cell>
          <cell r="CE509" t="str">
            <v>7EU</v>
          </cell>
          <cell r="CF509" t="str">
            <v>7EU</v>
          </cell>
          <cell r="CG509" t="str">
            <v>7EU</v>
          </cell>
        </row>
        <row r="510">
          <cell r="O510">
            <v>7</v>
          </cell>
          <cell r="AN510">
            <v>0</v>
          </cell>
          <cell r="AO510">
            <v>0</v>
          </cell>
          <cell r="AP510">
            <v>0</v>
          </cell>
          <cell r="AZ510">
            <v>0</v>
          </cell>
          <cell r="BT510">
            <v>0</v>
          </cell>
          <cell r="BX510">
            <v>0</v>
          </cell>
          <cell r="CB510">
            <v>0</v>
          </cell>
          <cell r="CE510" t="str">
            <v>7EU</v>
          </cell>
          <cell r="CF510" t="str">
            <v>7EU</v>
          </cell>
          <cell r="CG510" t="str">
            <v>7EU</v>
          </cell>
        </row>
        <row r="511">
          <cell r="O511">
            <v>7</v>
          </cell>
          <cell r="AN511">
            <v>0</v>
          </cell>
          <cell r="AO511">
            <v>0</v>
          </cell>
          <cell r="AP511">
            <v>0</v>
          </cell>
          <cell r="AZ511">
            <v>0</v>
          </cell>
          <cell r="BT511">
            <v>0</v>
          </cell>
          <cell r="BX511">
            <v>0</v>
          </cell>
          <cell r="CB511">
            <v>0</v>
          </cell>
          <cell r="CE511" t="str">
            <v>7EU</v>
          </cell>
          <cell r="CF511" t="str">
            <v>7EU</v>
          </cell>
          <cell r="CG511" t="str">
            <v>7EU</v>
          </cell>
        </row>
        <row r="512">
          <cell r="O512">
            <v>7</v>
          </cell>
          <cell r="AN512">
            <v>0</v>
          </cell>
          <cell r="AO512">
            <v>0</v>
          </cell>
          <cell r="AP512">
            <v>0</v>
          </cell>
          <cell r="AZ512">
            <v>0</v>
          </cell>
          <cell r="BT512">
            <v>0</v>
          </cell>
          <cell r="BX512">
            <v>0</v>
          </cell>
          <cell r="CB512">
            <v>0</v>
          </cell>
          <cell r="CE512" t="str">
            <v>7EU</v>
          </cell>
          <cell r="CF512" t="str">
            <v>7EU</v>
          </cell>
          <cell r="CG512" t="str">
            <v>7EU</v>
          </cell>
        </row>
        <row r="513">
          <cell r="O513">
            <v>7</v>
          </cell>
          <cell r="AN513">
            <v>0</v>
          </cell>
          <cell r="AO513">
            <v>0</v>
          </cell>
          <cell r="AP513">
            <v>0</v>
          </cell>
          <cell r="AZ513">
            <v>0</v>
          </cell>
          <cell r="BT513">
            <v>0</v>
          </cell>
          <cell r="BX513">
            <v>0</v>
          </cell>
          <cell r="CB513">
            <v>0</v>
          </cell>
          <cell r="CE513" t="str">
            <v>7EU</v>
          </cell>
          <cell r="CF513" t="str">
            <v>7EU</v>
          </cell>
          <cell r="CG513" t="str">
            <v>7EU</v>
          </cell>
        </row>
        <row r="514">
          <cell r="O514">
            <v>7</v>
          </cell>
          <cell r="AN514">
            <v>0</v>
          </cell>
          <cell r="AO514">
            <v>0</v>
          </cell>
          <cell r="AP514">
            <v>0</v>
          </cell>
          <cell r="AZ514">
            <v>0</v>
          </cell>
          <cell r="BT514">
            <v>0</v>
          </cell>
          <cell r="BX514">
            <v>0</v>
          </cell>
          <cell r="CB514">
            <v>0</v>
          </cell>
          <cell r="CE514" t="str">
            <v>7EU</v>
          </cell>
          <cell r="CF514" t="str">
            <v>7EU</v>
          </cell>
          <cell r="CG514" t="str">
            <v>7EU</v>
          </cell>
        </row>
        <row r="515">
          <cell r="O515">
            <v>7</v>
          </cell>
          <cell r="AN515">
            <v>0</v>
          </cell>
          <cell r="AO515">
            <v>0</v>
          </cell>
          <cell r="AP515">
            <v>0</v>
          </cell>
          <cell r="AZ515">
            <v>0</v>
          </cell>
          <cell r="BT515">
            <v>0</v>
          </cell>
          <cell r="BX515">
            <v>0</v>
          </cell>
          <cell r="CB515">
            <v>0</v>
          </cell>
          <cell r="CE515" t="str">
            <v>7EU</v>
          </cell>
          <cell r="CF515" t="str">
            <v>7EU</v>
          </cell>
          <cell r="CG515" t="str">
            <v>7EU</v>
          </cell>
        </row>
        <row r="516">
          <cell r="O516">
            <v>7</v>
          </cell>
          <cell r="AN516">
            <v>0</v>
          </cell>
          <cell r="AO516">
            <v>0</v>
          </cell>
          <cell r="AP516">
            <v>0</v>
          </cell>
          <cell r="AZ516">
            <v>0</v>
          </cell>
          <cell r="BT516">
            <v>0</v>
          </cell>
          <cell r="BX516">
            <v>0</v>
          </cell>
          <cell r="CB516">
            <v>0</v>
          </cell>
          <cell r="CE516" t="str">
            <v>7EU</v>
          </cell>
          <cell r="CF516" t="str">
            <v>7EU</v>
          </cell>
          <cell r="CG516" t="str">
            <v>7EU</v>
          </cell>
        </row>
        <row r="517">
          <cell r="O517">
            <v>7</v>
          </cell>
          <cell r="AN517">
            <v>0</v>
          </cell>
          <cell r="AO517">
            <v>0</v>
          </cell>
          <cell r="AP517">
            <v>0</v>
          </cell>
          <cell r="AZ517">
            <v>0</v>
          </cell>
          <cell r="BT517">
            <v>0</v>
          </cell>
          <cell r="BX517">
            <v>0</v>
          </cell>
          <cell r="CB517">
            <v>0</v>
          </cell>
          <cell r="CE517" t="str">
            <v>7EU</v>
          </cell>
          <cell r="CF517" t="str">
            <v>7EU</v>
          </cell>
          <cell r="CG517" t="str">
            <v>7EU</v>
          </cell>
        </row>
        <row r="518">
          <cell r="O518">
            <v>7</v>
          </cell>
          <cell r="AN518">
            <v>0</v>
          </cell>
          <cell r="AO518">
            <v>0</v>
          </cell>
          <cell r="AP518">
            <v>0</v>
          </cell>
          <cell r="AZ518">
            <v>0</v>
          </cell>
          <cell r="BT518">
            <v>0</v>
          </cell>
          <cell r="BX518">
            <v>0</v>
          </cell>
          <cell r="CB518">
            <v>0</v>
          </cell>
          <cell r="CE518" t="str">
            <v>7EU</v>
          </cell>
          <cell r="CF518" t="str">
            <v>7EU</v>
          </cell>
          <cell r="CG518" t="str">
            <v>7EU</v>
          </cell>
        </row>
        <row r="519">
          <cell r="O519">
            <v>7</v>
          </cell>
          <cell r="AN519">
            <v>0</v>
          </cell>
          <cell r="AO519">
            <v>0</v>
          </cell>
          <cell r="AP519">
            <v>0</v>
          </cell>
          <cell r="AZ519">
            <v>0</v>
          </cell>
          <cell r="BT519">
            <v>0</v>
          </cell>
          <cell r="BX519">
            <v>0</v>
          </cell>
          <cell r="CB519">
            <v>0</v>
          </cell>
          <cell r="CE519" t="str">
            <v>7EU</v>
          </cell>
          <cell r="CF519" t="str">
            <v>7EU</v>
          </cell>
          <cell r="CG519" t="str">
            <v>7EU</v>
          </cell>
        </row>
        <row r="520">
          <cell r="O520">
            <v>7</v>
          </cell>
          <cell r="AN520">
            <v>0</v>
          </cell>
          <cell r="AO520">
            <v>0</v>
          </cell>
          <cell r="AP520">
            <v>0</v>
          </cell>
          <cell r="AZ520">
            <v>0</v>
          </cell>
          <cell r="BT520">
            <v>0</v>
          </cell>
          <cell r="BX520">
            <v>0</v>
          </cell>
          <cell r="CB520">
            <v>0</v>
          </cell>
          <cell r="CE520" t="str">
            <v>7EU</v>
          </cell>
          <cell r="CF520" t="str">
            <v>7EU</v>
          </cell>
          <cell r="CG520" t="str">
            <v>7EU</v>
          </cell>
        </row>
        <row r="521">
          <cell r="O521">
            <v>7</v>
          </cell>
          <cell r="AN521">
            <v>0</v>
          </cell>
          <cell r="AO521">
            <v>0</v>
          </cell>
          <cell r="AP521">
            <v>0</v>
          </cell>
          <cell r="AZ521">
            <v>0</v>
          </cell>
          <cell r="BT521">
            <v>0</v>
          </cell>
          <cell r="BX521">
            <v>0</v>
          </cell>
          <cell r="CB521">
            <v>0</v>
          </cell>
          <cell r="CE521" t="str">
            <v>7EU</v>
          </cell>
          <cell r="CF521" t="str">
            <v>7EU</v>
          </cell>
          <cell r="CG521" t="str">
            <v>7EU</v>
          </cell>
        </row>
        <row r="522">
          <cell r="O522">
            <v>7</v>
          </cell>
          <cell r="AN522">
            <v>0</v>
          </cell>
          <cell r="AO522">
            <v>0</v>
          </cell>
          <cell r="AP522">
            <v>0</v>
          </cell>
          <cell r="AZ522">
            <v>0</v>
          </cell>
          <cell r="BT522">
            <v>0</v>
          </cell>
          <cell r="BX522">
            <v>0</v>
          </cell>
          <cell r="CB522">
            <v>0</v>
          </cell>
          <cell r="CE522" t="str">
            <v>7EU</v>
          </cell>
          <cell r="CF522" t="str">
            <v>7EU</v>
          </cell>
          <cell r="CG522" t="str">
            <v>7EU</v>
          </cell>
        </row>
        <row r="523">
          <cell r="O523">
            <v>7</v>
          </cell>
          <cell r="AN523">
            <v>0</v>
          </cell>
          <cell r="AO523">
            <v>0</v>
          </cell>
          <cell r="AP523">
            <v>0</v>
          </cell>
          <cell r="AZ523">
            <v>0</v>
          </cell>
          <cell r="BT523">
            <v>0</v>
          </cell>
          <cell r="BX523">
            <v>0</v>
          </cell>
          <cell r="CB523">
            <v>0</v>
          </cell>
          <cell r="CE523" t="str">
            <v>7EU</v>
          </cell>
          <cell r="CF523" t="str">
            <v>7EU</v>
          </cell>
          <cell r="CG523" t="str">
            <v>7EU</v>
          </cell>
        </row>
        <row r="524">
          <cell r="O524">
            <v>7</v>
          </cell>
          <cell r="AN524">
            <v>0</v>
          </cell>
          <cell r="AO524">
            <v>0</v>
          </cell>
          <cell r="AP524">
            <v>0</v>
          </cell>
          <cell r="AZ524">
            <v>0</v>
          </cell>
          <cell r="BT524">
            <v>0</v>
          </cell>
          <cell r="BX524">
            <v>0</v>
          </cell>
          <cell r="CB524">
            <v>0</v>
          </cell>
          <cell r="CE524" t="str">
            <v>7EU</v>
          </cell>
          <cell r="CF524" t="str">
            <v>7EU</v>
          </cell>
          <cell r="CG524" t="str">
            <v>7EU</v>
          </cell>
        </row>
        <row r="525">
          <cell r="O525">
            <v>7</v>
          </cell>
          <cell r="AN525">
            <v>0</v>
          </cell>
          <cell r="AO525">
            <v>0</v>
          </cell>
          <cell r="AP525">
            <v>0</v>
          </cell>
          <cell r="AZ525">
            <v>0</v>
          </cell>
          <cell r="BT525">
            <v>0</v>
          </cell>
          <cell r="BX525">
            <v>0</v>
          </cell>
          <cell r="CB525">
            <v>0</v>
          </cell>
          <cell r="CE525" t="str">
            <v>7EU</v>
          </cell>
          <cell r="CF525" t="str">
            <v>7EU</v>
          </cell>
          <cell r="CG525" t="str">
            <v>7EU</v>
          </cell>
        </row>
        <row r="526">
          <cell r="O526">
            <v>7</v>
          </cell>
          <cell r="AN526">
            <v>0</v>
          </cell>
          <cell r="AO526">
            <v>0</v>
          </cell>
          <cell r="AP526">
            <v>0</v>
          </cell>
          <cell r="AZ526">
            <v>0</v>
          </cell>
          <cell r="BT526">
            <v>0</v>
          </cell>
          <cell r="BX526">
            <v>0</v>
          </cell>
          <cell r="CB526">
            <v>0</v>
          </cell>
          <cell r="CE526" t="str">
            <v>7EU</v>
          </cell>
          <cell r="CF526" t="str">
            <v>7EU</v>
          </cell>
          <cell r="CG526" t="str">
            <v>7EU</v>
          </cell>
        </row>
        <row r="527">
          <cell r="O527">
            <v>7</v>
          </cell>
          <cell r="AN527">
            <v>355.53565864896456</v>
          </cell>
          <cell r="AO527">
            <v>355.53565864896456</v>
          </cell>
          <cell r="AP527">
            <v>355.53565864896456</v>
          </cell>
          <cell r="AZ527">
            <v>384.04559499999999</v>
          </cell>
          <cell r="BT527">
            <v>768.54604756843923</v>
          </cell>
          <cell r="BX527">
            <v>402.31715550284832</v>
          </cell>
          <cell r="CB527">
            <v>462.57014881079635</v>
          </cell>
          <cell r="CE527" t="str">
            <v>7LOCAL</v>
          </cell>
          <cell r="CF527" t="str">
            <v>7LOCAL</v>
          </cell>
          <cell r="CG527" t="str">
            <v>7LOCAL</v>
          </cell>
        </row>
        <row r="528">
          <cell r="O528">
            <v>7</v>
          </cell>
          <cell r="AN528">
            <v>6.3044541245146908</v>
          </cell>
          <cell r="AO528">
            <v>6.3044541245146908</v>
          </cell>
          <cell r="AP528">
            <v>6.3044541245146908</v>
          </cell>
          <cell r="AZ528">
            <v>6.81</v>
          </cell>
          <cell r="BT528">
            <v>2.9317990251768241E-4</v>
          </cell>
          <cell r="BX528">
            <v>1.6941614959446012E-4</v>
          </cell>
          <cell r="CB528">
            <v>1.0059881444297179E-3</v>
          </cell>
          <cell r="CE528" t="str">
            <v>7LOCAL</v>
          </cell>
          <cell r="CF528" t="str">
            <v>7LOCAL</v>
          </cell>
          <cell r="CG528" t="str">
            <v>7LOCAL</v>
          </cell>
        </row>
        <row r="529">
          <cell r="O529">
            <v>7</v>
          </cell>
          <cell r="AN529">
            <v>10.266724851816141</v>
          </cell>
          <cell r="AO529">
            <v>10.266724851816141</v>
          </cell>
          <cell r="AP529">
            <v>10.266724851816141</v>
          </cell>
          <cell r="AZ529">
            <v>11.09</v>
          </cell>
          <cell r="BT529">
            <v>10.266724851816141</v>
          </cell>
          <cell r="BX529">
            <v>10.266724851816141</v>
          </cell>
          <cell r="CB529">
            <v>10.266724851816141</v>
          </cell>
          <cell r="CE529" t="str">
            <v>7EU</v>
          </cell>
          <cell r="CF529" t="str">
            <v>7EU</v>
          </cell>
          <cell r="CG529" t="str">
            <v>7EU</v>
          </cell>
        </row>
        <row r="530">
          <cell r="O530">
            <v>7</v>
          </cell>
          <cell r="AN530">
            <v>2.2773799040097122</v>
          </cell>
          <cell r="AO530">
            <v>2.2773799040097122</v>
          </cell>
          <cell r="AP530">
            <v>2.2773799040097122</v>
          </cell>
          <cell r="AZ530">
            <v>2.46</v>
          </cell>
          <cell r="BT530">
            <v>2.2773799040097122</v>
          </cell>
          <cell r="BX530">
            <v>2.2773799040097122</v>
          </cell>
          <cell r="CB530">
            <v>2.2773799040097122</v>
          </cell>
          <cell r="CE530" t="str">
            <v>7EU</v>
          </cell>
          <cell r="CF530" t="str">
            <v>7EU</v>
          </cell>
          <cell r="CG530" t="str">
            <v>7EU</v>
          </cell>
        </row>
        <row r="531">
          <cell r="O531">
            <v>7</v>
          </cell>
          <cell r="AN531">
            <v>-11.459659956453294</v>
          </cell>
          <cell r="AO531">
            <v>-11.459659956453294</v>
          </cell>
          <cell r="AP531">
            <v>-11.459659956453294</v>
          </cell>
          <cell r="AZ531">
            <v>-12.378595000000001</v>
          </cell>
          <cell r="BT531">
            <v>-2.9317990251768241E-4</v>
          </cell>
          <cell r="BX531">
            <v>-1.6941614959446012E-4</v>
          </cell>
          <cell r="CB531">
            <v>-1.0059881444297179E-3</v>
          </cell>
          <cell r="CE531" t="str">
            <v>7LOCAL</v>
          </cell>
          <cell r="CF531" t="str">
            <v>7LOCAL</v>
          </cell>
          <cell r="CG531" t="str">
            <v>7LOCAL</v>
          </cell>
        </row>
        <row r="532">
          <cell r="O532">
            <v>7</v>
          </cell>
          <cell r="AN532">
            <v>0</v>
          </cell>
          <cell r="AO532">
            <v>0</v>
          </cell>
          <cell r="AP532">
            <v>6.5719999750264009</v>
          </cell>
          <cell r="AZ532">
            <v>0</v>
          </cell>
          <cell r="BT532">
            <v>0</v>
          </cell>
          <cell r="BX532">
            <v>0</v>
          </cell>
          <cell r="CB532">
            <v>6.5719999750264009</v>
          </cell>
          <cell r="CE532" t="str">
            <v>7EU</v>
          </cell>
          <cell r="CF532" t="str">
            <v>7EU</v>
          </cell>
          <cell r="CG532" t="str">
            <v>7EU</v>
          </cell>
        </row>
        <row r="533">
          <cell r="O533">
            <v>7</v>
          </cell>
          <cell r="AN533">
            <v>470</v>
          </cell>
          <cell r="AO533">
            <v>0</v>
          </cell>
          <cell r="AP533">
            <v>0</v>
          </cell>
          <cell r="AZ533">
            <v>0</v>
          </cell>
          <cell r="BT533">
            <v>2.9317990251768241E-4</v>
          </cell>
          <cell r="BX533">
            <v>0</v>
          </cell>
          <cell r="CB533">
            <v>0</v>
          </cell>
          <cell r="CE533" t="str">
            <v>7LOCAL</v>
          </cell>
          <cell r="CF533" t="str">
            <v>7EU</v>
          </cell>
          <cell r="CG533" t="str">
            <v>7EU</v>
          </cell>
        </row>
        <row r="534">
          <cell r="O534">
            <v>7</v>
          </cell>
          <cell r="AN534">
            <v>200</v>
          </cell>
          <cell r="AO534">
            <v>0</v>
          </cell>
          <cell r="AP534">
            <v>0</v>
          </cell>
          <cell r="AZ534">
            <v>0</v>
          </cell>
          <cell r="BT534">
            <v>2.9317990251768241E-4</v>
          </cell>
          <cell r="BX534">
            <v>0</v>
          </cell>
          <cell r="CB534">
            <v>0</v>
          </cell>
          <cell r="CE534" t="str">
            <v>7LOCAL</v>
          </cell>
          <cell r="CF534" t="str">
            <v>7EU</v>
          </cell>
          <cell r="CG534" t="str">
            <v>7EU</v>
          </cell>
        </row>
        <row r="535">
          <cell r="O535">
            <v>7</v>
          </cell>
          <cell r="AN535">
            <v>25.365799903609965</v>
          </cell>
          <cell r="AO535">
            <v>25.365799903609965</v>
          </cell>
          <cell r="AP535">
            <v>0</v>
          </cell>
          <cell r="AZ535">
            <v>27.399850000000001</v>
          </cell>
          <cell r="BT535">
            <v>2.9317990251768241E-4</v>
          </cell>
          <cell r="BX535">
            <v>1.6941614959446012E-4</v>
          </cell>
          <cell r="CB535">
            <v>0</v>
          </cell>
          <cell r="CE535" t="str">
            <v>7LOCAL</v>
          </cell>
          <cell r="CF535" t="str">
            <v>7LOCAL</v>
          </cell>
          <cell r="CG535" t="str">
            <v>7EU</v>
          </cell>
        </row>
        <row r="536">
          <cell r="O536">
            <v>8</v>
          </cell>
          <cell r="AN536">
            <v>0</v>
          </cell>
          <cell r="AO536">
            <v>0</v>
          </cell>
          <cell r="AP536">
            <v>0</v>
          </cell>
          <cell r="AZ536">
            <v>0</v>
          </cell>
          <cell r="BT536">
            <v>0</v>
          </cell>
          <cell r="BX536">
            <v>0</v>
          </cell>
          <cell r="CB536">
            <v>0</v>
          </cell>
          <cell r="CE536" t="str">
            <v>8EU</v>
          </cell>
          <cell r="CF536" t="str">
            <v>8EU</v>
          </cell>
          <cell r="CG536" t="str">
            <v>8EU</v>
          </cell>
        </row>
        <row r="537">
          <cell r="O537">
            <v>8</v>
          </cell>
          <cell r="AN537">
            <v>1.9079999927496003</v>
          </cell>
          <cell r="AO537">
            <v>0</v>
          </cell>
          <cell r="AP537">
            <v>0</v>
          </cell>
          <cell r="AZ537">
            <v>0</v>
          </cell>
          <cell r="BT537">
            <v>1.9079999927496003</v>
          </cell>
          <cell r="BX537">
            <v>0</v>
          </cell>
          <cell r="CB537">
            <v>0</v>
          </cell>
          <cell r="CE537" t="str">
            <v>8EU</v>
          </cell>
          <cell r="CF537" t="str">
            <v>8EU</v>
          </cell>
          <cell r="CG537" t="str">
            <v>8EU</v>
          </cell>
        </row>
        <row r="538">
          <cell r="O538">
            <v>8</v>
          </cell>
          <cell r="AN538">
            <v>0</v>
          </cell>
          <cell r="AO538">
            <v>2.1835999917023203</v>
          </cell>
          <cell r="AP538">
            <v>2.1835999917023203</v>
          </cell>
          <cell r="AZ538">
            <v>2.3587000000000002</v>
          </cell>
          <cell r="BT538">
            <v>0</v>
          </cell>
          <cell r="BX538">
            <v>2.1835999917023203</v>
          </cell>
          <cell r="CB538">
            <v>2.1835999917023203</v>
          </cell>
          <cell r="CE538" t="str">
            <v>8EU</v>
          </cell>
          <cell r="CF538" t="str">
            <v>8EU</v>
          </cell>
          <cell r="CG538" t="str">
            <v>8EU</v>
          </cell>
        </row>
        <row r="539">
          <cell r="O539">
            <v>8</v>
          </cell>
          <cell r="AN539">
            <v>0</v>
          </cell>
          <cell r="AO539">
            <v>1.9079999927496003</v>
          </cell>
          <cell r="AP539">
            <v>1.9079999927496003</v>
          </cell>
          <cell r="AZ539">
            <v>2.0609999999999999</v>
          </cell>
          <cell r="BT539">
            <v>0</v>
          </cell>
          <cell r="BX539">
            <v>1.9079999927496003</v>
          </cell>
          <cell r="CB539">
            <v>1.9079999927496003</v>
          </cell>
          <cell r="CE539" t="str">
            <v>8EU</v>
          </cell>
          <cell r="CF539" t="str">
            <v>8EU</v>
          </cell>
          <cell r="CG539" t="str">
            <v>8EU</v>
          </cell>
        </row>
        <row r="540">
          <cell r="O540">
            <v>8</v>
          </cell>
          <cell r="AN540">
            <v>2.1835999917023203</v>
          </cell>
          <cell r="AO540">
            <v>0</v>
          </cell>
          <cell r="AP540">
            <v>0</v>
          </cell>
          <cell r="AZ540">
            <v>0</v>
          </cell>
          <cell r="BT540">
            <v>2.1835999917023203</v>
          </cell>
          <cell r="BX540">
            <v>0</v>
          </cell>
          <cell r="CB540">
            <v>0</v>
          </cell>
          <cell r="CE540" t="str">
            <v>8EU</v>
          </cell>
          <cell r="CF540" t="str">
            <v>8EU</v>
          </cell>
          <cell r="CG540" t="str">
            <v>8EU</v>
          </cell>
        </row>
        <row r="541">
          <cell r="O541">
            <v>8</v>
          </cell>
          <cell r="AN541">
            <v>1.3567999948441603</v>
          </cell>
          <cell r="AO541">
            <v>1.3567999948441603</v>
          </cell>
          <cell r="AP541">
            <v>1.3567999948441603</v>
          </cell>
          <cell r="AZ541">
            <v>1.4656</v>
          </cell>
          <cell r="BT541">
            <v>1.3567999948441603</v>
          </cell>
          <cell r="BX541">
            <v>1.3567999948441603</v>
          </cell>
          <cell r="CB541">
            <v>1.3567999948441603</v>
          </cell>
          <cell r="CE541" t="str">
            <v>8EU</v>
          </cell>
          <cell r="CF541" t="str">
            <v>8EU</v>
          </cell>
          <cell r="CG541" t="str">
            <v>8EU</v>
          </cell>
        </row>
        <row r="542">
          <cell r="O542">
            <v>8</v>
          </cell>
          <cell r="AN542">
            <v>1.3567999948441603</v>
          </cell>
          <cell r="AO542">
            <v>1.3567999948441603</v>
          </cell>
          <cell r="AP542">
            <v>1.3567999948441603</v>
          </cell>
          <cell r="AZ542">
            <v>1.4656</v>
          </cell>
          <cell r="BT542">
            <v>1.3567999948441603</v>
          </cell>
          <cell r="BX542">
            <v>1.3567999948441603</v>
          </cell>
          <cell r="CB542">
            <v>1.3567999948441603</v>
          </cell>
          <cell r="CE542" t="str">
            <v>8EU</v>
          </cell>
          <cell r="CF542" t="str">
            <v>8EU</v>
          </cell>
          <cell r="CG542" t="str">
            <v>8EU</v>
          </cell>
        </row>
        <row r="543">
          <cell r="O543">
            <v>8</v>
          </cell>
          <cell r="AN543">
            <v>0</v>
          </cell>
          <cell r="AO543">
            <v>0</v>
          </cell>
          <cell r="AP543">
            <v>0</v>
          </cell>
          <cell r="AZ543">
            <v>0</v>
          </cell>
          <cell r="BT543">
            <v>0</v>
          </cell>
          <cell r="BX543">
            <v>0</v>
          </cell>
          <cell r="CB543">
            <v>0</v>
          </cell>
          <cell r="CE543" t="str">
            <v>8EU</v>
          </cell>
          <cell r="CF543" t="str">
            <v>8EU</v>
          </cell>
          <cell r="CG543" t="str">
            <v>8EU</v>
          </cell>
        </row>
        <row r="544">
          <cell r="O544">
            <v>8</v>
          </cell>
          <cell r="AN544">
            <v>2.6107799900790361</v>
          </cell>
          <cell r="AO544">
            <v>2.6107799900790361</v>
          </cell>
          <cell r="AP544">
            <v>2.6107799900790361</v>
          </cell>
          <cell r="AZ544">
            <v>2.8201349999999996</v>
          </cell>
          <cell r="BT544">
            <v>2.6107799900790361</v>
          </cell>
          <cell r="BX544">
            <v>2.6107799900790361</v>
          </cell>
          <cell r="CB544">
            <v>2.6107799900790361</v>
          </cell>
          <cell r="CE544" t="str">
            <v>8EU</v>
          </cell>
          <cell r="CF544" t="str">
            <v>8EU</v>
          </cell>
          <cell r="CG544" t="str">
            <v>8EU</v>
          </cell>
        </row>
        <row r="545">
          <cell r="O545">
            <v>8</v>
          </cell>
          <cell r="AN545">
            <v>0</v>
          </cell>
          <cell r="AO545">
            <v>0</v>
          </cell>
          <cell r="AP545">
            <v>0</v>
          </cell>
          <cell r="AZ545">
            <v>0</v>
          </cell>
          <cell r="BT545">
            <v>0</v>
          </cell>
          <cell r="BX545">
            <v>0</v>
          </cell>
          <cell r="CB545">
            <v>0</v>
          </cell>
          <cell r="CE545" t="str">
            <v>8EU</v>
          </cell>
          <cell r="CF545" t="str">
            <v>8EU</v>
          </cell>
          <cell r="CG545" t="str">
            <v>8EU</v>
          </cell>
        </row>
        <row r="546">
          <cell r="O546">
            <v>8</v>
          </cell>
          <cell r="AN546">
            <v>0.23637999910175606</v>
          </cell>
          <cell r="AO546">
            <v>0.23637999910175606</v>
          </cell>
          <cell r="AP546">
            <v>0.23637999910175606</v>
          </cell>
          <cell r="AZ546">
            <v>0.25533500000000003</v>
          </cell>
          <cell r="BT546">
            <v>0.23637999910175606</v>
          </cell>
          <cell r="BX546">
            <v>0.23637999910175606</v>
          </cell>
          <cell r="CB546">
            <v>0.23637999910175606</v>
          </cell>
          <cell r="CE546" t="str">
            <v>8EU</v>
          </cell>
          <cell r="CF546" t="str">
            <v>8EU</v>
          </cell>
          <cell r="CG546" t="str">
            <v>8EU</v>
          </cell>
        </row>
        <row r="547">
          <cell r="O547">
            <v>8</v>
          </cell>
          <cell r="AN547">
            <v>0</v>
          </cell>
          <cell r="AO547">
            <v>0</v>
          </cell>
          <cell r="AP547">
            <v>0</v>
          </cell>
          <cell r="AZ547">
            <v>0</v>
          </cell>
          <cell r="BT547">
            <v>0</v>
          </cell>
          <cell r="BX547">
            <v>0</v>
          </cell>
          <cell r="CB547">
            <v>0</v>
          </cell>
          <cell r="CE547" t="str">
            <v>8EU</v>
          </cell>
          <cell r="CF547" t="str">
            <v>8EU</v>
          </cell>
          <cell r="CG547" t="str">
            <v>8EU</v>
          </cell>
        </row>
        <row r="548">
          <cell r="O548">
            <v>8</v>
          </cell>
          <cell r="AN548">
            <v>0</v>
          </cell>
          <cell r="AO548">
            <v>0</v>
          </cell>
          <cell r="AP548">
            <v>0</v>
          </cell>
          <cell r="AZ548">
            <v>0</v>
          </cell>
          <cell r="BT548">
            <v>0</v>
          </cell>
          <cell r="BX548">
            <v>0</v>
          </cell>
          <cell r="CB548">
            <v>0</v>
          </cell>
          <cell r="CE548" t="str">
            <v>8EU</v>
          </cell>
          <cell r="CF548" t="str">
            <v>8EU</v>
          </cell>
          <cell r="CG548" t="str">
            <v>8EU</v>
          </cell>
        </row>
        <row r="549">
          <cell r="O549">
            <v>8</v>
          </cell>
          <cell r="AN549">
            <v>2.5863999901716803</v>
          </cell>
          <cell r="AO549">
            <v>2.5863999901716803</v>
          </cell>
          <cell r="AP549">
            <v>2.5863999901716803</v>
          </cell>
          <cell r="AZ549">
            <v>2.7938000000000001</v>
          </cell>
          <cell r="BT549">
            <v>2.5863999901716803</v>
          </cell>
          <cell r="BX549">
            <v>2.5863999901716803</v>
          </cell>
          <cell r="CB549">
            <v>2.5863999901716803</v>
          </cell>
          <cell r="CE549" t="str">
            <v>8EU</v>
          </cell>
          <cell r="CF549" t="str">
            <v>8EU</v>
          </cell>
          <cell r="CG549" t="str">
            <v>8EU</v>
          </cell>
        </row>
        <row r="550">
          <cell r="O550">
            <v>8</v>
          </cell>
          <cell r="AN550">
            <v>0</v>
          </cell>
          <cell r="AO550">
            <v>0</v>
          </cell>
          <cell r="AP550">
            <v>0</v>
          </cell>
          <cell r="AZ550">
            <v>0</v>
          </cell>
          <cell r="BT550">
            <v>0</v>
          </cell>
          <cell r="BX550">
            <v>0</v>
          </cell>
          <cell r="CB550">
            <v>0</v>
          </cell>
          <cell r="CE550" t="str">
            <v>8EU</v>
          </cell>
          <cell r="CF550" t="str">
            <v>8EU</v>
          </cell>
          <cell r="CG550" t="str">
            <v>8EU</v>
          </cell>
        </row>
        <row r="551">
          <cell r="O551">
            <v>8</v>
          </cell>
          <cell r="AN551">
            <v>2.5863999901716803</v>
          </cell>
          <cell r="AO551">
            <v>2.5863999901716803</v>
          </cell>
          <cell r="AP551">
            <v>2.5863999901716803</v>
          </cell>
          <cell r="AZ551">
            <v>2.7938000000000001</v>
          </cell>
          <cell r="BT551">
            <v>2.5863999901716803</v>
          </cell>
          <cell r="BX551">
            <v>2.5863999901716803</v>
          </cell>
          <cell r="CB551">
            <v>2.5863999901716803</v>
          </cell>
          <cell r="CE551" t="str">
            <v>8EU</v>
          </cell>
          <cell r="CF551" t="str">
            <v>8EU</v>
          </cell>
          <cell r="CG551" t="str">
            <v>8EU</v>
          </cell>
        </row>
        <row r="552">
          <cell r="O552">
            <v>8</v>
          </cell>
          <cell r="AN552">
            <v>0</v>
          </cell>
          <cell r="AO552">
            <v>0</v>
          </cell>
          <cell r="AP552">
            <v>0</v>
          </cell>
          <cell r="AZ552">
            <v>0</v>
          </cell>
          <cell r="BT552">
            <v>0</v>
          </cell>
          <cell r="BX552">
            <v>0</v>
          </cell>
          <cell r="CB552">
            <v>0</v>
          </cell>
          <cell r="CE552" t="str">
            <v>8EU</v>
          </cell>
          <cell r="CF552" t="str">
            <v>8EU</v>
          </cell>
          <cell r="CG552" t="str">
            <v>8EU</v>
          </cell>
        </row>
        <row r="553">
          <cell r="O553">
            <v>8</v>
          </cell>
          <cell r="AN553">
            <v>0</v>
          </cell>
          <cell r="AO553">
            <v>0</v>
          </cell>
          <cell r="AP553">
            <v>0</v>
          </cell>
          <cell r="AZ553">
            <v>0</v>
          </cell>
          <cell r="BT553">
            <v>0</v>
          </cell>
          <cell r="BX553">
            <v>0</v>
          </cell>
          <cell r="CB553">
            <v>0</v>
          </cell>
          <cell r="CE553" t="str">
            <v>8EU</v>
          </cell>
          <cell r="CF553" t="str">
            <v>8EU</v>
          </cell>
          <cell r="CG553" t="str">
            <v>8EU</v>
          </cell>
        </row>
        <row r="554">
          <cell r="O554">
            <v>8</v>
          </cell>
          <cell r="AN554">
            <v>1.7489999933538001</v>
          </cell>
          <cell r="AO554">
            <v>1.7489999933538001</v>
          </cell>
          <cell r="AP554">
            <v>1.7489999933538001</v>
          </cell>
          <cell r="AZ554">
            <v>1.8892499999999999</v>
          </cell>
          <cell r="BT554">
            <v>1.7489999933538001</v>
          </cell>
          <cell r="BX554">
            <v>1.7489999933538001</v>
          </cell>
          <cell r="CB554">
            <v>1.7489999933538001</v>
          </cell>
          <cell r="CE554" t="str">
            <v>8EU</v>
          </cell>
          <cell r="CF554" t="str">
            <v>8EU</v>
          </cell>
          <cell r="CG554" t="str">
            <v>8EU</v>
          </cell>
        </row>
        <row r="555">
          <cell r="O555">
            <v>8</v>
          </cell>
          <cell r="AN555">
            <v>1.7489999933538001</v>
          </cell>
          <cell r="AO555">
            <v>1.7489999933538001</v>
          </cell>
          <cell r="AP555">
            <v>1.7489999933538001</v>
          </cell>
          <cell r="AZ555">
            <v>1.8892499999999999</v>
          </cell>
          <cell r="BT555">
            <v>1.7489999933538001</v>
          </cell>
          <cell r="BX555">
            <v>1.7489999933538001</v>
          </cell>
          <cell r="CB555">
            <v>1.7489999933538001</v>
          </cell>
          <cell r="CE555" t="str">
            <v>8EU</v>
          </cell>
          <cell r="CF555" t="str">
            <v>8EU</v>
          </cell>
          <cell r="CG555" t="str">
            <v>8EU</v>
          </cell>
        </row>
        <row r="556">
          <cell r="O556">
            <v>8</v>
          </cell>
          <cell r="AN556">
            <v>0</v>
          </cell>
          <cell r="AO556">
            <v>0</v>
          </cell>
          <cell r="AP556">
            <v>0</v>
          </cell>
          <cell r="AZ556">
            <v>0</v>
          </cell>
          <cell r="BT556">
            <v>0</v>
          </cell>
          <cell r="BX556">
            <v>0</v>
          </cell>
          <cell r="CB556">
            <v>0</v>
          </cell>
          <cell r="CE556" t="str">
            <v>8EU</v>
          </cell>
          <cell r="CF556" t="str">
            <v>8EU</v>
          </cell>
          <cell r="CG556" t="str">
            <v>8EU</v>
          </cell>
        </row>
        <row r="557">
          <cell r="O557">
            <v>8</v>
          </cell>
          <cell r="AN557">
            <v>0</v>
          </cell>
          <cell r="AO557">
            <v>1.7913999931926803</v>
          </cell>
          <cell r="AP557">
            <v>0</v>
          </cell>
          <cell r="AZ557">
            <v>1.9350499999999999</v>
          </cell>
          <cell r="BT557">
            <v>0</v>
          </cell>
          <cell r="BX557">
            <v>1.7913999931926803</v>
          </cell>
          <cell r="CB557">
            <v>0</v>
          </cell>
          <cell r="CE557" t="str">
            <v>8EU</v>
          </cell>
          <cell r="CF557" t="str">
            <v>8EU</v>
          </cell>
          <cell r="CG557" t="str">
            <v>8EU</v>
          </cell>
        </row>
        <row r="558">
          <cell r="O558">
            <v>8</v>
          </cell>
          <cell r="AN558">
            <v>0</v>
          </cell>
          <cell r="AO558">
            <v>0</v>
          </cell>
          <cell r="AP558">
            <v>0</v>
          </cell>
          <cell r="AZ558">
            <v>0</v>
          </cell>
          <cell r="BT558">
            <v>0</v>
          </cell>
          <cell r="BX558">
            <v>0</v>
          </cell>
          <cell r="CB558">
            <v>0</v>
          </cell>
          <cell r="CE558" t="str">
            <v>8EU</v>
          </cell>
          <cell r="CF558" t="str">
            <v>8EU</v>
          </cell>
          <cell r="CG558" t="str">
            <v>8EU</v>
          </cell>
        </row>
        <row r="559">
          <cell r="O559">
            <v>8</v>
          </cell>
          <cell r="AN559">
            <v>1.7913999931926803</v>
          </cell>
          <cell r="AO559">
            <v>0</v>
          </cell>
          <cell r="AP559">
            <v>1.7913999931926803</v>
          </cell>
          <cell r="AZ559">
            <v>0</v>
          </cell>
          <cell r="BT559">
            <v>1.7913999931926803</v>
          </cell>
          <cell r="BX559">
            <v>0</v>
          </cell>
          <cell r="CB559">
            <v>1.7913999931926803</v>
          </cell>
          <cell r="CE559" t="str">
            <v>8EU</v>
          </cell>
          <cell r="CF559" t="str">
            <v>8EU</v>
          </cell>
          <cell r="CG559" t="str">
            <v>8EU</v>
          </cell>
        </row>
        <row r="560">
          <cell r="O560">
            <v>8</v>
          </cell>
          <cell r="AN560">
            <v>0</v>
          </cell>
          <cell r="AO560">
            <v>1.7913999931926803</v>
          </cell>
          <cell r="AP560">
            <v>0</v>
          </cell>
          <cell r="AZ560">
            <v>1.9350499999999999</v>
          </cell>
          <cell r="BT560">
            <v>0</v>
          </cell>
          <cell r="BX560">
            <v>1.7913999931926803</v>
          </cell>
          <cell r="CB560">
            <v>0</v>
          </cell>
          <cell r="CE560" t="str">
            <v>8EU</v>
          </cell>
          <cell r="CF560" t="str">
            <v>8EU</v>
          </cell>
          <cell r="CG560" t="str">
            <v>8EU</v>
          </cell>
        </row>
        <row r="561">
          <cell r="O561">
            <v>8</v>
          </cell>
          <cell r="AN561">
            <v>0</v>
          </cell>
          <cell r="AO561">
            <v>0</v>
          </cell>
          <cell r="AP561">
            <v>0</v>
          </cell>
          <cell r="AZ561">
            <v>0</v>
          </cell>
          <cell r="BT561">
            <v>0</v>
          </cell>
          <cell r="BX561">
            <v>0</v>
          </cell>
          <cell r="CB561">
            <v>0</v>
          </cell>
          <cell r="CE561" t="str">
            <v>8EU</v>
          </cell>
          <cell r="CF561" t="str">
            <v>8EU</v>
          </cell>
          <cell r="CG561" t="str">
            <v>8EU</v>
          </cell>
        </row>
        <row r="562">
          <cell r="O562">
            <v>8</v>
          </cell>
          <cell r="AN562">
            <v>1.7913999931926803</v>
          </cell>
          <cell r="AO562">
            <v>0</v>
          </cell>
          <cell r="AP562">
            <v>1.7913999931926803</v>
          </cell>
          <cell r="AZ562">
            <v>0</v>
          </cell>
          <cell r="BT562">
            <v>1.7913999931926803</v>
          </cell>
          <cell r="BX562">
            <v>0</v>
          </cell>
          <cell r="CB562">
            <v>1.7913999931926803</v>
          </cell>
          <cell r="CE562" t="str">
            <v>8EU</v>
          </cell>
          <cell r="CF562" t="str">
            <v>8EU</v>
          </cell>
          <cell r="CG562" t="str">
            <v>8EU</v>
          </cell>
        </row>
        <row r="563">
          <cell r="O563">
            <v>8</v>
          </cell>
          <cell r="AN563">
            <v>0</v>
          </cell>
          <cell r="AO563">
            <v>0</v>
          </cell>
          <cell r="AP563">
            <v>0</v>
          </cell>
          <cell r="AZ563">
            <v>0</v>
          </cell>
          <cell r="BT563">
            <v>0</v>
          </cell>
          <cell r="BX563">
            <v>0</v>
          </cell>
          <cell r="CB563">
            <v>0</v>
          </cell>
          <cell r="CE563" t="str">
            <v>8EU</v>
          </cell>
          <cell r="CF563" t="str">
            <v>8EU</v>
          </cell>
          <cell r="CG563" t="str">
            <v>8EU</v>
          </cell>
        </row>
        <row r="564">
          <cell r="O564">
            <v>8</v>
          </cell>
          <cell r="AN564">
            <v>0</v>
          </cell>
          <cell r="AO564">
            <v>2.4909999905342004</v>
          </cell>
          <cell r="AP564">
            <v>0</v>
          </cell>
          <cell r="AZ564">
            <v>2.69075</v>
          </cell>
          <cell r="BT564">
            <v>0</v>
          </cell>
          <cell r="BX564">
            <v>2.4909999905342004</v>
          </cell>
          <cell r="CB564">
            <v>0</v>
          </cell>
          <cell r="CE564" t="str">
            <v>8EU</v>
          </cell>
          <cell r="CF564" t="str">
            <v>8EU</v>
          </cell>
          <cell r="CG564" t="str">
            <v>8EU</v>
          </cell>
        </row>
        <row r="565">
          <cell r="O565">
            <v>8</v>
          </cell>
          <cell r="AN565">
            <v>0.37099999859020016</v>
          </cell>
          <cell r="AO565">
            <v>0</v>
          </cell>
          <cell r="AP565">
            <v>0.37099999859020016</v>
          </cell>
          <cell r="AZ565">
            <v>0</v>
          </cell>
          <cell r="BT565">
            <v>0.37099999859020016</v>
          </cell>
          <cell r="BX565">
            <v>0</v>
          </cell>
          <cell r="CB565">
            <v>0.37099999859020016</v>
          </cell>
          <cell r="CE565" t="str">
            <v>8EU</v>
          </cell>
          <cell r="CF565" t="str">
            <v>8EU</v>
          </cell>
          <cell r="CG565" t="str">
            <v>8EU</v>
          </cell>
        </row>
        <row r="566">
          <cell r="O566">
            <v>8</v>
          </cell>
          <cell r="AN566">
            <v>0</v>
          </cell>
          <cell r="AO566">
            <v>2.4909999905342004</v>
          </cell>
          <cell r="AP566">
            <v>0</v>
          </cell>
          <cell r="AZ566">
            <v>2.69075</v>
          </cell>
          <cell r="BT566">
            <v>0</v>
          </cell>
          <cell r="BX566">
            <v>2.4909999905342004</v>
          </cell>
          <cell r="CB566">
            <v>0</v>
          </cell>
          <cell r="CE566" t="str">
            <v>8EU</v>
          </cell>
          <cell r="CF566" t="str">
            <v>8EU</v>
          </cell>
          <cell r="CG566" t="str">
            <v>8EU</v>
          </cell>
        </row>
        <row r="567">
          <cell r="O567">
            <v>8</v>
          </cell>
          <cell r="AN567">
            <v>0.37099999859020016</v>
          </cell>
          <cell r="AO567">
            <v>0</v>
          </cell>
          <cell r="AP567">
            <v>0.37099999859020016</v>
          </cell>
          <cell r="AZ567">
            <v>0</v>
          </cell>
          <cell r="BT567">
            <v>0.37099999859020016</v>
          </cell>
          <cell r="BX567">
            <v>0</v>
          </cell>
          <cell r="CB567">
            <v>0.37099999859020016</v>
          </cell>
          <cell r="CE567" t="str">
            <v>8EU</v>
          </cell>
          <cell r="CF567" t="str">
            <v>8EU</v>
          </cell>
          <cell r="CG567" t="str">
            <v>8EU</v>
          </cell>
        </row>
        <row r="568">
          <cell r="O568">
            <v>8</v>
          </cell>
          <cell r="AN568">
            <v>0</v>
          </cell>
          <cell r="AO568">
            <v>0</v>
          </cell>
          <cell r="AP568">
            <v>0</v>
          </cell>
          <cell r="AZ568">
            <v>0</v>
          </cell>
          <cell r="BT568">
            <v>0</v>
          </cell>
          <cell r="BX568">
            <v>0</v>
          </cell>
          <cell r="CB568">
            <v>0</v>
          </cell>
          <cell r="CE568" t="str">
            <v>8EU</v>
          </cell>
          <cell r="CF568" t="str">
            <v>8EU</v>
          </cell>
          <cell r="CG568" t="str">
            <v>8EU</v>
          </cell>
        </row>
        <row r="569">
          <cell r="O569">
            <v>8</v>
          </cell>
          <cell r="AN569">
            <v>1.6535999937163202</v>
          </cell>
          <cell r="AO569">
            <v>1.6535999937163202</v>
          </cell>
          <cell r="AP569">
            <v>1.6535999937163202</v>
          </cell>
          <cell r="AZ569">
            <v>1.7862</v>
          </cell>
          <cell r="BT569">
            <v>1.6535999937163202</v>
          </cell>
          <cell r="BX569">
            <v>1.6535999937163202</v>
          </cell>
          <cell r="CB569">
            <v>1.6535999937163202</v>
          </cell>
          <cell r="CE569" t="str">
            <v>8EU</v>
          </cell>
          <cell r="CF569" t="str">
            <v>8EU</v>
          </cell>
          <cell r="CG569" t="str">
            <v>8EU</v>
          </cell>
        </row>
        <row r="570">
          <cell r="O570">
            <v>8</v>
          </cell>
          <cell r="AN570">
            <v>1.6535999937163202</v>
          </cell>
          <cell r="AO570">
            <v>1.6535999937163202</v>
          </cell>
          <cell r="AP570">
            <v>1.6535999937163202</v>
          </cell>
          <cell r="AZ570">
            <v>1.7862</v>
          </cell>
          <cell r="BT570">
            <v>1.6535999937163202</v>
          </cell>
          <cell r="BX570">
            <v>1.6535999937163202</v>
          </cell>
          <cell r="CB570">
            <v>1.6535999937163202</v>
          </cell>
          <cell r="CE570" t="str">
            <v>8EU</v>
          </cell>
          <cell r="CF570" t="str">
            <v>8EU</v>
          </cell>
          <cell r="CG570" t="str">
            <v>8EU</v>
          </cell>
        </row>
        <row r="571">
          <cell r="O571">
            <v>8</v>
          </cell>
          <cell r="AN571">
            <v>0</v>
          </cell>
          <cell r="AO571">
            <v>0</v>
          </cell>
          <cell r="AP571">
            <v>0</v>
          </cell>
          <cell r="AZ571">
            <v>0</v>
          </cell>
          <cell r="BT571">
            <v>0</v>
          </cell>
          <cell r="BX571">
            <v>0</v>
          </cell>
          <cell r="CB571">
            <v>0</v>
          </cell>
          <cell r="CE571" t="str">
            <v>8EU</v>
          </cell>
          <cell r="CF571" t="str">
            <v>8EU</v>
          </cell>
          <cell r="CG571" t="str">
            <v>8EU</v>
          </cell>
        </row>
        <row r="572">
          <cell r="O572">
            <v>8</v>
          </cell>
          <cell r="AN572">
            <v>0</v>
          </cell>
          <cell r="AO572">
            <v>0.54059999794572</v>
          </cell>
          <cell r="AP572">
            <v>0</v>
          </cell>
          <cell r="AZ572">
            <v>0.58394999999999997</v>
          </cell>
          <cell r="BT572">
            <v>0</v>
          </cell>
          <cell r="BX572">
            <v>0.54059999794572</v>
          </cell>
          <cell r="CB572">
            <v>0</v>
          </cell>
          <cell r="CE572" t="str">
            <v>8EU</v>
          </cell>
          <cell r="CF572" t="str">
            <v>8EU</v>
          </cell>
          <cell r="CG572" t="str">
            <v>8EU</v>
          </cell>
        </row>
        <row r="573">
          <cell r="O573">
            <v>8</v>
          </cell>
          <cell r="AN573">
            <v>1.2613999952066801</v>
          </cell>
          <cell r="AO573">
            <v>0</v>
          </cell>
          <cell r="AP573">
            <v>1.2613999952066801</v>
          </cell>
          <cell r="AZ573">
            <v>0</v>
          </cell>
          <cell r="BT573">
            <v>1.2613999952066801</v>
          </cell>
          <cell r="BX573">
            <v>0</v>
          </cell>
          <cell r="CB573">
            <v>1.2613999952066801</v>
          </cell>
          <cell r="CE573" t="str">
            <v>8EU</v>
          </cell>
          <cell r="CF573" t="str">
            <v>8EU</v>
          </cell>
          <cell r="CG573" t="str">
            <v>8EU</v>
          </cell>
        </row>
        <row r="574">
          <cell r="O574">
            <v>8</v>
          </cell>
          <cell r="AN574">
            <v>0</v>
          </cell>
          <cell r="AO574">
            <v>0.54059999794572</v>
          </cell>
          <cell r="AP574">
            <v>0</v>
          </cell>
          <cell r="AZ574">
            <v>0.58394999999999997</v>
          </cell>
          <cell r="BT574">
            <v>0</v>
          </cell>
          <cell r="BX574">
            <v>0.54059999794572</v>
          </cell>
          <cell r="CB574">
            <v>0</v>
          </cell>
          <cell r="CE574" t="str">
            <v>8EU</v>
          </cell>
          <cell r="CF574" t="str">
            <v>8EU</v>
          </cell>
          <cell r="CG574" t="str">
            <v>8EU</v>
          </cell>
        </row>
        <row r="575">
          <cell r="O575">
            <v>8</v>
          </cell>
          <cell r="AN575">
            <v>1.2613999952066801</v>
          </cell>
          <cell r="AO575">
            <v>0</v>
          </cell>
          <cell r="AP575">
            <v>1.2613999952066801</v>
          </cell>
          <cell r="AZ575">
            <v>0</v>
          </cell>
          <cell r="BT575">
            <v>1.2613999952066801</v>
          </cell>
          <cell r="BX575">
            <v>0</v>
          </cell>
          <cell r="CB575">
            <v>1.2613999952066801</v>
          </cell>
          <cell r="CE575" t="str">
            <v>8EU</v>
          </cell>
          <cell r="CF575" t="str">
            <v>8EU</v>
          </cell>
          <cell r="CG575" t="str">
            <v>8EU</v>
          </cell>
        </row>
        <row r="576">
          <cell r="O576">
            <v>8</v>
          </cell>
          <cell r="AN576">
            <v>0</v>
          </cell>
          <cell r="AO576">
            <v>2.8937999890035604</v>
          </cell>
          <cell r="AP576">
            <v>0</v>
          </cell>
          <cell r="AZ576">
            <v>3.1258500000000002</v>
          </cell>
          <cell r="BT576">
            <v>0</v>
          </cell>
          <cell r="BX576">
            <v>2.8937999890035604</v>
          </cell>
          <cell r="CB576">
            <v>0</v>
          </cell>
          <cell r="CE576" t="str">
            <v>8EU</v>
          </cell>
          <cell r="CF576" t="str">
            <v>8EU</v>
          </cell>
          <cell r="CG576" t="str">
            <v>8EU</v>
          </cell>
        </row>
        <row r="577">
          <cell r="O577">
            <v>8</v>
          </cell>
          <cell r="AN577">
            <v>2.8937999890035604</v>
          </cell>
          <cell r="AO577">
            <v>0</v>
          </cell>
          <cell r="AP577">
            <v>2.8937999890035604</v>
          </cell>
          <cell r="AZ577">
            <v>0</v>
          </cell>
          <cell r="BT577">
            <v>2.8937999890035604</v>
          </cell>
          <cell r="BX577">
            <v>0</v>
          </cell>
          <cell r="CB577">
            <v>2.8937999890035604</v>
          </cell>
          <cell r="CE577" t="str">
            <v>8EU</v>
          </cell>
          <cell r="CF577" t="str">
            <v>8EU</v>
          </cell>
          <cell r="CG577" t="str">
            <v>8EU</v>
          </cell>
        </row>
        <row r="578">
          <cell r="O578">
            <v>8</v>
          </cell>
          <cell r="AN578">
            <v>0</v>
          </cell>
          <cell r="AO578">
            <v>0</v>
          </cell>
          <cell r="AP578">
            <v>0</v>
          </cell>
          <cell r="AZ578">
            <v>0</v>
          </cell>
          <cell r="BT578">
            <v>0</v>
          </cell>
          <cell r="BX578">
            <v>0</v>
          </cell>
          <cell r="CB578">
            <v>0</v>
          </cell>
          <cell r="CE578" t="str">
            <v>8EU</v>
          </cell>
          <cell r="CF578" t="str">
            <v>8EU</v>
          </cell>
          <cell r="CG578" t="str">
            <v>8EU</v>
          </cell>
        </row>
        <row r="579">
          <cell r="O579">
            <v>8</v>
          </cell>
          <cell r="AN579">
            <v>0</v>
          </cell>
          <cell r="AO579">
            <v>0</v>
          </cell>
          <cell r="AP579">
            <v>0</v>
          </cell>
          <cell r="AZ579">
            <v>0</v>
          </cell>
          <cell r="BT579">
            <v>0</v>
          </cell>
          <cell r="BX579">
            <v>0</v>
          </cell>
          <cell r="CB579">
            <v>0</v>
          </cell>
          <cell r="CE579" t="str">
            <v>8EU</v>
          </cell>
          <cell r="CF579" t="str">
            <v>8EU</v>
          </cell>
          <cell r="CG579" t="str">
            <v>8EU</v>
          </cell>
        </row>
        <row r="580">
          <cell r="O580">
            <v>8</v>
          </cell>
          <cell r="AN580">
            <v>0</v>
          </cell>
          <cell r="AO580">
            <v>1.164939995573228</v>
          </cell>
          <cell r="AP580">
            <v>0</v>
          </cell>
          <cell r="AZ580">
            <v>1.2583549999999999</v>
          </cell>
          <cell r="BT580">
            <v>0</v>
          </cell>
          <cell r="BX580">
            <v>1.164939995573228</v>
          </cell>
          <cell r="CB580">
            <v>0</v>
          </cell>
          <cell r="CE580" t="str">
            <v>8EU</v>
          </cell>
          <cell r="CF580" t="str">
            <v>8EU</v>
          </cell>
          <cell r="CG580" t="str">
            <v>8EU</v>
          </cell>
        </row>
        <row r="581">
          <cell r="O581">
            <v>8</v>
          </cell>
          <cell r="AN581">
            <v>2.0245999923065203</v>
          </cell>
          <cell r="AO581">
            <v>0</v>
          </cell>
          <cell r="AP581">
            <v>2.0245999923065203</v>
          </cell>
          <cell r="AZ581">
            <v>0</v>
          </cell>
          <cell r="BT581">
            <v>2.0245999923065203</v>
          </cell>
          <cell r="BX581">
            <v>0</v>
          </cell>
          <cell r="CB581">
            <v>2.0245999923065203</v>
          </cell>
          <cell r="CE581" t="str">
            <v>8EU</v>
          </cell>
          <cell r="CF581" t="str">
            <v>8EU</v>
          </cell>
          <cell r="CG581" t="str">
            <v>8EU</v>
          </cell>
        </row>
        <row r="582">
          <cell r="O582">
            <v>8</v>
          </cell>
          <cell r="AN582">
            <v>0</v>
          </cell>
          <cell r="AO582">
            <v>1.164939995573228</v>
          </cell>
          <cell r="AP582">
            <v>0</v>
          </cell>
          <cell r="AZ582">
            <v>1.2583549999999999</v>
          </cell>
          <cell r="BT582">
            <v>0</v>
          </cell>
          <cell r="BX582">
            <v>1.164939995573228</v>
          </cell>
          <cell r="CB582">
            <v>0</v>
          </cell>
          <cell r="CE582" t="str">
            <v>8EU</v>
          </cell>
          <cell r="CF582" t="str">
            <v>8EU</v>
          </cell>
          <cell r="CG582" t="str">
            <v>8EU</v>
          </cell>
        </row>
        <row r="583">
          <cell r="O583">
            <v>8</v>
          </cell>
          <cell r="AN583">
            <v>2.0245999923065203</v>
          </cell>
          <cell r="AO583">
            <v>0</v>
          </cell>
          <cell r="AP583">
            <v>2.0245999923065203</v>
          </cell>
          <cell r="AZ583">
            <v>0</v>
          </cell>
          <cell r="BT583">
            <v>2.0245999923065203</v>
          </cell>
          <cell r="BX583">
            <v>0</v>
          </cell>
          <cell r="CB583">
            <v>2.0245999923065203</v>
          </cell>
          <cell r="CE583" t="str">
            <v>8EU</v>
          </cell>
          <cell r="CF583" t="str">
            <v>8EU</v>
          </cell>
          <cell r="CG583" t="str">
            <v>8EU</v>
          </cell>
        </row>
        <row r="584">
          <cell r="O584">
            <v>8</v>
          </cell>
          <cell r="AN584">
            <v>0</v>
          </cell>
          <cell r="AO584">
            <v>0.52999999798600006</v>
          </cell>
          <cell r="AP584">
            <v>0</v>
          </cell>
          <cell r="AZ584">
            <v>0.57250000000000001</v>
          </cell>
          <cell r="BT584">
            <v>0</v>
          </cell>
          <cell r="BX584">
            <v>0.52999999798600006</v>
          </cell>
          <cell r="CB584">
            <v>0</v>
          </cell>
          <cell r="CE584" t="str">
            <v>8EU</v>
          </cell>
          <cell r="CF584" t="str">
            <v>8EU</v>
          </cell>
          <cell r="CG584" t="str">
            <v>8EU</v>
          </cell>
        </row>
        <row r="585">
          <cell r="O585">
            <v>8</v>
          </cell>
          <cell r="AN585">
            <v>0.99639999621368014</v>
          </cell>
          <cell r="AO585">
            <v>0</v>
          </cell>
          <cell r="AP585">
            <v>0.99639999621368014</v>
          </cell>
          <cell r="AZ585">
            <v>0</v>
          </cell>
          <cell r="BT585">
            <v>0.99639999621368014</v>
          </cell>
          <cell r="BX585">
            <v>0</v>
          </cell>
          <cell r="CB585">
            <v>0.99639999621368014</v>
          </cell>
          <cell r="CE585" t="str">
            <v>8EU</v>
          </cell>
          <cell r="CF585" t="str">
            <v>8EU</v>
          </cell>
          <cell r="CG585" t="str">
            <v>8EU</v>
          </cell>
        </row>
        <row r="586">
          <cell r="O586">
            <v>8</v>
          </cell>
          <cell r="AN586">
            <v>0</v>
          </cell>
          <cell r="AO586">
            <v>0.52999999798600006</v>
          </cell>
          <cell r="AP586">
            <v>0</v>
          </cell>
          <cell r="AZ586">
            <v>0.57250000000000001</v>
          </cell>
          <cell r="BT586">
            <v>0</v>
          </cell>
          <cell r="BX586">
            <v>0.52999999798600006</v>
          </cell>
          <cell r="CB586">
            <v>0</v>
          </cell>
          <cell r="CE586" t="str">
            <v>8EU</v>
          </cell>
          <cell r="CF586" t="str">
            <v>8EU</v>
          </cell>
          <cell r="CG586" t="str">
            <v>8EU</v>
          </cell>
        </row>
        <row r="587">
          <cell r="O587">
            <v>8</v>
          </cell>
          <cell r="AN587">
            <v>0.99639999621368014</v>
          </cell>
          <cell r="AO587">
            <v>0</v>
          </cell>
          <cell r="AP587">
            <v>0.99639999621368014</v>
          </cell>
          <cell r="AZ587">
            <v>0</v>
          </cell>
          <cell r="BT587">
            <v>0.99639999621368014</v>
          </cell>
          <cell r="BX587">
            <v>0</v>
          </cell>
          <cell r="CB587">
            <v>0.99639999621368014</v>
          </cell>
          <cell r="CE587" t="str">
            <v>8EU</v>
          </cell>
          <cell r="CF587" t="str">
            <v>8EU</v>
          </cell>
          <cell r="CG587" t="str">
            <v>8EU</v>
          </cell>
        </row>
        <row r="588">
          <cell r="O588">
            <v>8</v>
          </cell>
          <cell r="AN588">
            <v>0</v>
          </cell>
          <cell r="AO588">
            <v>0</v>
          </cell>
          <cell r="AP588">
            <v>0</v>
          </cell>
          <cell r="AZ588">
            <v>0</v>
          </cell>
          <cell r="BT588">
            <v>0</v>
          </cell>
          <cell r="BX588">
            <v>0</v>
          </cell>
          <cell r="CB588">
            <v>0</v>
          </cell>
          <cell r="CE588" t="str">
            <v>8EU</v>
          </cell>
          <cell r="CF588" t="str">
            <v>8EU</v>
          </cell>
          <cell r="CG588" t="str">
            <v>8EU</v>
          </cell>
        </row>
        <row r="589">
          <cell r="O589">
            <v>8</v>
          </cell>
          <cell r="AN589">
            <v>0</v>
          </cell>
          <cell r="AO589">
            <v>6.6673999746638808</v>
          </cell>
          <cell r="AP589">
            <v>0</v>
          </cell>
          <cell r="AZ589">
            <v>7.2020499999999998</v>
          </cell>
          <cell r="BT589">
            <v>0</v>
          </cell>
          <cell r="BX589">
            <v>6.6673999746638808</v>
          </cell>
          <cell r="CB589">
            <v>0</v>
          </cell>
          <cell r="CE589" t="str">
            <v>8EU</v>
          </cell>
          <cell r="CF589" t="str">
            <v>8EU</v>
          </cell>
          <cell r="CG589" t="str">
            <v>8EU</v>
          </cell>
        </row>
        <row r="590">
          <cell r="O590">
            <v>8</v>
          </cell>
          <cell r="AN590">
            <v>0</v>
          </cell>
          <cell r="AO590">
            <v>1.1553999956094803</v>
          </cell>
          <cell r="AP590">
            <v>0</v>
          </cell>
          <cell r="AZ590">
            <v>1.2480500000000001</v>
          </cell>
          <cell r="BT590">
            <v>0</v>
          </cell>
          <cell r="BX590">
            <v>1.1553999956094803</v>
          </cell>
          <cell r="CB590">
            <v>0</v>
          </cell>
          <cell r="CE590" t="str">
            <v>8EU</v>
          </cell>
          <cell r="CF590" t="str">
            <v>8EU</v>
          </cell>
          <cell r="CG590" t="str">
            <v>8EU</v>
          </cell>
        </row>
        <row r="591">
          <cell r="O591">
            <v>8</v>
          </cell>
          <cell r="AN591">
            <v>0</v>
          </cell>
          <cell r="AO591">
            <v>1.1553999956094803</v>
          </cell>
          <cell r="AP591">
            <v>0</v>
          </cell>
          <cell r="AZ591">
            <v>1.2480500000000001</v>
          </cell>
          <cell r="BT591">
            <v>0</v>
          </cell>
          <cell r="BX591">
            <v>1.1553999956094803</v>
          </cell>
          <cell r="CB591">
            <v>0</v>
          </cell>
          <cell r="CE591" t="str">
            <v>8EU</v>
          </cell>
          <cell r="CF591" t="str">
            <v>8EU</v>
          </cell>
          <cell r="CG591" t="str">
            <v>8EU</v>
          </cell>
        </row>
        <row r="592">
          <cell r="O592">
            <v>8</v>
          </cell>
          <cell r="AN592">
            <v>0</v>
          </cell>
          <cell r="AO592">
            <v>1.5263999941996802</v>
          </cell>
          <cell r="AP592">
            <v>0</v>
          </cell>
          <cell r="AZ592">
            <v>1.6488</v>
          </cell>
          <cell r="BT592">
            <v>0</v>
          </cell>
          <cell r="BX592">
            <v>1.5263999941996802</v>
          </cell>
          <cell r="CB592">
            <v>0</v>
          </cell>
          <cell r="CE592" t="str">
            <v>8EU</v>
          </cell>
          <cell r="CF592" t="str">
            <v>8EU</v>
          </cell>
          <cell r="CG592" t="str">
            <v>8EU</v>
          </cell>
        </row>
        <row r="593">
          <cell r="O593">
            <v>8</v>
          </cell>
          <cell r="AN593">
            <v>0.68899999738180018</v>
          </cell>
          <cell r="AO593">
            <v>0</v>
          </cell>
          <cell r="AP593">
            <v>0.68899999738180018</v>
          </cell>
          <cell r="AZ593">
            <v>0</v>
          </cell>
          <cell r="BT593">
            <v>0.68899999738180018</v>
          </cell>
          <cell r="BX593">
            <v>0</v>
          </cell>
          <cell r="CB593">
            <v>0.68899999738180018</v>
          </cell>
          <cell r="CE593" t="str">
            <v>8EU</v>
          </cell>
          <cell r="CF593" t="str">
            <v>8EU</v>
          </cell>
          <cell r="CG593" t="str">
            <v>8EU</v>
          </cell>
        </row>
        <row r="594">
          <cell r="O594">
            <v>8</v>
          </cell>
          <cell r="AN594">
            <v>0</v>
          </cell>
          <cell r="AO594">
            <v>0</v>
          </cell>
          <cell r="AP594">
            <v>0</v>
          </cell>
          <cell r="AZ594">
            <v>0</v>
          </cell>
          <cell r="BT594">
            <v>0</v>
          </cell>
          <cell r="BX594">
            <v>0</v>
          </cell>
          <cell r="CB594">
            <v>0</v>
          </cell>
          <cell r="CE594" t="str">
            <v>8EU</v>
          </cell>
          <cell r="CF594" t="str">
            <v>8EU</v>
          </cell>
          <cell r="CG594" t="str">
            <v>8EU</v>
          </cell>
        </row>
        <row r="595">
          <cell r="O595">
            <v>8</v>
          </cell>
          <cell r="AN595">
            <v>0</v>
          </cell>
          <cell r="AO595">
            <v>0</v>
          </cell>
          <cell r="AP595">
            <v>0</v>
          </cell>
          <cell r="AZ595">
            <v>0</v>
          </cell>
          <cell r="BT595">
            <v>0</v>
          </cell>
          <cell r="BX595">
            <v>0</v>
          </cell>
          <cell r="CB595">
            <v>0</v>
          </cell>
          <cell r="CE595" t="str">
            <v>8EU</v>
          </cell>
          <cell r="CF595" t="str">
            <v>8EU</v>
          </cell>
          <cell r="CG595" t="str">
            <v>8EU</v>
          </cell>
        </row>
        <row r="596">
          <cell r="O596">
            <v>8</v>
          </cell>
          <cell r="AN596">
            <v>23.659199910095044</v>
          </cell>
          <cell r="AO596">
            <v>0</v>
          </cell>
          <cell r="AP596">
            <v>0</v>
          </cell>
          <cell r="AZ596">
            <v>0</v>
          </cell>
          <cell r="BT596">
            <v>22.302399915250881</v>
          </cell>
          <cell r="BX596">
            <v>0</v>
          </cell>
          <cell r="CB596">
            <v>0</v>
          </cell>
          <cell r="CE596" t="str">
            <v>8LOCAL</v>
          </cell>
          <cell r="CF596" t="str">
            <v>8LOCAL</v>
          </cell>
          <cell r="CG596" t="str">
            <v>8LOCAL</v>
          </cell>
        </row>
        <row r="597">
          <cell r="O597">
            <v>8</v>
          </cell>
          <cell r="AN597">
            <v>0</v>
          </cell>
          <cell r="AO597">
            <v>24.030199908685244</v>
          </cell>
          <cell r="AP597">
            <v>24.030199908685244</v>
          </cell>
          <cell r="AZ597">
            <v>25.957150000000002</v>
          </cell>
          <cell r="BT597">
            <v>0</v>
          </cell>
          <cell r="BX597">
            <v>22.302399915250881</v>
          </cell>
          <cell r="CB597">
            <v>23.563799910457561</v>
          </cell>
          <cell r="CE597" t="str">
            <v>8LOCAL</v>
          </cell>
          <cell r="CF597" t="str">
            <v>8LOCAL</v>
          </cell>
          <cell r="CG597" t="str">
            <v>8LOCAL</v>
          </cell>
        </row>
        <row r="598">
          <cell r="O598">
            <v>8</v>
          </cell>
          <cell r="AN598">
            <v>0</v>
          </cell>
          <cell r="AO598">
            <v>0</v>
          </cell>
          <cell r="AP598">
            <v>0</v>
          </cell>
          <cell r="AZ598">
            <v>0</v>
          </cell>
          <cell r="BT598">
            <v>0</v>
          </cell>
          <cell r="BX598">
            <v>0</v>
          </cell>
          <cell r="CB598">
            <v>0</v>
          </cell>
          <cell r="CE598" t="str">
            <v>8EU</v>
          </cell>
          <cell r="CF598" t="str">
            <v>8EU</v>
          </cell>
          <cell r="CG598" t="str">
            <v>8EU</v>
          </cell>
        </row>
        <row r="599">
          <cell r="O599">
            <v>8</v>
          </cell>
          <cell r="AN599">
            <v>1.08119999589144</v>
          </cell>
          <cell r="AO599">
            <v>1.08119999589144</v>
          </cell>
          <cell r="AP599">
            <v>1.08119999589144</v>
          </cell>
          <cell r="AZ599">
            <v>1.1678999999999999</v>
          </cell>
          <cell r="BT599">
            <v>1.08119999589144</v>
          </cell>
          <cell r="BX599">
            <v>1.08119999589144</v>
          </cell>
          <cell r="CB599">
            <v>1.08119999589144</v>
          </cell>
          <cell r="CE599" t="str">
            <v>8EU</v>
          </cell>
          <cell r="CF599" t="str">
            <v>8EU</v>
          </cell>
          <cell r="CG599" t="str">
            <v>8EU</v>
          </cell>
        </row>
        <row r="600">
          <cell r="O600">
            <v>8</v>
          </cell>
          <cell r="AN600">
            <v>2.2259999915412005</v>
          </cell>
          <cell r="AO600">
            <v>2.2259999915412005</v>
          </cell>
          <cell r="AP600">
            <v>2.2259999915412005</v>
          </cell>
          <cell r="AZ600">
            <v>2.4045000000000001</v>
          </cell>
          <cell r="BT600">
            <v>2.2259999915412005</v>
          </cell>
          <cell r="BX600">
            <v>2.2259999915412005</v>
          </cell>
          <cell r="CB600">
            <v>2.2259999915412005</v>
          </cell>
          <cell r="CE600" t="str">
            <v>8EU</v>
          </cell>
          <cell r="CF600" t="str">
            <v>8EU</v>
          </cell>
          <cell r="CG600" t="str">
            <v>8EU</v>
          </cell>
        </row>
        <row r="601">
          <cell r="O601">
            <v>8</v>
          </cell>
          <cell r="AN601">
            <v>0</v>
          </cell>
          <cell r="AO601">
            <v>0</v>
          </cell>
          <cell r="AP601">
            <v>0</v>
          </cell>
          <cell r="AZ601">
            <v>0</v>
          </cell>
          <cell r="BT601">
            <v>0</v>
          </cell>
          <cell r="BX601">
            <v>0</v>
          </cell>
          <cell r="CB601">
            <v>0</v>
          </cell>
          <cell r="CE601" t="str">
            <v>8EU</v>
          </cell>
          <cell r="CF601" t="str">
            <v>8EU</v>
          </cell>
          <cell r="CG601" t="str">
            <v>8EU</v>
          </cell>
        </row>
        <row r="602">
          <cell r="O602">
            <v>8</v>
          </cell>
          <cell r="AN602">
            <v>0.30739999883188002</v>
          </cell>
          <cell r="AO602">
            <v>0.30739999883188002</v>
          </cell>
          <cell r="AP602">
            <v>0.30739999883188002</v>
          </cell>
          <cell r="AZ602">
            <v>0.33204999999999996</v>
          </cell>
          <cell r="BT602">
            <v>0.30739999883188002</v>
          </cell>
          <cell r="BX602">
            <v>0.30739999883188002</v>
          </cell>
          <cell r="CB602">
            <v>0.30739999883188002</v>
          </cell>
          <cell r="CE602" t="str">
            <v>8EU</v>
          </cell>
          <cell r="CF602" t="str">
            <v>8EU</v>
          </cell>
          <cell r="CG602" t="str">
            <v>8EU</v>
          </cell>
        </row>
        <row r="603">
          <cell r="O603">
            <v>8</v>
          </cell>
          <cell r="AN603">
            <v>0.75132799714495369</v>
          </cell>
          <cell r="AO603">
            <v>0.75132799714495369</v>
          </cell>
          <cell r="AP603">
            <v>0.75132799714495369</v>
          </cell>
          <cell r="AZ603">
            <v>0.81157599999999996</v>
          </cell>
          <cell r="BT603">
            <v>0.75132799714495369</v>
          </cell>
          <cell r="BX603">
            <v>0.75132799714495369</v>
          </cell>
          <cell r="CB603">
            <v>0.75132799714495369</v>
          </cell>
          <cell r="CE603" t="str">
            <v>8EU</v>
          </cell>
          <cell r="CF603" t="str">
            <v>8EU</v>
          </cell>
          <cell r="CG603" t="str">
            <v>8EU</v>
          </cell>
        </row>
        <row r="604">
          <cell r="O604">
            <v>8</v>
          </cell>
          <cell r="AN604">
            <v>5.1939999802628014</v>
          </cell>
          <cell r="AO604">
            <v>5.1939999802628014</v>
          </cell>
          <cell r="AP604">
            <v>5.1939999802628014</v>
          </cell>
          <cell r="AZ604">
            <v>5.6105000000000009</v>
          </cell>
          <cell r="BT604">
            <v>5.1939999802628014</v>
          </cell>
          <cell r="BX604">
            <v>5.1939999802628014</v>
          </cell>
          <cell r="CB604">
            <v>5.1939999802628014</v>
          </cell>
          <cell r="CE604" t="str">
            <v>8EU</v>
          </cell>
          <cell r="CF604" t="str">
            <v>8EU</v>
          </cell>
          <cell r="CG604" t="str">
            <v>8EU</v>
          </cell>
        </row>
        <row r="605">
          <cell r="O605">
            <v>8</v>
          </cell>
          <cell r="AN605">
            <v>5.1939999802628014</v>
          </cell>
          <cell r="AO605">
            <v>5.1939999802628014</v>
          </cell>
          <cell r="AP605">
            <v>5.1939999802628014</v>
          </cell>
          <cell r="AZ605">
            <v>5.6105000000000009</v>
          </cell>
          <cell r="BT605">
            <v>5.1939999802628014</v>
          </cell>
          <cell r="BX605">
            <v>5.1939999802628014</v>
          </cell>
          <cell r="CB605">
            <v>5.1939999802628014</v>
          </cell>
          <cell r="CE605" t="str">
            <v>8EU</v>
          </cell>
          <cell r="CF605" t="str">
            <v>8EU</v>
          </cell>
          <cell r="CG605" t="str">
            <v>8EU</v>
          </cell>
        </row>
        <row r="606">
          <cell r="O606">
            <v>8</v>
          </cell>
          <cell r="AN606">
            <v>4.9183999813100803</v>
          </cell>
          <cell r="AO606">
            <v>0</v>
          </cell>
          <cell r="AP606">
            <v>0</v>
          </cell>
          <cell r="AZ606">
            <v>0</v>
          </cell>
          <cell r="BT606">
            <v>4.9183999813100803</v>
          </cell>
          <cell r="BX606">
            <v>0</v>
          </cell>
          <cell r="CB606">
            <v>0</v>
          </cell>
          <cell r="CE606" t="str">
            <v>8EU</v>
          </cell>
          <cell r="CF606" t="str">
            <v>8EU</v>
          </cell>
          <cell r="CG606" t="str">
            <v>8EU</v>
          </cell>
        </row>
        <row r="607">
          <cell r="O607">
            <v>8</v>
          </cell>
          <cell r="AN607">
            <v>0</v>
          </cell>
          <cell r="AO607">
            <v>0</v>
          </cell>
          <cell r="AP607">
            <v>0</v>
          </cell>
          <cell r="AZ607">
            <v>0</v>
          </cell>
          <cell r="BT607">
            <v>0</v>
          </cell>
          <cell r="BX607">
            <v>0</v>
          </cell>
          <cell r="CB607">
            <v>0</v>
          </cell>
          <cell r="CE607" t="str">
            <v>8EU</v>
          </cell>
          <cell r="CF607" t="str">
            <v>8EU</v>
          </cell>
          <cell r="CG607" t="str">
            <v>8EU</v>
          </cell>
        </row>
        <row r="608">
          <cell r="O608">
            <v>8</v>
          </cell>
          <cell r="AN608">
            <v>0</v>
          </cell>
          <cell r="AO608">
            <v>0</v>
          </cell>
          <cell r="AP608">
            <v>0</v>
          </cell>
          <cell r="AZ608">
            <v>0</v>
          </cell>
          <cell r="BT608">
            <v>0</v>
          </cell>
          <cell r="BX608">
            <v>0</v>
          </cell>
          <cell r="CB608">
            <v>0</v>
          </cell>
          <cell r="CE608" t="str">
            <v>8EU</v>
          </cell>
          <cell r="CF608" t="str">
            <v>8EU</v>
          </cell>
          <cell r="CG608" t="str">
            <v>8EU</v>
          </cell>
        </row>
        <row r="609">
          <cell r="O609">
            <v>8</v>
          </cell>
          <cell r="AN609">
            <v>0</v>
          </cell>
          <cell r="AO609">
            <v>0</v>
          </cell>
          <cell r="AP609">
            <v>0</v>
          </cell>
          <cell r="AZ609">
            <v>0</v>
          </cell>
          <cell r="BT609">
            <v>0</v>
          </cell>
          <cell r="BX609">
            <v>0</v>
          </cell>
          <cell r="CB609">
            <v>0</v>
          </cell>
          <cell r="CE609" t="str">
            <v>8EU</v>
          </cell>
          <cell r="CF609" t="str">
            <v>8EU</v>
          </cell>
          <cell r="CG609" t="str">
            <v>8EU</v>
          </cell>
        </row>
        <row r="610">
          <cell r="O610">
            <v>8</v>
          </cell>
          <cell r="AN610">
            <v>0</v>
          </cell>
          <cell r="AO610">
            <v>0</v>
          </cell>
          <cell r="AP610">
            <v>0</v>
          </cell>
          <cell r="AZ610">
            <v>0</v>
          </cell>
          <cell r="BT610">
            <v>0</v>
          </cell>
          <cell r="BX610">
            <v>0</v>
          </cell>
          <cell r="CB610">
            <v>0</v>
          </cell>
          <cell r="CE610" t="str">
            <v>8EU</v>
          </cell>
          <cell r="CF610" t="str">
            <v>8EU</v>
          </cell>
          <cell r="CG610" t="str">
            <v>8EU</v>
          </cell>
        </row>
        <row r="611">
          <cell r="O611">
            <v>8</v>
          </cell>
          <cell r="AN611">
            <v>2.4909999905342004</v>
          </cell>
          <cell r="AO611">
            <v>2.4909999905342004</v>
          </cell>
          <cell r="AP611">
            <v>2.4909999905342004</v>
          </cell>
          <cell r="AZ611">
            <v>2.69075</v>
          </cell>
          <cell r="BT611">
            <v>2.4909999905342004</v>
          </cell>
          <cell r="BX611">
            <v>2.4909999905342004</v>
          </cell>
          <cell r="CB611">
            <v>2.4909999905342004</v>
          </cell>
          <cell r="CE611" t="str">
            <v>8EU</v>
          </cell>
          <cell r="CF611" t="str">
            <v>8EU</v>
          </cell>
          <cell r="CG611" t="str">
            <v>8EU</v>
          </cell>
        </row>
        <row r="612">
          <cell r="O612">
            <v>8</v>
          </cell>
          <cell r="AN612">
            <v>6.3599999758320001E-3</v>
          </cell>
          <cell r="AO612">
            <v>6.3599999758320001E-3</v>
          </cell>
          <cell r="AP612">
            <v>6.3599999758320001E-3</v>
          </cell>
          <cell r="AZ612">
            <v>6.8699999999999994E-3</v>
          </cell>
          <cell r="BT612">
            <v>6.3599999758320001E-3</v>
          </cell>
          <cell r="BX612">
            <v>6.3599999758320001E-3</v>
          </cell>
          <cell r="CB612">
            <v>6.3599999758320001E-3</v>
          </cell>
          <cell r="CE612" t="str">
            <v>8EU</v>
          </cell>
          <cell r="CF612" t="str">
            <v>8EU</v>
          </cell>
          <cell r="CG612" t="str">
            <v>8EU</v>
          </cell>
        </row>
        <row r="613">
          <cell r="O613">
            <v>8</v>
          </cell>
          <cell r="AN613">
            <v>0</v>
          </cell>
          <cell r="AO613">
            <v>0</v>
          </cell>
          <cell r="AP613">
            <v>0</v>
          </cell>
          <cell r="AZ613">
            <v>0</v>
          </cell>
          <cell r="BT613">
            <v>0</v>
          </cell>
          <cell r="BX613">
            <v>0</v>
          </cell>
          <cell r="CB613">
            <v>0</v>
          </cell>
          <cell r="CE613" t="str">
            <v>8EU</v>
          </cell>
          <cell r="CF613" t="str">
            <v>8EU</v>
          </cell>
          <cell r="CG613" t="str">
            <v>8EU</v>
          </cell>
        </row>
        <row r="614">
          <cell r="O614">
            <v>8</v>
          </cell>
          <cell r="AN614">
            <v>0</v>
          </cell>
          <cell r="AO614">
            <v>0</v>
          </cell>
          <cell r="AP614">
            <v>0</v>
          </cell>
          <cell r="AZ614">
            <v>0</v>
          </cell>
          <cell r="BT614">
            <v>0</v>
          </cell>
          <cell r="BX614">
            <v>0</v>
          </cell>
          <cell r="CB614">
            <v>0</v>
          </cell>
          <cell r="CE614" t="str">
            <v>8EU</v>
          </cell>
          <cell r="CF614" t="str">
            <v>8EU</v>
          </cell>
          <cell r="CG614" t="str">
            <v>8EU</v>
          </cell>
        </row>
        <row r="615">
          <cell r="O615">
            <v>8</v>
          </cell>
          <cell r="AN615">
            <v>0.23531999910578405</v>
          </cell>
          <cell r="AO615">
            <v>0.23531999910578405</v>
          </cell>
          <cell r="AP615">
            <v>0.23531999910578405</v>
          </cell>
          <cell r="AZ615">
            <v>0.25419000000000003</v>
          </cell>
          <cell r="BT615">
            <v>0.23531999910578405</v>
          </cell>
          <cell r="BX615">
            <v>0.23531999910578405</v>
          </cell>
          <cell r="CB615">
            <v>0.23531999910578405</v>
          </cell>
          <cell r="CE615" t="str">
            <v>8EU</v>
          </cell>
          <cell r="CF615" t="str">
            <v>8EU</v>
          </cell>
          <cell r="CG615" t="str">
            <v>8EU</v>
          </cell>
        </row>
        <row r="616">
          <cell r="O616">
            <v>8</v>
          </cell>
          <cell r="AN616">
            <v>0.93279999645536016</v>
          </cell>
          <cell r="AO616">
            <v>0.93279999645536016</v>
          </cell>
          <cell r="AP616">
            <v>0.93279999645536016</v>
          </cell>
          <cell r="AZ616">
            <v>1.0076000000000001</v>
          </cell>
          <cell r="BT616">
            <v>0.93279999645536016</v>
          </cell>
          <cell r="BX616">
            <v>0.93279999645536016</v>
          </cell>
          <cell r="CB616">
            <v>0.93279999645536016</v>
          </cell>
          <cell r="CE616" t="str">
            <v>8EU</v>
          </cell>
          <cell r="CF616" t="str">
            <v>8EU</v>
          </cell>
          <cell r="CG616" t="str">
            <v>8EU</v>
          </cell>
        </row>
        <row r="617">
          <cell r="O617">
            <v>8</v>
          </cell>
          <cell r="AN617">
            <v>0.25439999903328003</v>
          </cell>
          <cell r="AO617">
            <v>0.25439999903328003</v>
          </cell>
          <cell r="AP617">
            <v>0.25439999903328003</v>
          </cell>
          <cell r="AZ617">
            <v>0.27479999999999999</v>
          </cell>
          <cell r="BT617">
            <v>0.25439999903328003</v>
          </cell>
          <cell r="BX617">
            <v>0.25439999903328003</v>
          </cell>
          <cell r="CB617">
            <v>0.25439999903328003</v>
          </cell>
          <cell r="CE617" t="str">
            <v>8EU</v>
          </cell>
          <cell r="CF617" t="str">
            <v>8EU</v>
          </cell>
          <cell r="CG617" t="str">
            <v>8EU</v>
          </cell>
        </row>
        <row r="618">
          <cell r="O618">
            <v>8</v>
          </cell>
          <cell r="AN618">
            <v>0</v>
          </cell>
          <cell r="AO618">
            <v>0</v>
          </cell>
          <cell r="AP618">
            <v>0</v>
          </cell>
          <cell r="AZ618">
            <v>0</v>
          </cell>
          <cell r="BT618">
            <v>0</v>
          </cell>
          <cell r="BX618">
            <v>0</v>
          </cell>
          <cell r="CB618">
            <v>0</v>
          </cell>
          <cell r="CE618" t="str">
            <v>8EU</v>
          </cell>
          <cell r="CF618" t="str">
            <v>8EU</v>
          </cell>
          <cell r="CG618" t="str">
            <v>8EU</v>
          </cell>
        </row>
        <row r="619">
          <cell r="O619">
            <v>8</v>
          </cell>
          <cell r="AN619">
            <v>0.37311999858214406</v>
          </cell>
          <cell r="AO619">
            <v>0.37311999858214406</v>
          </cell>
          <cell r="AP619">
            <v>0.37311999858214406</v>
          </cell>
          <cell r="AZ619">
            <v>0.40304000000000001</v>
          </cell>
          <cell r="BT619">
            <v>0.37311999858214406</v>
          </cell>
          <cell r="BX619">
            <v>0.37311999858214406</v>
          </cell>
          <cell r="CB619">
            <v>0.37311999858214406</v>
          </cell>
          <cell r="CE619" t="str">
            <v>8EU</v>
          </cell>
          <cell r="CF619" t="str">
            <v>8EU</v>
          </cell>
          <cell r="CG619" t="str">
            <v>8EU</v>
          </cell>
        </row>
        <row r="620">
          <cell r="O620">
            <v>8</v>
          </cell>
          <cell r="AN620">
            <v>0.12719999951664002</v>
          </cell>
          <cell r="AO620">
            <v>0.12719999951664002</v>
          </cell>
          <cell r="AP620">
            <v>0.12719999951664002</v>
          </cell>
          <cell r="AZ620">
            <v>0.13739999999999999</v>
          </cell>
          <cell r="BT620">
            <v>0.12719999951664002</v>
          </cell>
          <cell r="BX620">
            <v>0.12719999951664002</v>
          </cell>
          <cell r="CB620">
            <v>0.12719999951664002</v>
          </cell>
          <cell r="CE620" t="str">
            <v>8EU</v>
          </cell>
          <cell r="CF620" t="str">
            <v>8EU</v>
          </cell>
          <cell r="CG620" t="str">
            <v>8EU</v>
          </cell>
        </row>
        <row r="621">
          <cell r="O621">
            <v>8</v>
          </cell>
          <cell r="AN621">
            <v>0</v>
          </cell>
          <cell r="AO621">
            <v>0</v>
          </cell>
          <cell r="AP621">
            <v>0</v>
          </cell>
          <cell r="AZ621">
            <v>0</v>
          </cell>
          <cell r="BT621">
            <v>0</v>
          </cell>
          <cell r="BX621">
            <v>0</v>
          </cell>
          <cell r="CB621">
            <v>0</v>
          </cell>
          <cell r="CE621" t="str">
            <v>8EU</v>
          </cell>
          <cell r="CF621" t="str">
            <v>8EU</v>
          </cell>
          <cell r="CG621" t="str">
            <v>8EU</v>
          </cell>
        </row>
        <row r="622">
          <cell r="O622">
            <v>8</v>
          </cell>
          <cell r="AN622">
            <v>0.21199999919440005</v>
          </cell>
          <cell r="AO622">
            <v>0.21199999919440005</v>
          </cell>
          <cell r="AP622">
            <v>0.21199999919440005</v>
          </cell>
          <cell r="AZ622">
            <v>0.22900000000000001</v>
          </cell>
          <cell r="BT622">
            <v>0.21199999919440005</v>
          </cell>
          <cell r="BX622">
            <v>0.21199999919440005</v>
          </cell>
          <cell r="CB622">
            <v>0.21199999919440005</v>
          </cell>
          <cell r="CE622" t="str">
            <v>8EU</v>
          </cell>
          <cell r="CF622" t="str">
            <v>8EU</v>
          </cell>
          <cell r="CG622" t="str">
            <v>8EU</v>
          </cell>
        </row>
        <row r="623">
          <cell r="O623">
            <v>8</v>
          </cell>
          <cell r="AN623">
            <v>0</v>
          </cell>
          <cell r="AO623">
            <v>0</v>
          </cell>
          <cell r="AP623">
            <v>0</v>
          </cell>
          <cell r="AZ623">
            <v>0</v>
          </cell>
          <cell r="BT623">
            <v>0</v>
          </cell>
          <cell r="BX623">
            <v>0</v>
          </cell>
          <cell r="CB623">
            <v>0</v>
          </cell>
          <cell r="CE623" t="str">
            <v>8EU</v>
          </cell>
          <cell r="CF623" t="str">
            <v>8EU</v>
          </cell>
          <cell r="CG623" t="str">
            <v>8EU</v>
          </cell>
        </row>
        <row r="624">
          <cell r="O624">
            <v>8</v>
          </cell>
          <cell r="AN624">
            <v>0.89039999661648006</v>
          </cell>
          <cell r="AO624">
            <v>0.89039999661648006</v>
          </cell>
          <cell r="AP624">
            <v>0.89039999661648006</v>
          </cell>
          <cell r="AZ624">
            <v>0.96179999999999999</v>
          </cell>
          <cell r="BT624">
            <v>0.89039999661648006</v>
          </cell>
          <cell r="BX624">
            <v>0.89039999661648006</v>
          </cell>
          <cell r="CB624">
            <v>0.89039999661648006</v>
          </cell>
          <cell r="CE624" t="str">
            <v>8EU</v>
          </cell>
          <cell r="CF624" t="str">
            <v>8EU</v>
          </cell>
          <cell r="CG624" t="str">
            <v>8EU</v>
          </cell>
        </row>
        <row r="625">
          <cell r="O625">
            <v>8</v>
          </cell>
          <cell r="AN625">
            <v>3.1057999881979605</v>
          </cell>
          <cell r="AO625">
            <v>3.1057999881979605</v>
          </cell>
          <cell r="AP625">
            <v>3.1057999881979605</v>
          </cell>
          <cell r="AZ625">
            <v>3.3548500000000003</v>
          </cell>
          <cell r="BT625">
            <v>3.1057999881979605</v>
          </cell>
          <cell r="BX625">
            <v>3.1057999881979605</v>
          </cell>
          <cell r="CB625">
            <v>3.1057999881979605</v>
          </cell>
          <cell r="CE625" t="str">
            <v>8EU</v>
          </cell>
          <cell r="CF625" t="str">
            <v>8EU</v>
          </cell>
          <cell r="CG625" t="str">
            <v>8EU</v>
          </cell>
        </row>
        <row r="626">
          <cell r="O626">
            <v>8</v>
          </cell>
          <cell r="AN626">
            <v>0</v>
          </cell>
          <cell r="AO626">
            <v>0</v>
          </cell>
          <cell r="AP626">
            <v>0</v>
          </cell>
          <cell r="AZ626">
            <v>0</v>
          </cell>
          <cell r="BT626">
            <v>0</v>
          </cell>
          <cell r="BX626">
            <v>0</v>
          </cell>
          <cell r="CB626">
            <v>0</v>
          </cell>
          <cell r="CE626" t="str">
            <v>8EU</v>
          </cell>
          <cell r="CF626" t="str">
            <v>8EU</v>
          </cell>
          <cell r="CG626" t="str">
            <v>8EU</v>
          </cell>
        </row>
        <row r="627">
          <cell r="O627">
            <v>8</v>
          </cell>
          <cell r="AN627">
            <v>0</v>
          </cell>
          <cell r="AO627">
            <v>0</v>
          </cell>
          <cell r="AP627">
            <v>0</v>
          </cell>
          <cell r="AZ627">
            <v>0</v>
          </cell>
          <cell r="BT627">
            <v>0</v>
          </cell>
          <cell r="BX627">
            <v>0</v>
          </cell>
          <cell r="CB627">
            <v>0</v>
          </cell>
          <cell r="CE627" t="str">
            <v>8EU</v>
          </cell>
          <cell r="CF627" t="str">
            <v>8EU</v>
          </cell>
          <cell r="CG627" t="str">
            <v>8EU</v>
          </cell>
        </row>
        <row r="628">
          <cell r="O628">
            <v>8</v>
          </cell>
          <cell r="AN628">
            <v>0</v>
          </cell>
          <cell r="AO628">
            <v>0</v>
          </cell>
          <cell r="AP628">
            <v>0</v>
          </cell>
          <cell r="AZ628">
            <v>0</v>
          </cell>
          <cell r="BT628">
            <v>0</v>
          </cell>
          <cell r="BX628">
            <v>0</v>
          </cell>
          <cell r="CB628">
            <v>0</v>
          </cell>
          <cell r="CE628" t="str">
            <v>8EU</v>
          </cell>
          <cell r="CF628" t="str">
            <v>8EU</v>
          </cell>
          <cell r="CG628" t="str">
            <v>8EU</v>
          </cell>
        </row>
        <row r="629">
          <cell r="O629">
            <v>8</v>
          </cell>
          <cell r="AN629">
            <v>0</v>
          </cell>
          <cell r="AO629">
            <v>0</v>
          </cell>
          <cell r="AP629">
            <v>0</v>
          </cell>
          <cell r="AZ629">
            <v>0</v>
          </cell>
          <cell r="BT629">
            <v>0</v>
          </cell>
          <cell r="BX629">
            <v>0</v>
          </cell>
          <cell r="CB629">
            <v>0</v>
          </cell>
          <cell r="CE629" t="str">
            <v>8EU</v>
          </cell>
          <cell r="CF629" t="str">
            <v>8EU</v>
          </cell>
          <cell r="CG629" t="str">
            <v>8EU</v>
          </cell>
        </row>
        <row r="630">
          <cell r="O630">
            <v>8</v>
          </cell>
          <cell r="AN630">
            <v>0</v>
          </cell>
          <cell r="AO630">
            <v>0</v>
          </cell>
          <cell r="AP630">
            <v>0</v>
          </cell>
          <cell r="AZ630">
            <v>0</v>
          </cell>
          <cell r="BT630">
            <v>0</v>
          </cell>
          <cell r="BX630">
            <v>0</v>
          </cell>
          <cell r="CB630">
            <v>0</v>
          </cell>
          <cell r="CE630" t="str">
            <v>8EU</v>
          </cell>
          <cell r="CF630" t="str">
            <v>8EU</v>
          </cell>
          <cell r="CG630" t="str">
            <v>8EU</v>
          </cell>
        </row>
        <row r="631">
          <cell r="O631">
            <v>9</v>
          </cell>
          <cell r="AN631">
            <v>0</v>
          </cell>
          <cell r="AO631">
            <v>0</v>
          </cell>
          <cell r="AP631">
            <v>0</v>
          </cell>
          <cell r="AZ631">
            <v>0</v>
          </cell>
          <cell r="BT631">
            <v>0</v>
          </cell>
          <cell r="BX631">
            <v>0</v>
          </cell>
          <cell r="CB631">
            <v>0</v>
          </cell>
          <cell r="CE631" t="str">
            <v>9EU</v>
          </cell>
          <cell r="CF631" t="str">
            <v>9EU</v>
          </cell>
          <cell r="CG631" t="str">
            <v>9EU</v>
          </cell>
        </row>
        <row r="632">
          <cell r="O632">
            <v>9</v>
          </cell>
          <cell r="AN632">
            <v>0.45473999827198808</v>
          </cell>
          <cell r="AO632">
            <v>0.45473999827198808</v>
          </cell>
          <cell r="AP632">
            <v>0.45473999827198808</v>
          </cell>
          <cell r="AZ632">
            <v>0.491205</v>
          </cell>
          <cell r="BT632">
            <v>0.74702239161505479</v>
          </cell>
          <cell r="BX632">
            <v>0.43827957900086828</v>
          </cell>
          <cell r="CB632">
            <v>0.53619168098103964</v>
          </cell>
          <cell r="CE632" t="str">
            <v>9LOCAL</v>
          </cell>
          <cell r="CF632" t="str">
            <v>9LOCAL</v>
          </cell>
          <cell r="CG632" t="str">
            <v>9LOCAL</v>
          </cell>
        </row>
        <row r="633">
          <cell r="O633">
            <v>9</v>
          </cell>
          <cell r="AN633">
            <v>0.45473999827198808</v>
          </cell>
          <cell r="AO633">
            <v>0.45473999827198808</v>
          </cell>
          <cell r="AP633">
            <v>0.45473999827198808</v>
          </cell>
          <cell r="AZ633">
            <v>0.491205</v>
          </cell>
          <cell r="BT633">
            <v>0.74702239161505479</v>
          </cell>
          <cell r="BX633">
            <v>0.43827957900086828</v>
          </cell>
          <cell r="CB633">
            <v>0.53619168098103964</v>
          </cell>
          <cell r="CE633" t="str">
            <v>9LOCAL</v>
          </cell>
          <cell r="CF633" t="str">
            <v>9LOCAL</v>
          </cell>
          <cell r="CG633" t="str">
            <v>9LOCAL</v>
          </cell>
        </row>
        <row r="634">
          <cell r="O634">
            <v>9</v>
          </cell>
          <cell r="AN634">
            <v>0.44307999831629602</v>
          </cell>
          <cell r="AO634">
            <v>0.44307999831629602</v>
          </cell>
          <cell r="AP634">
            <v>0.44307999831629602</v>
          </cell>
          <cell r="AZ634">
            <v>0.47860999999999998</v>
          </cell>
          <cell r="BT634">
            <v>0.76901088430388098</v>
          </cell>
          <cell r="BX634">
            <v>0.38491349187861335</v>
          </cell>
          <cell r="CB634">
            <v>0.52210784695902368</v>
          </cell>
          <cell r="CE634" t="str">
            <v>9LOCAL</v>
          </cell>
          <cell r="CF634" t="str">
            <v>9LOCAL</v>
          </cell>
          <cell r="CG634" t="str">
            <v>9LOCAL</v>
          </cell>
        </row>
        <row r="635">
          <cell r="O635">
            <v>9</v>
          </cell>
          <cell r="AN635">
            <v>0.44307999831629602</v>
          </cell>
          <cell r="AO635">
            <v>0.44307999831629602</v>
          </cell>
          <cell r="AP635">
            <v>0.44307999831629602</v>
          </cell>
          <cell r="AZ635">
            <v>0.47860999999999998</v>
          </cell>
          <cell r="BT635">
            <v>0.76901088430388098</v>
          </cell>
          <cell r="BX635">
            <v>0.38491349187861335</v>
          </cell>
          <cell r="CB635">
            <v>0.52210784695902368</v>
          </cell>
          <cell r="CE635" t="str">
            <v>9LOCAL</v>
          </cell>
          <cell r="CF635" t="str">
            <v>9LOCAL</v>
          </cell>
          <cell r="CG635" t="str">
            <v>9LOCAL</v>
          </cell>
        </row>
        <row r="636">
          <cell r="O636">
            <v>9</v>
          </cell>
          <cell r="AN636">
            <v>0.20987999920245604</v>
          </cell>
          <cell r="AO636">
            <v>0.20987999920245604</v>
          </cell>
          <cell r="AP636">
            <v>0.20987999920245604</v>
          </cell>
          <cell r="AZ636">
            <v>0.22670999999999999</v>
          </cell>
          <cell r="BT636">
            <v>0.69131821013669514</v>
          </cell>
          <cell r="BX636">
            <v>0.23109316127761223</v>
          </cell>
          <cell r="CB636">
            <v>0.24747308352971059</v>
          </cell>
          <cell r="CE636" t="str">
            <v>9LOCAL</v>
          </cell>
          <cell r="CF636" t="str">
            <v>9LOCAL</v>
          </cell>
          <cell r="CG636" t="str">
            <v>9LOCAL</v>
          </cell>
        </row>
        <row r="637">
          <cell r="O637">
            <v>9</v>
          </cell>
          <cell r="AN637">
            <v>0.39643999849352807</v>
          </cell>
          <cell r="AO637">
            <v>0.39643999849352807</v>
          </cell>
          <cell r="AP637">
            <v>0.39643999849352807</v>
          </cell>
          <cell r="AZ637">
            <v>0.42823</v>
          </cell>
          <cell r="BT637">
            <v>0.46498332539304427</v>
          </cell>
          <cell r="BX637">
            <v>0.34239003833040388</v>
          </cell>
          <cell r="CB637">
            <v>0.46778448715981891</v>
          </cell>
          <cell r="CE637" t="str">
            <v>9LOCAL</v>
          </cell>
          <cell r="CF637" t="str">
            <v>9LOCAL</v>
          </cell>
          <cell r="CG637" t="str">
            <v>9LOCAL</v>
          </cell>
        </row>
        <row r="638">
          <cell r="O638">
            <v>9</v>
          </cell>
          <cell r="AN638">
            <v>0.62963999760736811</v>
          </cell>
          <cell r="AO638">
            <v>0.62963999760736811</v>
          </cell>
          <cell r="AP638">
            <v>0.62963999760736811</v>
          </cell>
          <cell r="AZ638">
            <v>0.68013000000000012</v>
          </cell>
          <cell r="BT638">
            <v>1.6341847766335613</v>
          </cell>
          <cell r="BX638">
            <v>0.68559607949368329</v>
          </cell>
          <cell r="CB638">
            <v>0.74241925058913183</v>
          </cell>
          <cell r="CE638" t="str">
            <v>9LOCAL</v>
          </cell>
          <cell r="CF638" t="str">
            <v>9LOCAL</v>
          </cell>
          <cell r="CG638" t="str">
            <v>9LOCAL</v>
          </cell>
        </row>
        <row r="639">
          <cell r="O639">
            <v>9</v>
          </cell>
          <cell r="AN639">
            <v>0.27983999893660805</v>
          </cell>
          <cell r="AO639">
            <v>0.27983999893660805</v>
          </cell>
          <cell r="AP639">
            <v>0.27983999893660805</v>
          </cell>
          <cell r="AZ639">
            <v>0.30227999999999999</v>
          </cell>
          <cell r="BT639">
            <v>0.43185399640854621</v>
          </cell>
          <cell r="BX639">
            <v>0.34543952902310415</v>
          </cell>
          <cell r="CB639">
            <v>0.32996411137294746</v>
          </cell>
          <cell r="CE639" t="str">
            <v>9LOCAL</v>
          </cell>
          <cell r="CF639" t="str">
            <v>9LOCAL</v>
          </cell>
          <cell r="CG639" t="str">
            <v>9LOCAL</v>
          </cell>
        </row>
        <row r="640">
          <cell r="O640">
            <v>9</v>
          </cell>
          <cell r="AN640">
            <v>0.47805999818337208</v>
          </cell>
          <cell r="AO640">
            <v>0.47805999818337208</v>
          </cell>
          <cell r="AP640">
            <v>0.47805999818337208</v>
          </cell>
          <cell r="AZ640">
            <v>0.51639500000000005</v>
          </cell>
          <cell r="BT640">
            <v>0.47671052149375165</v>
          </cell>
          <cell r="BX640">
            <v>0.42303212553736685</v>
          </cell>
          <cell r="CB640">
            <v>0.56335336088064203</v>
          </cell>
          <cell r="CE640" t="str">
            <v>9LOCAL</v>
          </cell>
          <cell r="CF640" t="str">
            <v>9LOCAL</v>
          </cell>
          <cell r="CG640" t="str">
            <v>9LOCAL</v>
          </cell>
        </row>
        <row r="641">
          <cell r="O641">
            <v>9</v>
          </cell>
          <cell r="AN641">
            <v>0.47805999818337208</v>
          </cell>
          <cell r="AO641">
            <v>0.47805999818337208</v>
          </cell>
          <cell r="AP641">
            <v>0.47805999818337208</v>
          </cell>
          <cell r="AZ641">
            <v>0.51639500000000005</v>
          </cell>
          <cell r="BT641">
            <v>0.64616850514897195</v>
          </cell>
          <cell r="BX641">
            <v>0.42303212553736685</v>
          </cell>
          <cell r="CB641">
            <v>0.56335336088064203</v>
          </cell>
          <cell r="CE641" t="str">
            <v>9LOCAL</v>
          </cell>
          <cell r="CF641" t="str">
            <v>9LOCAL</v>
          </cell>
          <cell r="CG641" t="str">
            <v>9LOCAL</v>
          </cell>
        </row>
        <row r="642">
          <cell r="O642">
            <v>9</v>
          </cell>
          <cell r="AN642">
            <v>0.43141999836060402</v>
          </cell>
          <cell r="AO642">
            <v>0.43141999836060402</v>
          </cell>
          <cell r="AP642">
            <v>0.43141999836060402</v>
          </cell>
          <cell r="AZ642">
            <v>0.46601499999999996</v>
          </cell>
          <cell r="BT642">
            <v>0.52479202550665149</v>
          </cell>
          <cell r="BX642">
            <v>0.36475297007687263</v>
          </cell>
          <cell r="CB642">
            <v>0.50903000108143726</v>
          </cell>
          <cell r="CE642" t="str">
            <v>9LOCAL</v>
          </cell>
          <cell r="CF642" t="str">
            <v>9LOCAL</v>
          </cell>
          <cell r="CG642" t="str">
            <v>9LOCAL</v>
          </cell>
        </row>
        <row r="643">
          <cell r="O643">
            <v>9</v>
          </cell>
          <cell r="AN643">
            <v>0.652959997518752</v>
          </cell>
          <cell r="AO643">
            <v>0.652959997518752</v>
          </cell>
          <cell r="AP643">
            <v>0.652959997518752</v>
          </cell>
          <cell r="AZ643">
            <v>0.70531999999999995</v>
          </cell>
          <cell r="BT643">
            <v>0.820610547146993</v>
          </cell>
          <cell r="BX643">
            <v>0.72499815302780302</v>
          </cell>
          <cell r="CB643">
            <v>0.76958093048873433</v>
          </cell>
          <cell r="CE643" t="str">
            <v>9LOCAL</v>
          </cell>
          <cell r="CF643" t="str">
            <v>9LOCAL</v>
          </cell>
          <cell r="CG643" t="str">
            <v>9LOCAL</v>
          </cell>
        </row>
        <row r="644">
          <cell r="O644">
            <v>9</v>
          </cell>
          <cell r="AN644">
            <v>1.1893199954805842</v>
          </cell>
          <cell r="AO644">
            <v>1.1893199954805842</v>
          </cell>
          <cell r="AP644">
            <v>1.1893199954805842</v>
          </cell>
          <cell r="AZ644">
            <v>1.2846900000000001</v>
          </cell>
          <cell r="BT644">
            <v>2.4181478359658448</v>
          </cell>
          <cell r="BX644">
            <v>1.3223335878050584</v>
          </cell>
          <cell r="CB644">
            <v>1.4023474733350267</v>
          </cell>
          <cell r="CE644" t="str">
            <v>9LOCAL</v>
          </cell>
          <cell r="CF644" t="str">
            <v>9LOCAL</v>
          </cell>
          <cell r="CG644" t="str">
            <v>9LOCAL</v>
          </cell>
        </row>
        <row r="645">
          <cell r="O645">
            <v>9</v>
          </cell>
          <cell r="AN645">
            <v>1.539119994151344</v>
          </cell>
          <cell r="AO645">
            <v>1.539119994151344</v>
          </cell>
          <cell r="AP645">
            <v>1.539119994151344</v>
          </cell>
          <cell r="AZ645">
            <v>1.6625399999999999</v>
          </cell>
          <cell r="BT645">
            <v>3.1628247883607576</v>
          </cell>
          <cell r="BX645">
            <v>1.7265988622651267</v>
          </cell>
          <cell r="CB645">
            <v>1.8148026125512111</v>
          </cell>
          <cell r="CE645" t="str">
            <v>9LOCAL</v>
          </cell>
          <cell r="CF645" t="str">
            <v>9LOCAL</v>
          </cell>
          <cell r="CG645" t="str">
            <v>9LOCAL</v>
          </cell>
        </row>
        <row r="646">
          <cell r="O646">
            <v>9</v>
          </cell>
          <cell r="AN646">
            <v>0.13991999946830402</v>
          </cell>
          <cell r="AO646">
            <v>0</v>
          </cell>
          <cell r="AP646">
            <v>0.13991999946830402</v>
          </cell>
          <cell r="AZ646">
            <v>0</v>
          </cell>
          <cell r="BT646">
            <v>0.37878843405284568</v>
          </cell>
          <cell r="BX646">
            <v>0</v>
          </cell>
          <cell r="CB646">
            <v>0.16498205568647373</v>
          </cell>
          <cell r="CE646" t="str">
            <v>9LOCAL</v>
          </cell>
          <cell r="CF646" t="str">
            <v>9LOCAL</v>
          </cell>
          <cell r="CG646" t="str">
            <v>9LOCAL</v>
          </cell>
        </row>
        <row r="647">
          <cell r="O647">
            <v>9</v>
          </cell>
          <cell r="AN647">
            <v>0</v>
          </cell>
          <cell r="AO647">
            <v>0</v>
          </cell>
          <cell r="AP647">
            <v>0</v>
          </cell>
          <cell r="AZ647">
            <v>0</v>
          </cell>
          <cell r="BT647">
            <v>0</v>
          </cell>
          <cell r="BX647">
            <v>0</v>
          </cell>
          <cell r="CB647">
            <v>0</v>
          </cell>
          <cell r="CE647" t="str">
            <v>9EU</v>
          </cell>
          <cell r="CF647" t="str">
            <v>9EU</v>
          </cell>
          <cell r="CG647" t="str">
            <v>9EU</v>
          </cell>
        </row>
        <row r="648">
          <cell r="O648">
            <v>9</v>
          </cell>
          <cell r="AN648">
            <v>1.0313799960807561</v>
          </cell>
          <cell r="AO648">
            <v>1.0313799960807561</v>
          </cell>
          <cell r="AP648">
            <v>1.0313799960807561</v>
          </cell>
          <cell r="AZ648">
            <v>1.114085</v>
          </cell>
          <cell r="BT648">
            <v>1.2894052112727672</v>
          </cell>
          <cell r="BX648">
            <v>1.3331614234141309</v>
          </cell>
          <cell r="CB648">
            <v>1.2162396666155291</v>
          </cell>
          <cell r="CE648" t="str">
            <v>9LOCAL</v>
          </cell>
          <cell r="CF648" t="str">
            <v>9LOCAL</v>
          </cell>
          <cell r="CG648" t="str">
            <v>9LOCAL</v>
          </cell>
        </row>
        <row r="649">
          <cell r="O649">
            <v>9</v>
          </cell>
          <cell r="AN649">
            <v>1.0313799960807561</v>
          </cell>
          <cell r="AO649">
            <v>1.0313799960807561</v>
          </cell>
          <cell r="AP649">
            <v>1.0313799960807561</v>
          </cell>
          <cell r="AZ649">
            <v>1.114085</v>
          </cell>
          <cell r="BT649">
            <v>1.2894052112727672</v>
          </cell>
          <cell r="BX649">
            <v>1.3331614234141309</v>
          </cell>
          <cell r="CB649">
            <v>1.2162396666155291</v>
          </cell>
          <cell r="CE649" t="str">
            <v>9LOCAL</v>
          </cell>
          <cell r="CF649" t="str">
            <v>9LOCAL</v>
          </cell>
          <cell r="CG649" t="str">
            <v>9LOCAL</v>
          </cell>
        </row>
        <row r="650">
          <cell r="O650">
            <v>9</v>
          </cell>
          <cell r="AN650">
            <v>2.2047999916217607</v>
          </cell>
          <cell r="AO650">
            <v>2.2047999916217607</v>
          </cell>
          <cell r="AP650">
            <v>2.2047999916217607</v>
          </cell>
          <cell r="AZ650">
            <v>2.3816000000000002</v>
          </cell>
          <cell r="BT650">
            <v>2.7564774434712498</v>
          </cell>
          <cell r="BX650">
            <v>2.8519855595667871</v>
          </cell>
          <cell r="CB650">
            <v>2.5994733652063911</v>
          </cell>
          <cell r="CE650" t="str">
            <v>9LOCAL</v>
          </cell>
          <cell r="CF650" t="str">
            <v>9LOCAL</v>
          </cell>
          <cell r="CG650" t="str">
            <v>9LOCAL</v>
          </cell>
        </row>
        <row r="651">
          <cell r="O651">
            <v>9</v>
          </cell>
          <cell r="AN651">
            <v>1.5942399939418883</v>
          </cell>
          <cell r="AO651">
            <v>1.5942399939418883</v>
          </cell>
          <cell r="AP651">
            <v>1.5942399939418883</v>
          </cell>
          <cell r="AZ651">
            <v>1.7220800000000001</v>
          </cell>
          <cell r="BT651">
            <v>1.993036977315205</v>
          </cell>
          <cell r="BX651">
            <v>2.0629190304280556</v>
          </cell>
          <cell r="CB651">
            <v>1.879185853794713</v>
          </cell>
          <cell r="CE651" t="str">
            <v>9LOCAL</v>
          </cell>
          <cell r="CF651" t="str">
            <v>9LOCAL</v>
          </cell>
          <cell r="CG651" t="str">
            <v>9LOCAL</v>
          </cell>
        </row>
        <row r="652">
          <cell r="O652">
            <v>9</v>
          </cell>
          <cell r="AN652">
            <v>0.56921999783696409</v>
          </cell>
          <cell r="AO652">
            <v>0.56921999783696409</v>
          </cell>
          <cell r="AP652">
            <v>0.56921999783696409</v>
          </cell>
          <cell r="AZ652">
            <v>0.61486499999999999</v>
          </cell>
          <cell r="BT652">
            <v>0.71154762341041522</v>
          </cell>
          <cell r="BX652">
            <v>0.73749355337802991</v>
          </cell>
          <cell r="CB652">
            <v>0.67099409233462193</v>
          </cell>
          <cell r="CE652" t="str">
            <v>9LOCAL</v>
          </cell>
          <cell r="CF652" t="str">
            <v>9LOCAL</v>
          </cell>
          <cell r="CG652" t="str">
            <v>9LOCAL</v>
          </cell>
        </row>
        <row r="653">
          <cell r="O653">
            <v>9</v>
          </cell>
          <cell r="AN653">
            <v>0.56921999783696409</v>
          </cell>
          <cell r="AO653">
            <v>0.56921999783696409</v>
          </cell>
          <cell r="AP653">
            <v>0.56921999783696409</v>
          </cell>
          <cell r="AZ653">
            <v>0.61486499999999999</v>
          </cell>
          <cell r="BT653">
            <v>0.71154762341041522</v>
          </cell>
          <cell r="BX653">
            <v>0.73749355337802991</v>
          </cell>
          <cell r="CB653">
            <v>0.67099409233462193</v>
          </cell>
          <cell r="CE653" t="str">
            <v>9LOCAL</v>
          </cell>
          <cell r="CF653" t="str">
            <v>9LOCAL</v>
          </cell>
          <cell r="CG653" t="str">
            <v>9LOCAL</v>
          </cell>
        </row>
        <row r="654">
          <cell r="O654">
            <v>9</v>
          </cell>
          <cell r="AN654">
            <v>0.5268199979980841</v>
          </cell>
          <cell r="AO654">
            <v>0.5268199979980841</v>
          </cell>
          <cell r="AP654">
            <v>0.5268199979980841</v>
          </cell>
          <cell r="AZ654">
            <v>0.56906500000000004</v>
          </cell>
          <cell r="BT654">
            <v>0.65848206105471474</v>
          </cell>
          <cell r="BX654">
            <v>0.68076328004125841</v>
          </cell>
          <cell r="CB654">
            <v>0.62170067325756573</v>
          </cell>
          <cell r="CE654" t="str">
            <v>9LOCAL</v>
          </cell>
          <cell r="CF654" t="str">
            <v>9LOCAL</v>
          </cell>
          <cell r="CG654" t="str">
            <v>9LOCAL</v>
          </cell>
        </row>
        <row r="655">
          <cell r="O655">
            <v>9</v>
          </cell>
          <cell r="AN655">
            <v>0.5268199979980841</v>
          </cell>
          <cell r="AO655">
            <v>0.5268199979980841</v>
          </cell>
          <cell r="AP655">
            <v>0.5268199979980841</v>
          </cell>
          <cell r="AZ655">
            <v>0.56906500000000004</v>
          </cell>
          <cell r="BT655">
            <v>0.65848206105471474</v>
          </cell>
          <cell r="BX655">
            <v>0.68076328004125841</v>
          </cell>
          <cell r="CB655">
            <v>0.62170067325756573</v>
          </cell>
          <cell r="CE655" t="str">
            <v>9LOCAL</v>
          </cell>
          <cell r="CF655" t="str">
            <v>9LOCAL</v>
          </cell>
          <cell r="CG655" t="str">
            <v>9LOCAL</v>
          </cell>
        </row>
        <row r="656">
          <cell r="O656">
            <v>9</v>
          </cell>
          <cell r="AN656">
            <v>0.78715599700880734</v>
          </cell>
          <cell r="AO656">
            <v>0</v>
          </cell>
          <cell r="AP656">
            <v>0.78715599700880734</v>
          </cell>
          <cell r="AZ656">
            <v>0</v>
          </cell>
          <cell r="BT656">
            <v>0.98420493275185983</v>
          </cell>
          <cell r="BX656">
            <v>0</v>
          </cell>
          <cell r="CB656">
            <v>0.92852705730862972</v>
          </cell>
          <cell r="CE656" t="str">
            <v>9LOCAL</v>
          </cell>
          <cell r="CF656" t="str">
            <v>9LOCAL</v>
          </cell>
          <cell r="CG656" t="str">
            <v>9LOCAL</v>
          </cell>
        </row>
        <row r="657">
          <cell r="O657">
            <v>9</v>
          </cell>
          <cell r="AN657">
            <v>0.78715599700880734</v>
          </cell>
          <cell r="AO657">
            <v>0</v>
          </cell>
          <cell r="AP657">
            <v>0.78715599700880734</v>
          </cell>
          <cell r="AZ657">
            <v>0</v>
          </cell>
          <cell r="BT657">
            <v>0.98420493275185983</v>
          </cell>
          <cell r="BX657">
            <v>0</v>
          </cell>
          <cell r="CB657">
            <v>0.92852705730862972</v>
          </cell>
          <cell r="CE657" t="str">
            <v>9LOCAL</v>
          </cell>
          <cell r="CF657" t="str">
            <v>9LOCAL</v>
          </cell>
          <cell r="CG657" t="str">
            <v>9LOCAL</v>
          </cell>
        </row>
        <row r="658">
          <cell r="O658">
            <v>9</v>
          </cell>
          <cell r="AN658">
            <v>0</v>
          </cell>
          <cell r="AO658">
            <v>0.36463999861436802</v>
          </cell>
          <cell r="AP658">
            <v>0</v>
          </cell>
          <cell r="AZ658">
            <v>0.39387999999999995</v>
          </cell>
          <cell r="BT658">
            <v>0</v>
          </cell>
          <cell r="BX658">
            <v>0.47189272821041772</v>
          </cell>
          <cell r="CB658">
            <v>0</v>
          </cell>
          <cell r="CE658" t="str">
            <v>9LOCAL</v>
          </cell>
          <cell r="CF658" t="str">
            <v>9LOCAL</v>
          </cell>
          <cell r="CG658" t="str">
            <v>9LOCAL</v>
          </cell>
        </row>
        <row r="659">
          <cell r="O659">
            <v>9</v>
          </cell>
          <cell r="AN659">
            <v>0</v>
          </cell>
          <cell r="AO659">
            <v>0.36463999861436802</v>
          </cell>
          <cell r="AP659">
            <v>0</v>
          </cell>
          <cell r="AZ659">
            <v>0.39387999999999995</v>
          </cell>
          <cell r="BT659">
            <v>0</v>
          </cell>
          <cell r="BX659">
            <v>0.47189272821041772</v>
          </cell>
          <cell r="CB659">
            <v>0</v>
          </cell>
          <cell r="CE659" t="str">
            <v>9LOCAL</v>
          </cell>
          <cell r="CF659" t="str">
            <v>9LOCAL</v>
          </cell>
          <cell r="CG659" t="str">
            <v>9LOCAL</v>
          </cell>
        </row>
        <row r="660">
          <cell r="O660">
            <v>9</v>
          </cell>
          <cell r="AN660">
            <v>0</v>
          </cell>
          <cell r="AO660">
            <v>0.32011999878354402</v>
          </cell>
          <cell r="AP660">
            <v>0</v>
          </cell>
          <cell r="AZ660">
            <v>0.34578999999999999</v>
          </cell>
          <cell r="BT660">
            <v>0</v>
          </cell>
          <cell r="BX660">
            <v>0.41516245487364623</v>
          </cell>
          <cell r="CB660">
            <v>0</v>
          </cell>
          <cell r="CE660" t="str">
            <v>9LOCAL</v>
          </cell>
          <cell r="CF660" t="str">
            <v>9LOCAL</v>
          </cell>
          <cell r="CG660" t="str">
            <v>9LOCAL</v>
          </cell>
        </row>
        <row r="661">
          <cell r="O661">
            <v>9</v>
          </cell>
          <cell r="AN661">
            <v>0</v>
          </cell>
          <cell r="AO661">
            <v>0.32011999878354402</v>
          </cell>
          <cell r="AP661">
            <v>0</v>
          </cell>
          <cell r="AZ661">
            <v>0.34578999999999999</v>
          </cell>
          <cell r="BT661">
            <v>0</v>
          </cell>
          <cell r="BX661">
            <v>0.41516245487364623</v>
          </cell>
          <cell r="CB661">
            <v>0</v>
          </cell>
          <cell r="CE661" t="str">
            <v>9LOCAL</v>
          </cell>
          <cell r="CF661" t="str">
            <v>9LOCAL</v>
          </cell>
          <cell r="CG661" t="str">
            <v>9LOCAL</v>
          </cell>
        </row>
        <row r="662">
          <cell r="O662">
            <v>9</v>
          </cell>
          <cell r="AN662">
            <v>0</v>
          </cell>
          <cell r="AO662">
            <v>0.99109999623382017</v>
          </cell>
          <cell r="AP662">
            <v>0</v>
          </cell>
          <cell r="AZ662">
            <v>1.0705750000000001</v>
          </cell>
          <cell r="BT662">
            <v>0</v>
          </cell>
          <cell r="BX662">
            <v>1.2815884476534296</v>
          </cell>
          <cell r="CB662">
            <v>0</v>
          </cell>
          <cell r="CE662" t="str">
            <v>9LOCAL</v>
          </cell>
          <cell r="CF662" t="str">
            <v>9LOCAL</v>
          </cell>
          <cell r="CG662" t="str">
            <v>9LOCAL</v>
          </cell>
        </row>
        <row r="663">
          <cell r="O663">
            <v>9</v>
          </cell>
          <cell r="AN663">
            <v>0</v>
          </cell>
          <cell r="AO663">
            <v>0.99109999623382017</v>
          </cell>
          <cell r="AP663">
            <v>0</v>
          </cell>
          <cell r="AZ663">
            <v>1.0705750000000001</v>
          </cell>
          <cell r="BT663">
            <v>0</v>
          </cell>
          <cell r="BX663">
            <v>1.2815884476534296</v>
          </cell>
          <cell r="CB663">
            <v>0</v>
          </cell>
          <cell r="CE663" t="str">
            <v>9LOCAL</v>
          </cell>
          <cell r="CF663" t="str">
            <v>9LOCAL</v>
          </cell>
          <cell r="CG663" t="str">
            <v>9LOCAL</v>
          </cell>
        </row>
        <row r="664">
          <cell r="O664">
            <v>9</v>
          </cell>
          <cell r="AN664">
            <v>0</v>
          </cell>
          <cell r="AO664">
            <v>0</v>
          </cell>
          <cell r="AP664">
            <v>0</v>
          </cell>
          <cell r="AZ664">
            <v>0</v>
          </cell>
          <cell r="BT664">
            <v>0</v>
          </cell>
          <cell r="BX664">
            <v>0</v>
          </cell>
          <cell r="CB664">
            <v>0</v>
          </cell>
          <cell r="CE664" t="str">
            <v>9EU</v>
          </cell>
          <cell r="CF664" t="str">
            <v>9EU</v>
          </cell>
          <cell r="CG664" t="str">
            <v>9EU</v>
          </cell>
        </row>
        <row r="665">
          <cell r="O665">
            <v>9</v>
          </cell>
          <cell r="AN665">
            <v>23.812899909510985</v>
          </cell>
          <cell r="AO665">
            <v>0</v>
          </cell>
          <cell r="AP665">
            <v>0</v>
          </cell>
          <cell r="AZ665">
            <v>0</v>
          </cell>
          <cell r="BT665">
            <v>23.786271851064612</v>
          </cell>
          <cell r="BX665">
            <v>0</v>
          </cell>
          <cell r="CB665">
            <v>0</v>
          </cell>
          <cell r="CE665" t="str">
            <v>9LOCAL</v>
          </cell>
          <cell r="CF665" t="str">
            <v>9LOCAL</v>
          </cell>
          <cell r="CG665" t="str">
            <v>9LOCAL</v>
          </cell>
        </row>
        <row r="666">
          <cell r="O666">
            <v>9</v>
          </cell>
          <cell r="AN666">
            <v>0</v>
          </cell>
          <cell r="AO666">
            <v>24.531473906780402</v>
          </cell>
          <cell r="AP666">
            <v>24.531473906780402</v>
          </cell>
          <cell r="AZ666">
            <v>26.498620500000001</v>
          </cell>
          <cell r="BT666">
            <v>0</v>
          </cell>
          <cell r="BX666">
            <v>24.739556472408456</v>
          </cell>
          <cell r="CB666">
            <v>28.927189093076542</v>
          </cell>
          <cell r="CE666" t="str">
            <v>9EU</v>
          </cell>
          <cell r="CF666" t="str">
            <v>9LOCAL</v>
          </cell>
          <cell r="CG666" t="str">
            <v>9LOCAL</v>
          </cell>
        </row>
        <row r="667">
          <cell r="O667">
            <v>9</v>
          </cell>
          <cell r="AN667">
            <v>1.0273519960960624</v>
          </cell>
          <cell r="AO667">
            <v>1.0273519960960624</v>
          </cell>
          <cell r="AP667">
            <v>1.0273519960960624</v>
          </cell>
          <cell r="AZ667">
            <v>1.109734</v>
          </cell>
          <cell r="BT667">
            <v>1.0179206215413932</v>
          </cell>
          <cell r="BX667">
            <v>1.0411072092542863E-3</v>
          </cell>
          <cell r="CB667">
            <v>1.2112097258933803</v>
          </cell>
          <cell r="CE667" t="str">
            <v>9LOCAL</v>
          </cell>
          <cell r="CF667" t="str">
            <v>9LOCAL</v>
          </cell>
          <cell r="CG667" t="str">
            <v>9LOCAL</v>
          </cell>
        </row>
        <row r="668">
          <cell r="O668">
            <v>9</v>
          </cell>
          <cell r="AN668">
            <v>0.48759999814712013</v>
          </cell>
          <cell r="AO668">
            <v>0.48759999814712013</v>
          </cell>
          <cell r="AP668">
            <v>0.48759999814712013</v>
          </cell>
          <cell r="AZ668">
            <v>0.52670000000000006</v>
          </cell>
          <cell r="BT668">
            <v>0.48316047934914064</v>
          </cell>
          <cell r="BX668">
            <v>0.43321299638989169</v>
          </cell>
          <cell r="CB668">
            <v>0.57542521861379869</v>
          </cell>
          <cell r="CE668" t="str">
            <v>9LOCAL</v>
          </cell>
          <cell r="CF668" t="str">
            <v>9LOCAL</v>
          </cell>
          <cell r="CG668" t="str">
            <v>9LOCAL</v>
          </cell>
        </row>
        <row r="669">
          <cell r="O669">
            <v>9</v>
          </cell>
          <cell r="AN669">
            <v>2.3531999910578403</v>
          </cell>
          <cell r="AO669">
            <v>0</v>
          </cell>
          <cell r="AP669">
            <v>0</v>
          </cell>
          <cell r="AZ669">
            <v>0</v>
          </cell>
          <cell r="BT669">
            <v>2.6166306299703157</v>
          </cell>
          <cell r="BX669">
            <v>0</v>
          </cell>
          <cell r="CB669">
            <v>0</v>
          </cell>
          <cell r="CE669" t="str">
            <v>9LOCAL</v>
          </cell>
          <cell r="CF669" t="str">
            <v>9LOCAL</v>
          </cell>
          <cell r="CG669" t="str">
            <v>9LOCAL</v>
          </cell>
        </row>
        <row r="670">
          <cell r="O670">
            <v>9</v>
          </cell>
          <cell r="AN670">
            <v>0</v>
          </cell>
          <cell r="AO670">
            <v>0</v>
          </cell>
          <cell r="AP670">
            <v>0</v>
          </cell>
          <cell r="AZ670">
            <v>0</v>
          </cell>
          <cell r="BT670">
            <v>0</v>
          </cell>
          <cell r="BX670">
            <v>0</v>
          </cell>
          <cell r="CB670">
            <v>0</v>
          </cell>
          <cell r="CE670" t="str">
            <v>9EU</v>
          </cell>
          <cell r="CF670" t="str">
            <v>9EU</v>
          </cell>
          <cell r="CG670" t="str">
            <v>9EU</v>
          </cell>
        </row>
        <row r="671">
          <cell r="O671">
            <v>9</v>
          </cell>
          <cell r="AN671">
            <v>0</v>
          </cell>
          <cell r="AO671">
            <v>0</v>
          </cell>
          <cell r="AP671">
            <v>0</v>
          </cell>
          <cell r="AZ671">
            <v>0</v>
          </cell>
          <cell r="BT671">
            <v>0</v>
          </cell>
          <cell r="BX671">
            <v>0</v>
          </cell>
          <cell r="CB671">
            <v>0</v>
          </cell>
          <cell r="CE671" t="str">
            <v>9EU</v>
          </cell>
          <cell r="CF671" t="str">
            <v>9EU</v>
          </cell>
          <cell r="CG671" t="str">
            <v>9EU</v>
          </cell>
        </row>
        <row r="672">
          <cell r="O672">
            <v>9</v>
          </cell>
          <cell r="AN672">
            <v>0</v>
          </cell>
          <cell r="AO672">
            <v>2.3531999910578403</v>
          </cell>
          <cell r="AP672">
            <v>2.3531999910578403</v>
          </cell>
          <cell r="AZ672">
            <v>2.5419</v>
          </cell>
          <cell r="BT672">
            <v>0</v>
          </cell>
          <cell r="BX672">
            <v>2.4574522949974211</v>
          </cell>
          <cell r="CB672">
            <v>2.774515302337162</v>
          </cell>
          <cell r="CE672" t="str">
            <v>9EU</v>
          </cell>
          <cell r="CF672" t="str">
            <v>9LOCAL</v>
          </cell>
          <cell r="CG672" t="str">
            <v>9LOCAL</v>
          </cell>
        </row>
        <row r="673">
          <cell r="O673">
            <v>9</v>
          </cell>
          <cell r="AN673">
            <v>0</v>
          </cell>
          <cell r="AO673">
            <v>0</v>
          </cell>
          <cell r="AP673">
            <v>0</v>
          </cell>
          <cell r="AZ673">
            <v>0</v>
          </cell>
          <cell r="BT673">
            <v>0</v>
          </cell>
          <cell r="BX673">
            <v>0</v>
          </cell>
          <cell r="CB673">
            <v>0</v>
          </cell>
          <cell r="CE673" t="str">
            <v>9EU</v>
          </cell>
          <cell r="CF673" t="str">
            <v>9EU</v>
          </cell>
          <cell r="CG673" t="str">
            <v>9EU</v>
          </cell>
        </row>
        <row r="674">
          <cell r="O674">
            <v>9</v>
          </cell>
          <cell r="AN674">
            <v>0</v>
          </cell>
          <cell r="AO674">
            <v>2.1199999919440002</v>
          </cell>
          <cell r="AP674">
            <v>0</v>
          </cell>
          <cell r="AZ674">
            <v>2.29</v>
          </cell>
          <cell r="BT674">
            <v>0</v>
          </cell>
          <cell r="BX674">
            <v>3.0184875373244955</v>
          </cell>
          <cell r="CB674">
            <v>0</v>
          </cell>
          <cell r="CE674" t="str">
            <v>9EU</v>
          </cell>
          <cell r="CF674" t="str">
            <v>9LOCAL</v>
          </cell>
          <cell r="CG674" t="str">
            <v>9LOCAL</v>
          </cell>
        </row>
        <row r="675">
          <cell r="O675">
            <v>9</v>
          </cell>
          <cell r="AN675">
            <v>26.658999898695804</v>
          </cell>
          <cell r="AO675">
            <v>0</v>
          </cell>
          <cell r="AP675">
            <v>0</v>
          </cell>
          <cell r="AZ675">
            <v>0</v>
          </cell>
          <cell r="BT675">
            <v>31.393410781690914</v>
          </cell>
          <cell r="BX675">
            <v>0</v>
          </cell>
          <cell r="CB675">
            <v>0</v>
          </cell>
          <cell r="CE675" t="str">
            <v>9LOCAL</v>
          </cell>
          <cell r="CF675" t="str">
            <v>9LOCAL</v>
          </cell>
          <cell r="CG675" t="str">
            <v>9LOCAL</v>
          </cell>
        </row>
        <row r="676">
          <cell r="O676">
            <v>9</v>
          </cell>
          <cell r="AN676">
            <v>0</v>
          </cell>
          <cell r="AO676">
            <v>26.658999898695804</v>
          </cell>
          <cell r="AP676">
            <v>26.658999898695804</v>
          </cell>
          <cell r="AZ676">
            <v>28.796749999999999</v>
          </cell>
          <cell r="BT676">
            <v>0</v>
          </cell>
          <cell r="BX676">
            <v>30.184705957095364</v>
          </cell>
          <cell r="CB676">
            <v>31.439141489717546</v>
          </cell>
          <cell r="CE676" t="str">
            <v>9EU</v>
          </cell>
          <cell r="CF676" t="str">
            <v>9LOCAL</v>
          </cell>
          <cell r="CG676" t="str">
            <v>9LOCAL</v>
          </cell>
        </row>
        <row r="677">
          <cell r="O677">
            <v>9</v>
          </cell>
          <cell r="AN677">
            <v>0</v>
          </cell>
          <cell r="AO677">
            <v>0</v>
          </cell>
          <cell r="AP677">
            <v>0</v>
          </cell>
          <cell r="AZ677">
            <v>0</v>
          </cell>
          <cell r="BT677">
            <v>0</v>
          </cell>
          <cell r="BX677">
            <v>0</v>
          </cell>
          <cell r="CB677">
            <v>0</v>
          </cell>
          <cell r="CE677" t="str">
            <v>9EU</v>
          </cell>
          <cell r="CF677" t="str">
            <v>9EU</v>
          </cell>
          <cell r="CG677" t="str">
            <v>9EU</v>
          </cell>
        </row>
        <row r="678">
          <cell r="O678">
            <v>9</v>
          </cell>
          <cell r="AN678">
            <v>0.55819599787885521</v>
          </cell>
          <cell r="AO678">
            <v>0.55819599787885521</v>
          </cell>
          <cell r="AP678">
            <v>0.55819599787885521</v>
          </cell>
          <cell r="AZ678">
            <v>0.60295699999999997</v>
          </cell>
          <cell r="BT678">
            <v>9.6749367830835195E-2</v>
          </cell>
          <cell r="BX678">
            <v>0.5724600309437855</v>
          </cell>
          <cell r="CB678">
            <v>0.6579162464570355</v>
          </cell>
          <cell r="CE678" t="str">
            <v>9LOCAL</v>
          </cell>
          <cell r="CF678" t="str">
            <v>9LOCAL</v>
          </cell>
          <cell r="CG678" t="str">
            <v>9LOCAL</v>
          </cell>
        </row>
        <row r="679">
          <cell r="O679">
            <v>9</v>
          </cell>
          <cell r="AN679">
            <v>0</v>
          </cell>
          <cell r="AO679">
            <v>0.37481599857569925</v>
          </cell>
          <cell r="AP679">
            <v>0</v>
          </cell>
          <cell r="AZ679">
            <v>0.40487200000000001</v>
          </cell>
          <cell r="BT679">
            <v>0</v>
          </cell>
          <cell r="BX679">
            <v>0.38164002062919028</v>
          </cell>
          <cell r="CB679">
            <v>0</v>
          </cell>
          <cell r="CE679" t="str">
            <v>9EU</v>
          </cell>
          <cell r="CF679" t="str">
            <v>9LOCAL</v>
          </cell>
          <cell r="CG679" t="str">
            <v>9LOCAL</v>
          </cell>
        </row>
        <row r="680">
          <cell r="O680">
            <v>9</v>
          </cell>
          <cell r="AN680">
            <v>0.19143599927254326</v>
          </cell>
          <cell r="AO680">
            <v>0</v>
          </cell>
          <cell r="AP680">
            <v>0.19143599927254326</v>
          </cell>
          <cell r="AZ680">
            <v>0</v>
          </cell>
          <cell r="BT680">
            <v>0.19936233371202403</v>
          </cell>
          <cell r="BX680">
            <v>0</v>
          </cell>
          <cell r="CB680">
            <v>0.22534134435225683</v>
          </cell>
          <cell r="CE680" t="str">
            <v>9LOCAL</v>
          </cell>
          <cell r="CF680" t="str">
            <v>9LOCAL</v>
          </cell>
          <cell r="CG680" t="str">
            <v>9LOCAL</v>
          </cell>
        </row>
        <row r="681">
          <cell r="O681">
            <v>9</v>
          </cell>
          <cell r="AN681">
            <v>0.6508399975268081</v>
          </cell>
          <cell r="AO681">
            <v>0.6508399975268081</v>
          </cell>
          <cell r="AP681">
            <v>0.6508399975268081</v>
          </cell>
          <cell r="AZ681">
            <v>0.70303000000000004</v>
          </cell>
          <cell r="BT681">
            <v>0.53124198336204054</v>
          </cell>
          <cell r="BX681">
            <v>0.66529138731304793</v>
          </cell>
          <cell r="CB681">
            <v>0.76656296605544505</v>
          </cell>
          <cell r="CE681" t="str">
            <v>9LOCAL</v>
          </cell>
          <cell r="CF681" t="str">
            <v>9LOCAL</v>
          </cell>
          <cell r="CG681" t="str">
            <v>9LOCAL</v>
          </cell>
        </row>
        <row r="682">
          <cell r="O682">
            <v>9</v>
          </cell>
          <cell r="AN682">
            <v>0</v>
          </cell>
          <cell r="AO682">
            <v>0</v>
          </cell>
          <cell r="AP682">
            <v>0</v>
          </cell>
          <cell r="AZ682">
            <v>0</v>
          </cell>
          <cell r="BT682">
            <v>0</v>
          </cell>
          <cell r="BX682">
            <v>0</v>
          </cell>
          <cell r="CB682">
            <v>0</v>
          </cell>
          <cell r="CE682" t="str">
            <v>9EU</v>
          </cell>
          <cell r="CF682" t="str">
            <v>9EU</v>
          </cell>
          <cell r="CG682" t="str">
            <v>9LOCAL</v>
          </cell>
        </row>
        <row r="683">
          <cell r="O683">
            <v>9</v>
          </cell>
          <cell r="AN683">
            <v>0</v>
          </cell>
          <cell r="AO683">
            <v>0</v>
          </cell>
          <cell r="AP683">
            <v>0</v>
          </cell>
          <cell r="AZ683">
            <v>0</v>
          </cell>
          <cell r="BT683">
            <v>0</v>
          </cell>
          <cell r="BX683">
            <v>0</v>
          </cell>
          <cell r="CB683">
            <v>0</v>
          </cell>
          <cell r="CE683" t="str">
            <v>9EU</v>
          </cell>
          <cell r="CF683" t="str">
            <v>9EU</v>
          </cell>
          <cell r="CG683" t="str">
            <v>9EU</v>
          </cell>
        </row>
        <row r="684">
          <cell r="O684">
            <v>9</v>
          </cell>
          <cell r="AN684">
            <v>0</v>
          </cell>
          <cell r="AO684">
            <v>0</v>
          </cell>
          <cell r="AP684">
            <v>0</v>
          </cell>
          <cell r="AZ684">
            <v>0</v>
          </cell>
          <cell r="BT684">
            <v>0</v>
          </cell>
          <cell r="BX684">
            <v>0</v>
          </cell>
          <cell r="CB684">
            <v>0</v>
          </cell>
          <cell r="CE684" t="str">
            <v>9EU</v>
          </cell>
          <cell r="CF684" t="str">
            <v>9EU</v>
          </cell>
          <cell r="CG684" t="str">
            <v>9EU</v>
          </cell>
        </row>
        <row r="685">
          <cell r="O685">
            <v>9</v>
          </cell>
          <cell r="AN685">
            <v>0</v>
          </cell>
          <cell r="AO685">
            <v>0</v>
          </cell>
          <cell r="AP685">
            <v>0</v>
          </cell>
          <cell r="AZ685">
            <v>0</v>
          </cell>
          <cell r="BT685">
            <v>0</v>
          </cell>
          <cell r="BX685">
            <v>0</v>
          </cell>
          <cell r="CB685">
            <v>0</v>
          </cell>
          <cell r="CE685" t="str">
            <v>9EU</v>
          </cell>
          <cell r="CF685" t="str">
            <v>9EU</v>
          </cell>
          <cell r="CG685" t="str">
            <v>9EU</v>
          </cell>
        </row>
        <row r="686">
          <cell r="O686">
            <v>9</v>
          </cell>
          <cell r="AN686">
            <v>0</v>
          </cell>
          <cell r="AO686">
            <v>0</v>
          </cell>
          <cell r="AP686">
            <v>0</v>
          </cell>
          <cell r="AZ686">
            <v>0</v>
          </cell>
          <cell r="BT686">
            <v>0</v>
          </cell>
          <cell r="BX686">
            <v>0</v>
          </cell>
          <cell r="CB686">
            <v>0</v>
          </cell>
          <cell r="CE686" t="str">
            <v>9EU</v>
          </cell>
          <cell r="CF686" t="str">
            <v>9EU</v>
          </cell>
          <cell r="CG686" t="str">
            <v>9EU</v>
          </cell>
        </row>
        <row r="687">
          <cell r="O687">
            <v>9</v>
          </cell>
          <cell r="AN687">
            <v>0</v>
          </cell>
          <cell r="AO687">
            <v>0</v>
          </cell>
          <cell r="AP687">
            <v>0</v>
          </cell>
          <cell r="AZ687">
            <v>0</v>
          </cell>
          <cell r="BT687">
            <v>0</v>
          </cell>
          <cell r="BX687">
            <v>0</v>
          </cell>
          <cell r="CB687">
            <v>0</v>
          </cell>
          <cell r="CE687" t="str">
            <v>9EU</v>
          </cell>
          <cell r="CF687" t="str">
            <v>9EU</v>
          </cell>
          <cell r="CG687" t="str">
            <v>9EU</v>
          </cell>
        </row>
        <row r="688">
          <cell r="O688">
            <v>9</v>
          </cell>
          <cell r="AN688">
            <v>0</v>
          </cell>
          <cell r="AO688">
            <v>0.52257999801419608</v>
          </cell>
          <cell r="AP688">
            <v>0</v>
          </cell>
          <cell r="AZ688">
            <v>0.56448500000000001</v>
          </cell>
          <cell r="BT688">
            <v>0</v>
          </cell>
          <cell r="BX688">
            <v>0.53635894791129446</v>
          </cell>
          <cell r="CB688">
            <v>0</v>
          </cell>
          <cell r="CE688" t="str">
            <v>9EU</v>
          </cell>
          <cell r="CF688" t="str">
            <v>9LOCAL</v>
          </cell>
          <cell r="CG688" t="str">
            <v>9LOCAL</v>
          </cell>
        </row>
        <row r="689">
          <cell r="O689">
            <v>9</v>
          </cell>
          <cell r="AN689">
            <v>0.52257999801419608</v>
          </cell>
          <cell r="AO689">
            <v>0</v>
          </cell>
          <cell r="AP689">
            <v>0.52257999801419608</v>
          </cell>
          <cell r="AZ689">
            <v>0</v>
          </cell>
          <cell r="BT689">
            <v>0.45325612929233705</v>
          </cell>
          <cell r="BX689">
            <v>0</v>
          </cell>
          <cell r="CB689">
            <v>0.6156647443909874</v>
          </cell>
          <cell r="CE689" t="str">
            <v>9LOCAL</v>
          </cell>
          <cell r="CF689" t="str">
            <v>9LOCAL</v>
          </cell>
          <cell r="CG689" t="str">
            <v>9LOCAL</v>
          </cell>
        </row>
        <row r="690">
          <cell r="O690">
            <v>9</v>
          </cell>
          <cell r="AN690">
            <v>0</v>
          </cell>
          <cell r="AO690">
            <v>0</v>
          </cell>
          <cell r="AP690">
            <v>0</v>
          </cell>
          <cell r="AZ690">
            <v>0</v>
          </cell>
          <cell r="BT690">
            <v>0</v>
          </cell>
          <cell r="BX690">
            <v>0</v>
          </cell>
          <cell r="CB690">
            <v>0</v>
          </cell>
          <cell r="CE690" t="str">
            <v>9EU</v>
          </cell>
          <cell r="CF690" t="str">
            <v>9EU</v>
          </cell>
          <cell r="CG690" t="str">
            <v>9EU</v>
          </cell>
        </row>
        <row r="691">
          <cell r="O691">
            <v>9</v>
          </cell>
          <cell r="AN691">
            <v>0</v>
          </cell>
          <cell r="AO691">
            <v>4.8295719816476268</v>
          </cell>
          <cell r="AP691">
            <v>0</v>
          </cell>
          <cell r="AZ691">
            <v>5.2168489999999998</v>
          </cell>
          <cell r="BT691">
            <v>0</v>
          </cell>
          <cell r="BX691">
            <v>4.8029478410029443</v>
          </cell>
          <cell r="CB691">
            <v>0</v>
          </cell>
          <cell r="CE691" t="str">
            <v>9EU</v>
          </cell>
          <cell r="CF691" t="str">
            <v>9LOCAL</v>
          </cell>
          <cell r="CG691" t="str">
            <v>9LOCAL</v>
          </cell>
        </row>
        <row r="692">
          <cell r="O692">
            <v>9</v>
          </cell>
          <cell r="AN692">
            <v>0</v>
          </cell>
          <cell r="AO692">
            <v>4.8295719816476268</v>
          </cell>
          <cell r="AP692">
            <v>0</v>
          </cell>
          <cell r="AZ692">
            <v>5.2168489999999998</v>
          </cell>
          <cell r="BT692">
            <v>0</v>
          </cell>
          <cell r="BX692">
            <v>4.8029478410029443</v>
          </cell>
          <cell r="CB692">
            <v>0</v>
          </cell>
          <cell r="CE692" t="str">
            <v>9EU</v>
          </cell>
          <cell r="CF692" t="str">
            <v>9LOCAL</v>
          </cell>
          <cell r="CG692" t="str">
            <v>9LOCAL</v>
          </cell>
        </row>
        <row r="693">
          <cell r="O693">
            <v>9</v>
          </cell>
          <cell r="AN693">
            <v>5.1779939803236239</v>
          </cell>
          <cell r="AO693">
            <v>0</v>
          </cell>
          <cell r="AP693">
            <v>5.1779939803236239</v>
          </cell>
          <cell r="AZ693">
            <v>0</v>
          </cell>
          <cell r="BT693">
            <v>4.6422105764649837</v>
          </cell>
          <cell r="BX693">
            <v>0</v>
          </cell>
          <cell r="CB693">
            <v>6.1053420485439585</v>
          </cell>
          <cell r="CE693" t="str">
            <v>9LOCAL</v>
          </cell>
          <cell r="CF693" t="str">
            <v>9LOCAL</v>
          </cell>
          <cell r="CG693" t="str">
            <v>9LOCAL</v>
          </cell>
        </row>
        <row r="694">
          <cell r="O694">
            <v>9</v>
          </cell>
          <cell r="AN694">
            <v>5.1779939803236239</v>
          </cell>
          <cell r="AO694">
            <v>0</v>
          </cell>
          <cell r="AP694">
            <v>5.1779939803236239</v>
          </cell>
          <cell r="AZ694">
            <v>0</v>
          </cell>
          <cell r="BT694">
            <v>4.6422105764649837</v>
          </cell>
          <cell r="BX694">
            <v>0</v>
          </cell>
          <cell r="CB694">
            <v>6.1053420485439585</v>
          </cell>
          <cell r="CE694" t="str">
            <v>9LOCAL</v>
          </cell>
          <cell r="CF694" t="str">
            <v>9LOCAL</v>
          </cell>
          <cell r="CG694" t="str">
            <v>9LOCAL</v>
          </cell>
        </row>
        <row r="695">
          <cell r="O695">
            <v>9</v>
          </cell>
          <cell r="AN695">
            <v>0</v>
          </cell>
          <cell r="AO695">
            <v>0</v>
          </cell>
          <cell r="AP695">
            <v>0</v>
          </cell>
          <cell r="AZ695">
            <v>0</v>
          </cell>
          <cell r="BT695">
            <v>0</v>
          </cell>
          <cell r="BX695">
            <v>0</v>
          </cell>
          <cell r="CB695">
            <v>0</v>
          </cell>
          <cell r="CE695" t="str">
            <v>9EU</v>
          </cell>
          <cell r="CF695" t="str">
            <v>9EU</v>
          </cell>
          <cell r="CG695" t="str">
            <v>9EU</v>
          </cell>
        </row>
        <row r="696">
          <cell r="O696">
            <v>9</v>
          </cell>
          <cell r="AN696">
            <v>0</v>
          </cell>
          <cell r="AO696">
            <v>1.8773659928660094</v>
          </cell>
          <cell r="AP696">
            <v>0</v>
          </cell>
          <cell r="AZ696">
            <v>2.0279094999999998</v>
          </cell>
          <cell r="BT696">
            <v>0</v>
          </cell>
          <cell r="BX696">
            <v>1.8464666144300206</v>
          </cell>
          <cell r="CB696">
            <v>0</v>
          </cell>
          <cell r="CE696" t="str">
            <v>9EU</v>
          </cell>
          <cell r="CF696" t="str">
            <v>9LOCAL</v>
          </cell>
          <cell r="CG696" t="str">
            <v>9LOCAL</v>
          </cell>
        </row>
        <row r="697">
          <cell r="O697">
            <v>9</v>
          </cell>
          <cell r="AN697">
            <v>0</v>
          </cell>
          <cell r="AO697">
            <v>1.8773659928660094</v>
          </cell>
          <cell r="AP697">
            <v>0</v>
          </cell>
          <cell r="AZ697">
            <v>2.0279094999999998</v>
          </cell>
          <cell r="BT697">
            <v>0</v>
          </cell>
          <cell r="BX697">
            <v>1.8464666144300206</v>
          </cell>
          <cell r="CB697">
            <v>0</v>
          </cell>
          <cell r="CE697" t="str">
            <v>9EU</v>
          </cell>
          <cell r="CF697" t="str">
            <v>9LOCAL</v>
          </cell>
          <cell r="CG697" t="str">
            <v>9LOCAL</v>
          </cell>
        </row>
        <row r="698">
          <cell r="O698">
            <v>9</v>
          </cell>
          <cell r="AN698">
            <v>2.2897059912991176</v>
          </cell>
          <cell r="AO698">
            <v>0</v>
          </cell>
          <cell r="AP698">
            <v>2.2897059912991176</v>
          </cell>
          <cell r="AZ698">
            <v>0</v>
          </cell>
          <cell r="BT698">
            <v>2.1774471359988272</v>
          </cell>
          <cell r="BX698">
            <v>0</v>
          </cell>
          <cell r="CB698">
            <v>2.700072179649363</v>
          </cell>
          <cell r="CE698" t="str">
            <v>9LOCAL</v>
          </cell>
          <cell r="CF698" t="str">
            <v>9LOCAL</v>
          </cell>
          <cell r="CG698" t="str">
            <v>9LOCAL</v>
          </cell>
        </row>
        <row r="699">
          <cell r="O699">
            <v>9</v>
          </cell>
          <cell r="AN699">
            <v>2.2897059912991176</v>
          </cell>
          <cell r="AO699">
            <v>0</v>
          </cell>
          <cell r="AP699">
            <v>2.2897059912991176</v>
          </cell>
          <cell r="AZ699">
            <v>0</v>
          </cell>
          <cell r="BT699">
            <v>2.2897059912991176</v>
          </cell>
          <cell r="BX699">
            <v>0</v>
          </cell>
          <cell r="CB699">
            <v>2.700072179649363</v>
          </cell>
          <cell r="CE699" t="str">
            <v>9EU</v>
          </cell>
          <cell r="CF699" t="str">
            <v>9LOCAL</v>
          </cell>
          <cell r="CG699" t="str">
            <v>9LOCAL</v>
          </cell>
        </row>
        <row r="700">
          <cell r="O700">
            <v>9</v>
          </cell>
          <cell r="AN700">
            <v>0</v>
          </cell>
          <cell r="AO700">
            <v>0</v>
          </cell>
          <cell r="AP700">
            <v>0</v>
          </cell>
          <cell r="AZ700">
            <v>0</v>
          </cell>
          <cell r="BT700">
            <v>0</v>
          </cell>
          <cell r="BX700">
            <v>0</v>
          </cell>
          <cell r="CB700">
            <v>0</v>
          </cell>
          <cell r="CE700" t="str">
            <v>9EU</v>
          </cell>
          <cell r="CF700" t="str">
            <v>9EU</v>
          </cell>
          <cell r="CG700" t="str">
            <v>9EU</v>
          </cell>
        </row>
        <row r="701">
          <cell r="O701">
            <v>9</v>
          </cell>
          <cell r="AN701">
            <v>10.478523960181612</v>
          </cell>
          <cell r="AO701">
            <v>0</v>
          </cell>
          <cell r="AP701">
            <v>0</v>
          </cell>
          <cell r="AZ701">
            <v>0</v>
          </cell>
          <cell r="BT701">
            <v>10.157804082530143</v>
          </cell>
          <cell r="BX701">
            <v>0</v>
          </cell>
          <cell r="CB701">
            <v>0</v>
          </cell>
          <cell r="CE701" t="str">
            <v>9LOCAL</v>
          </cell>
          <cell r="CF701" t="str">
            <v>9LOCAL</v>
          </cell>
          <cell r="CG701" t="str">
            <v>9LOCAL</v>
          </cell>
        </row>
        <row r="702">
          <cell r="O702">
            <v>9</v>
          </cell>
          <cell r="AN702">
            <v>1.8795919928575509</v>
          </cell>
          <cell r="AO702">
            <v>1.8795919928575509</v>
          </cell>
          <cell r="AP702">
            <v>1.8795919928575509</v>
          </cell>
          <cell r="AZ702">
            <v>2.0303140000000002</v>
          </cell>
          <cell r="BT702">
            <v>1.787224685747792</v>
          </cell>
          <cell r="BX702">
            <v>2.1648419747985954E-3</v>
          </cell>
          <cell r="CB702">
            <v>2.2161918821786686</v>
          </cell>
          <cell r="CE702" t="str">
            <v>9LOCAL</v>
          </cell>
          <cell r="CF702" t="str">
            <v>9LOCAL</v>
          </cell>
          <cell r="CG702" t="str">
            <v>9LOCAL</v>
          </cell>
        </row>
        <row r="703">
          <cell r="O703">
            <v>9</v>
          </cell>
          <cell r="AN703">
            <v>1.8795919928575509</v>
          </cell>
          <cell r="AO703">
            <v>1.8795919928575509</v>
          </cell>
          <cell r="AP703">
            <v>1.8795919928575509</v>
          </cell>
          <cell r="AZ703">
            <v>2.0303140000000002</v>
          </cell>
          <cell r="BT703">
            <v>1.787224685747792</v>
          </cell>
          <cell r="BX703">
            <v>2.1648419747985954E-3</v>
          </cell>
          <cell r="CB703">
            <v>2.2161918821786686</v>
          </cell>
          <cell r="CE703" t="str">
            <v>9LOCAL</v>
          </cell>
          <cell r="CF703" t="str">
            <v>9LOCAL</v>
          </cell>
          <cell r="CG703" t="str">
            <v>9LOCAL</v>
          </cell>
        </row>
        <row r="704">
          <cell r="O704">
            <v>9</v>
          </cell>
          <cell r="AN704">
            <v>6.0307639770830983</v>
          </cell>
          <cell r="AO704">
            <v>0</v>
          </cell>
          <cell r="AP704">
            <v>0</v>
          </cell>
          <cell r="AZ704">
            <v>0</v>
          </cell>
          <cell r="BT704">
            <v>5.8460072562025873</v>
          </cell>
          <cell r="BX704">
            <v>0</v>
          </cell>
          <cell r="CB704">
            <v>0</v>
          </cell>
          <cell r="CE704" t="str">
            <v>9LOCAL</v>
          </cell>
          <cell r="CF704" t="str">
            <v>9LOCAL</v>
          </cell>
          <cell r="CG704" t="str">
            <v>9LOCAL</v>
          </cell>
        </row>
        <row r="705">
          <cell r="O705">
            <v>9</v>
          </cell>
          <cell r="AN705">
            <v>0</v>
          </cell>
          <cell r="AO705">
            <v>6.6882819745845294</v>
          </cell>
          <cell r="AP705">
            <v>6.6882819745845294</v>
          </cell>
          <cell r="AZ705">
            <v>7.2246065000000002</v>
          </cell>
          <cell r="BT705">
            <v>0</v>
          </cell>
          <cell r="BX705">
            <v>5.985043837029397</v>
          </cell>
          <cell r="CB705">
            <v>7.8869470523289893</v>
          </cell>
          <cell r="CE705" t="str">
            <v>9LOCAL</v>
          </cell>
          <cell r="CF705" t="str">
            <v>9LOCAL</v>
          </cell>
          <cell r="CG705" t="str">
            <v>9LOCAL</v>
          </cell>
        </row>
        <row r="706">
          <cell r="O706">
            <v>9</v>
          </cell>
          <cell r="AN706">
            <v>10.462093960244044</v>
          </cell>
          <cell r="AO706">
            <v>0</v>
          </cell>
          <cell r="AP706">
            <v>0</v>
          </cell>
          <cell r="AZ706">
            <v>0</v>
          </cell>
          <cell r="BT706">
            <v>10.14167918789167</v>
          </cell>
          <cell r="BX706">
            <v>0</v>
          </cell>
          <cell r="CB706">
            <v>0</v>
          </cell>
          <cell r="CE706" t="str">
            <v>9LOCAL</v>
          </cell>
          <cell r="CF706" t="str">
            <v>9LOCAL</v>
          </cell>
          <cell r="CG706" t="str">
            <v>9LOCAL</v>
          </cell>
        </row>
        <row r="707">
          <cell r="O707">
            <v>9</v>
          </cell>
          <cell r="AN707">
            <v>0</v>
          </cell>
          <cell r="AO707">
            <v>0</v>
          </cell>
          <cell r="AP707">
            <v>0</v>
          </cell>
          <cell r="AZ707">
            <v>0</v>
          </cell>
          <cell r="BT707">
            <v>0</v>
          </cell>
          <cell r="BX707">
            <v>0</v>
          </cell>
          <cell r="CB707">
            <v>0</v>
          </cell>
          <cell r="CE707" t="str">
            <v>9LOCAL</v>
          </cell>
          <cell r="CF707" t="str">
            <v>9LOCAL</v>
          </cell>
          <cell r="CG707" t="str">
            <v>9LOCAL</v>
          </cell>
        </row>
        <row r="708">
          <cell r="O708">
            <v>9</v>
          </cell>
          <cell r="AN708">
            <v>0</v>
          </cell>
          <cell r="AO708">
            <v>0</v>
          </cell>
          <cell r="AP708">
            <v>0</v>
          </cell>
          <cell r="AZ708">
            <v>0</v>
          </cell>
          <cell r="BT708">
            <v>0</v>
          </cell>
          <cell r="BX708">
            <v>0</v>
          </cell>
          <cell r="CB708">
            <v>0</v>
          </cell>
          <cell r="CE708" t="str">
            <v>9EU</v>
          </cell>
          <cell r="CF708" t="str">
            <v>9EU</v>
          </cell>
          <cell r="CG708" t="str">
            <v>9EU</v>
          </cell>
        </row>
        <row r="709">
          <cell r="O709">
            <v>9</v>
          </cell>
          <cell r="AN709">
            <v>7.6738699708392941</v>
          </cell>
          <cell r="AO709">
            <v>7.6738699708392941</v>
          </cell>
          <cell r="AP709">
            <v>7.6738699708392941</v>
          </cell>
          <cell r="AZ709">
            <v>8.2892274999999991</v>
          </cell>
          <cell r="BT709">
            <v>7.4388536665811555</v>
          </cell>
          <cell r="BX709">
            <v>7.6173285198555956</v>
          </cell>
          <cell r="CB709">
            <v>9.0488633591453134</v>
          </cell>
          <cell r="CE709" t="str">
            <v>9LOCAL</v>
          </cell>
          <cell r="CF709" t="str">
            <v>9LOCAL</v>
          </cell>
          <cell r="CG709" t="str">
            <v>9LOCAL</v>
          </cell>
        </row>
        <row r="710">
          <cell r="O710">
            <v>9</v>
          </cell>
          <cell r="AN710">
            <v>0</v>
          </cell>
          <cell r="AO710">
            <v>0</v>
          </cell>
          <cell r="AP710">
            <v>0</v>
          </cell>
          <cell r="AZ710">
            <v>0</v>
          </cell>
          <cell r="BT710">
            <v>0</v>
          </cell>
          <cell r="BX710">
            <v>0</v>
          </cell>
          <cell r="CB710">
            <v>0</v>
          </cell>
          <cell r="CE710" t="str">
            <v>9EU</v>
          </cell>
          <cell r="CF710" t="str">
            <v>9EU</v>
          </cell>
          <cell r="CG710" t="str">
            <v>9EU</v>
          </cell>
        </row>
        <row r="711">
          <cell r="O711">
            <v>9</v>
          </cell>
          <cell r="AN711">
            <v>0</v>
          </cell>
          <cell r="AO711">
            <v>8.4354799679451773</v>
          </cell>
          <cell r="AP711">
            <v>0</v>
          </cell>
          <cell r="AZ711">
            <v>9.11191</v>
          </cell>
          <cell r="BT711">
            <v>0</v>
          </cell>
          <cell r="BX711">
            <v>7.6921093347086122</v>
          </cell>
          <cell r="CB711">
            <v>0</v>
          </cell>
          <cell r="CE711" t="str">
            <v>9EU</v>
          </cell>
          <cell r="CF711" t="str">
            <v>9LOCAL</v>
          </cell>
          <cell r="CG711" t="str">
            <v>9LOCAL</v>
          </cell>
        </row>
        <row r="712">
          <cell r="O712">
            <v>9</v>
          </cell>
          <cell r="AN712">
            <v>0</v>
          </cell>
          <cell r="AO712">
            <v>7.8556599701484933</v>
          </cell>
          <cell r="AP712">
            <v>0</v>
          </cell>
          <cell r="AZ712">
            <v>8.485595</v>
          </cell>
          <cell r="BT712">
            <v>0</v>
          </cell>
          <cell r="BX712">
            <v>7.6921093347086122</v>
          </cell>
          <cell r="CB712">
            <v>0</v>
          </cell>
          <cell r="CE712" t="str">
            <v>9EU</v>
          </cell>
          <cell r="CF712" t="str">
            <v>9LOCAL</v>
          </cell>
          <cell r="CG712" t="str">
            <v>9LOCAL</v>
          </cell>
        </row>
        <row r="713">
          <cell r="O713">
            <v>9</v>
          </cell>
          <cell r="AN713">
            <v>6.3277759759544523</v>
          </cell>
          <cell r="AO713">
            <v>0</v>
          </cell>
          <cell r="AP713">
            <v>6.3277759759544523</v>
          </cell>
          <cell r="AZ713">
            <v>0</v>
          </cell>
          <cell r="BT713">
            <v>6.9454318906438965</v>
          </cell>
          <cell r="BX713">
            <v>0</v>
          </cell>
          <cell r="CB713">
            <v>7.4614140672352187</v>
          </cell>
          <cell r="CE713" t="str">
            <v>9LOCAL</v>
          </cell>
          <cell r="CF713" t="str">
            <v>9LOCAL</v>
          </cell>
          <cell r="CG713" t="str">
            <v>9LOCAL</v>
          </cell>
        </row>
        <row r="714">
          <cell r="O714">
            <v>9</v>
          </cell>
          <cell r="AN714">
            <v>6.3277759759544523</v>
          </cell>
          <cell r="AO714">
            <v>0</v>
          </cell>
          <cell r="AP714">
            <v>6.3277759759544523</v>
          </cell>
          <cell r="AZ714">
            <v>0</v>
          </cell>
          <cell r="BT714">
            <v>6.9454318906438965</v>
          </cell>
          <cell r="BX714">
            <v>0</v>
          </cell>
          <cell r="CB714">
            <v>7.4614140672352187</v>
          </cell>
          <cell r="CE714" t="str">
            <v>9LOCAL</v>
          </cell>
          <cell r="CF714" t="str">
            <v>9LOCAL</v>
          </cell>
          <cell r="CG714" t="str">
            <v>9LOCAL</v>
          </cell>
        </row>
        <row r="715">
          <cell r="O715">
            <v>9</v>
          </cell>
          <cell r="AN715">
            <v>0</v>
          </cell>
          <cell r="AO715">
            <v>0</v>
          </cell>
          <cell r="AP715">
            <v>0</v>
          </cell>
          <cell r="AZ715">
            <v>0</v>
          </cell>
          <cell r="BT715">
            <v>0</v>
          </cell>
          <cell r="BX715">
            <v>0</v>
          </cell>
          <cell r="CB715">
            <v>0</v>
          </cell>
          <cell r="CE715" t="str">
            <v>9EU</v>
          </cell>
          <cell r="CF715" t="str">
            <v>9LOCAL</v>
          </cell>
          <cell r="CG715" t="str">
            <v>9LOCAL</v>
          </cell>
        </row>
        <row r="716">
          <cell r="O716">
            <v>9</v>
          </cell>
          <cell r="AN716">
            <v>0</v>
          </cell>
          <cell r="AO716">
            <v>11.972063954506158</v>
          </cell>
          <cell r="AP716">
            <v>0</v>
          </cell>
          <cell r="AZ716">
            <v>12.932088</v>
          </cell>
          <cell r="BT716">
            <v>0</v>
          </cell>
          <cell r="BX716">
            <v>10.015471892728211</v>
          </cell>
          <cell r="CB716">
            <v>0</v>
          </cell>
          <cell r="CE716" t="str">
            <v>9EU</v>
          </cell>
          <cell r="CF716" t="str">
            <v>9LOCAL</v>
          </cell>
          <cell r="CG716" t="str">
            <v>9LOCAL</v>
          </cell>
        </row>
        <row r="717">
          <cell r="O717">
            <v>9</v>
          </cell>
          <cell r="AN717">
            <v>0</v>
          </cell>
          <cell r="AO717">
            <v>0</v>
          </cell>
          <cell r="AP717">
            <v>0</v>
          </cell>
          <cell r="AZ717">
            <v>0</v>
          </cell>
          <cell r="BT717">
            <v>0</v>
          </cell>
          <cell r="BX717">
            <v>0</v>
          </cell>
          <cell r="CB717">
            <v>0</v>
          </cell>
          <cell r="CE717" t="str">
            <v>9LOCAL</v>
          </cell>
          <cell r="CF717" t="str">
            <v>9LOCAL</v>
          </cell>
          <cell r="CG717" t="str">
            <v>9LOCAL</v>
          </cell>
        </row>
        <row r="718">
          <cell r="O718">
            <v>9</v>
          </cell>
          <cell r="AN718">
            <v>15.471865941206911</v>
          </cell>
          <cell r="AO718">
            <v>0</v>
          </cell>
          <cell r="AP718">
            <v>15.471865941206911</v>
          </cell>
          <cell r="AZ718">
            <v>0</v>
          </cell>
          <cell r="BT718">
            <v>15.471865941206911</v>
          </cell>
          <cell r="BX718">
            <v>0</v>
          </cell>
          <cell r="CB718">
            <v>18.244600987377368</v>
          </cell>
          <cell r="CE718" t="str">
            <v>9EU</v>
          </cell>
          <cell r="CF718" t="str">
            <v>9LOCAL</v>
          </cell>
          <cell r="CG718" t="str">
            <v>9LOCAL</v>
          </cell>
        </row>
        <row r="719">
          <cell r="O719">
            <v>9</v>
          </cell>
          <cell r="AN719">
            <v>0</v>
          </cell>
          <cell r="AO719">
            <v>0</v>
          </cell>
          <cell r="AP719">
            <v>0</v>
          </cell>
          <cell r="AZ719">
            <v>0</v>
          </cell>
          <cell r="BT719">
            <v>0</v>
          </cell>
          <cell r="BX719">
            <v>0</v>
          </cell>
          <cell r="CB719">
            <v>0</v>
          </cell>
          <cell r="CE719" t="str">
            <v>9LOCAL</v>
          </cell>
          <cell r="CF719" t="str">
            <v>9LOCAL</v>
          </cell>
          <cell r="CG719" t="str">
            <v>9LOCAL</v>
          </cell>
        </row>
        <row r="720">
          <cell r="O720">
            <v>9</v>
          </cell>
          <cell r="AN720">
            <v>0</v>
          </cell>
          <cell r="AO720">
            <v>0</v>
          </cell>
          <cell r="AP720">
            <v>0</v>
          </cell>
          <cell r="AZ720">
            <v>0</v>
          </cell>
          <cell r="BT720">
            <v>0</v>
          </cell>
          <cell r="BX720">
            <v>0</v>
          </cell>
          <cell r="CB720">
            <v>0</v>
          </cell>
          <cell r="CE720" t="str">
            <v>9EU</v>
          </cell>
          <cell r="CF720" t="str">
            <v>9LOCAL</v>
          </cell>
          <cell r="CG720" t="str">
            <v>9LOCAL</v>
          </cell>
        </row>
        <row r="721">
          <cell r="O721">
            <v>9</v>
          </cell>
          <cell r="AN721">
            <v>0</v>
          </cell>
          <cell r="AO721">
            <v>0</v>
          </cell>
          <cell r="AP721">
            <v>0</v>
          </cell>
          <cell r="AZ721">
            <v>0</v>
          </cell>
          <cell r="BT721">
            <v>0</v>
          </cell>
          <cell r="BX721">
            <v>0</v>
          </cell>
          <cell r="CB721">
            <v>0</v>
          </cell>
          <cell r="CE721" t="str">
            <v>9EU</v>
          </cell>
          <cell r="CF721" t="str">
            <v>9LOCAL</v>
          </cell>
          <cell r="CG721" t="str">
            <v>9LOCAL</v>
          </cell>
        </row>
        <row r="722">
          <cell r="O722">
            <v>9</v>
          </cell>
          <cell r="AN722">
            <v>0</v>
          </cell>
          <cell r="AO722">
            <v>1.7511199933457442</v>
          </cell>
          <cell r="AP722">
            <v>0</v>
          </cell>
          <cell r="AZ722">
            <v>1.89154</v>
          </cell>
          <cell r="BT722">
            <v>0</v>
          </cell>
          <cell r="BX722">
            <v>1.7947395564724085</v>
          </cell>
          <cell r="CB722">
            <v>0</v>
          </cell>
          <cell r="CE722" t="str">
            <v>9LOCAL</v>
          </cell>
          <cell r="CF722" t="str">
            <v>9LOCAL</v>
          </cell>
          <cell r="CG722" t="str">
            <v>9LOCAL</v>
          </cell>
        </row>
        <row r="723">
          <cell r="O723">
            <v>9</v>
          </cell>
          <cell r="AN723">
            <v>0</v>
          </cell>
          <cell r="AO723">
            <v>0</v>
          </cell>
          <cell r="AP723">
            <v>4.4604799830501776</v>
          </cell>
          <cell r="AZ723">
            <v>0</v>
          </cell>
          <cell r="BT723">
            <v>0</v>
          </cell>
          <cell r="BX723">
            <v>0</v>
          </cell>
          <cell r="CB723">
            <v>5.2593060190785659</v>
          </cell>
          <cell r="CE723" t="str">
            <v>9LOCAL</v>
          </cell>
          <cell r="CF723" t="str">
            <v>9LOCAL</v>
          </cell>
          <cell r="CG723" t="str">
            <v>9LOCAL</v>
          </cell>
        </row>
        <row r="724">
          <cell r="O724">
            <v>9</v>
          </cell>
          <cell r="AN724">
            <v>0</v>
          </cell>
          <cell r="AO724">
            <v>0</v>
          </cell>
          <cell r="AP724">
            <v>4.5802599825950123</v>
          </cell>
          <cell r="AZ724">
            <v>0</v>
          </cell>
          <cell r="BT724">
            <v>0</v>
          </cell>
          <cell r="BX724">
            <v>0</v>
          </cell>
          <cell r="CB724">
            <v>4.5802599825950123</v>
          </cell>
          <cell r="CE724" t="str">
            <v>9EU</v>
          </cell>
          <cell r="CF724" t="str">
            <v>9EU</v>
          </cell>
          <cell r="CG724" t="str">
            <v>9EU</v>
          </cell>
        </row>
        <row r="725">
          <cell r="O725">
            <v>9</v>
          </cell>
          <cell r="AN725">
            <v>0</v>
          </cell>
          <cell r="AO725">
            <v>0</v>
          </cell>
          <cell r="AP725">
            <v>0</v>
          </cell>
          <cell r="AZ725">
            <v>0</v>
          </cell>
          <cell r="BT725">
            <v>0</v>
          </cell>
          <cell r="BX725">
            <v>0</v>
          </cell>
          <cell r="CB725">
            <v>0</v>
          </cell>
          <cell r="CE725" t="str">
            <v>9EU</v>
          </cell>
          <cell r="CF725" t="str">
            <v>9EU</v>
          </cell>
          <cell r="CG725" t="str">
            <v>9EU</v>
          </cell>
        </row>
        <row r="726">
          <cell r="O726">
            <v>9</v>
          </cell>
          <cell r="AN726">
            <v>0</v>
          </cell>
          <cell r="AO726">
            <v>10.960399958350481</v>
          </cell>
          <cell r="AP726">
            <v>0</v>
          </cell>
          <cell r="AZ726">
            <v>11.8393</v>
          </cell>
          <cell r="BT726">
            <v>0</v>
          </cell>
          <cell r="BX726">
            <v>10.960399958350481</v>
          </cell>
          <cell r="CB726">
            <v>0</v>
          </cell>
          <cell r="CE726" t="str">
            <v>9EU</v>
          </cell>
          <cell r="CF726" t="str">
            <v>9EU</v>
          </cell>
          <cell r="CG726" t="str">
            <v>9LOCAL</v>
          </cell>
        </row>
        <row r="727">
          <cell r="O727">
            <v>9</v>
          </cell>
          <cell r="AN727">
            <v>0</v>
          </cell>
          <cell r="AO727">
            <v>0</v>
          </cell>
          <cell r="AP727">
            <v>0</v>
          </cell>
          <cell r="AZ727">
            <v>0</v>
          </cell>
          <cell r="BT727">
            <v>0</v>
          </cell>
          <cell r="BX727">
            <v>0</v>
          </cell>
          <cell r="CB727">
            <v>0</v>
          </cell>
          <cell r="CE727" t="str">
            <v>9EU</v>
          </cell>
          <cell r="CF727" t="str">
            <v>9EU</v>
          </cell>
          <cell r="CG727" t="str">
            <v>9EU</v>
          </cell>
        </row>
        <row r="728">
          <cell r="O728">
            <v>9</v>
          </cell>
          <cell r="AN728">
            <v>0</v>
          </cell>
          <cell r="AO728">
            <v>0</v>
          </cell>
          <cell r="AP728">
            <v>13.738340559148019</v>
          </cell>
          <cell r="AZ728">
            <v>0</v>
          </cell>
          <cell r="BT728">
            <v>0</v>
          </cell>
          <cell r="BX728">
            <v>0</v>
          </cell>
          <cell r="CB728">
            <v>16.200433077896179</v>
          </cell>
          <cell r="CE728" t="str">
            <v>9LOCAL</v>
          </cell>
          <cell r="CF728" t="str">
            <v>9EU</v>
          </cell>
          <cell r="CG728" t="str">
            <v>9LOCAL</v>
          </cell>
        </row>
        <row r="729">
          <cell r="O729">
            <v>9</v>
          </cell>
          <cell r="AN729">
            <v>21.144454068122691</v>
          </cell>
          <cell r="AO729">
            <v>0</v>
          </cell>
          <cell r="AP729">
            <v>0</v>
          </cell>
          <cell r="AZ729">
            <v>0</v>
          </cell>
          <cell r="BT729">
            <v>45.29629493898193</v>
          </cell>
          <cell r="BX729">
            <v>0</v>
          </cell>
          <cell r="CB729">
            <v>0</v>
          </cell>
          <cell r="CE729" t="str">
            <v>9LOCAL</v>
          </cell>
          <cell r="CF729" t="str">
            <v>9EU</v>
          </cell>
          <cell r="CG729" t="str">
            <v>9EU</v>
          </cell>
        </row>
        <row r="730">
          <cell r="O730">
            <v>9</v>
          </cell>
          <cell r="AN730">
            <v>2.2789564017329792E-2</v>
          </cell>
          <cell r="AO730">
            <v>2.2789564017329792E-2</v>
          </cell>
          <cell r="AP730">
            <v>2.2789564017329792E-2</v>
          </cell>
          <cell r="AZ730">
            <v>2.4617029150000001E-2</v>
          </cell>
          <cell r="BT730">
            <v>2.2789564017329792E-2</v>
          </cell>
          <cell r="BX730">
            <v>2.2789564017329792E-2</v>
          </cell>
          <cell r="CB730">
            <v>2.2789564017329792E-2</v>
          </cell>
          <cell r="CE730" t="str">
            <v>9EU</v>
          </cell>
          <cell r="CF730" t="str">
            <v>9EU</v>
          </cell>
          <cell r="CG730" t="str">
            <v>9EU</v>
          </cell>
        </row>
        <row r="731">
          <cell r="O731">
            <v>9</v>
          </cell>
          <cell r="AN731">
            <v>0.11786974505707316</v>
          </cell>
          <cell r="AO731">
            <v>0.11786974505707316</v>
          </cell>
          <cell r="AP731">
            <v>0.11786974505707316</v>
          </cell>
          <cell r="AZ731">
            <v>0.12732156472</v>
          </cell>
          <cell r="BT731">
            <v>0.11786974505707316</v>
          </cell>
          <cell r="BX731">
            <v>0.11786974505707316</v>
          </cell>
          <cell r="CB731">
            <v>0.11786974505707316</v>
          </cell>
          <cell r="CE731" t="str">
            <v>9EU</v>
          </cell>
          <cell r="CF731" t="str">
            <v>9EU</v>
          </cell>
          <cell r="CG731" t="str">
            <v>9EU</v>
          </cell>
        </row>
        <row r="732">
          <cell r="O732">
            <v>9</v>
          </cell>
          <cell r="AN732">
            <v>2.3234755500459024E-2</v>
          </cell>
          <cell r="AO732">
            <v>2.3234755500459024E-2</v>
          </cell>
          <cell r="AP732">
            <v>2.3234755500459024E-2</v>
          </cell>
          <cell r="AZ732">
            <v>2.5097919951999999E-2</v>
          </cell>
          <cell r="BT732">
            <v>2.3234755500459024E-2</v>
          </cell>
          <cell r="BX732">
            <v>2.3234755500459024E-2</v>
          </cell>
          <cell r="CB732">
            <v>2.3234755500459024E-2</v>
          </cell>
          <cell r="CE732" t="str">
            <v>9EU</v>
          </cell>
          <cell r="CF732" t="str">
            <v>9EU</v>
          </cell>
          <cell r="CG732" t="str">
            <v>9EU</v>
          </cell>
        </row>
        <row r="733">
          <cell r="O733">
            <v>9</v>
          </cell>
          <cell r="AN733">
            <v>0.24693287597568131</v>
          </cell>
          <cell r="AO733">
            <v>0.24693287597568131</v>
          </cell>
          <cell r="AP733">
            <v>0.24693287597568131</v>
          </cell>
          <cell r="AZ733">
            <v>0.26673409817600002</v>
          </cell>
          <cell r="BT733">
            <v>0.24693287597568131</v>
          </cell>
          <cell r="BX733">
            <v>0.24693287597568131</v>
          </cell>
          <cell r="CB733">
            <v>0.24693287597568131</v>
          </cell>
          <cell r="CE733" t="str">
            <v>9EU</v>
          </cell>
          <cell r="CF733" t="str">
            <v>9EU</v>
          </cell>
          <cell r="CG733" t="str">
            <v>9EU</v>
          </cell>
        </row>
        <row r="734">
          <cell r="O734">
            <v>9</v>
          </cell>
          <cell r="AN734">
            <v>8.9631885270018932E-2</v>
          </cell>
          <cell r="AO734">
            <v>8.9631885270018932E-2</v>
          </cell>
          <cell r="AP734">
            <v>8.9631885270018932E-2</v>
          </cell>
          <cell r="AZ734">
            <v>9.6819348136000002E-2</v>
          </cell>
          <cell r="BT734">
            <v>8.9631885270018932E-2</v>
          </cell>
          <cell r="BX734">
            <v>8.9631885270018932E-2</v>
          </cell>
          <cell r="CB734">
            <v>8.9631885270018932E-2</v>
          </cell>
          <cell r="CE734" t="str">
            <v>9EU</v>
          </cell>
          <cell r="CF734" t="str">
            <v>9EU</v>
          </cell>
          <cell r="CG734" t="str">
            <v>9EU</v>
          </cell>
        </row>
        <row r="735">
          <cell r="O735">
            <v>9</v>
          </cell>
          <cell r="AN735">
            <v>0.33389361234692483</v>
          </cell>
          <cell r="AO735">
            <v>0.33389361234692483</v>
          </cell>
          <cell r="AP735">
            <v>0.33389361234692483</v>
          </cell>
          <cell r="AZ735">
            <v>0.3606681015</v>
          </cell>
          <cell r="BT735">
            <v>0.33389361234692483</v>
          </cell>
          <cell r="BX735">
            <v>0.33389361234692483</v>
          </cell>
          <cell r="CB735">
            <v>0.33389361234692483</v>
          </cell>
          <cell r="CE735" t="str">
            <v>9EU</v>
          </cell>
          <cell r="CF735" t="str">
            <v>9EU</v>
          </cell>
          <cell r="CG735" t="str">
            <v>9EU</v>
          </cell>
        </row>
        <row r="736">
          <cell r="O736">
            <v>9</v>
          </cell>
          <cell r="AN736">
            <v>0</v>
          </cell>
          <cell r="AO736">
            <v>0</v>
          </cell>
          <cell r="AP736">
            <v>0</v>
          </cell>
          <cell r="AZ736">
            <v>0</v>
          </cell>
          <cell r="BT736">
            <v>0</v>
          </cell>
          <cell r="BX736">
            <v>0</v>
          </cell>
          <cell r="CB736">
            <v>0</v>
          </cell>
          <cell r="CE736" t="str">
            <v>9EU</v>
          </cell>
          <cell r="CF736" t="str">
            <v>9EU</v>
          </cell>
          <cell r="CG736" t="str">
            <v>9EU</v>
          </cell>
        </row>
        <row r="737">
          <cell r="O737">
            <v>10</v>
          </cell>
          <cell r="AN737">
            <v>1.324999994965</v>
          </cell>
          <cell r="AO737">
            <v>1.324999994965</v>
          </cell>
          <cell r="AP737">
            <v>1.324999994965</v>
          </cell>
          <cell r="AZ737">
            <v>1.4312499999999999</v>
          </cell>
          <cell r="BT737">
            <v>2.3334500058336252E-4</v>
          </cell>
          <cell r="BX737">
            <v>2.3334500058336252E-4</v>
          </cell>
          <cell r="CB737">
            <v>2.3334500058336252E-4</v>
          </cell>
          <cell r="CE737" t="str">
            <v>10LOCAL</v>
          </cell>
          <cell r="CF737" t="str">
            <v>10LOCAL</v>
          </cell>
          <cell r="CG737" t="str">
            <v>10LOCAL</v>
          </cell>
        </row>
        <row r="738">
          <cell r="O738">
            <v>10</v>
          </cell>
          <cell r="AN738">
            <v>1.324999994965</v>
          </cell>
          <cell r="AO738">
            <v>1.324999994965</v>
          </cell>
          <cell r="AP738">
            <v>1.324999994965</v>
          </cell>
          <cell r="AZ738">
            <v>1.4312499999999999</v>
          </cell>
          <cell r="BT738">
            <v>2.3334500058336252E-4</v>
          </cell>
          <cell r="BX738">
            <v>2.3334500058336252E-4</v>
          </cell>
          <cell r="CB738">
            <v>2.3334500058336252E-4</v>
          </cell>
          <cell r="CE738" t="str">
            <v>10LOCAL</v>
          </cell>
          <cell r="CF738" t="str">
            <v>10LOCAL</v>
          </cell>
          <cell r="CG738" t="str">
            <v>10LOCAL</v>
          </cell>
        </row>
        <row r="739">
          <cell r="O739">
            <v>10</v>
          </cell>
          <cell r="AN739">
            <v>1.0493999960122802</v>
          </cell>
          <cell r="AO739">
            <v>1.0493999960122802</v>
          </cell>
          <cell r="AP739">
            <v>1.0493999960122802</v>
          </cell>
          <cell r="AZ739">
            <v>1.1335500000000001</v>
          </cell>
          <cell r="BT739">
            <v>1.0493999960122802</v>
          </cell>
          <cell r="BX739">
            <v>1.0493999960122802</v>
          </cell>
          <cell r="CB739">
            <v>1.0493999960122802</v>
          </cell>
          <cell r="CE739" t="str">
            <v>10EU</v>
          </cell>
          <cell r="CF739" t="str">
            <v>10EU</v>
          </cell>
          <cell r="CG739" t="str">
            <v>10EU</v>
          </cell>
        </row>
        <row r="740">
          <cell r="O740">
            <v>10</v>
          </cell>
          <cell r="AN740">
            <v>0.75259999714012005</v>
          </cell>
          <cell r="AO740">
            <v>0</v>
          </cell>
          <cell r="AP740">
            <v>0.75259999714012005</v>
          </cell>
          <cell r="AZ740">
            <v>0</v>
          </cell>
          <cell r="BT740">
            <v>0.75259999714012005</v>
          </cell>
          <cell r="BX740">
            <v>0</v>
          </cell>
          <cell r="CB740">
            <v>0.75259999714012005</v>
          </cell>
          <cell r="CE740" t="str">
            <v>10EU</v>
          </cell>
          <cell r="CF740" t="str">
            <v>10EU</v>
          </cell>
          <cell r="CG740" t="str">
            <v>10EU</v>
          </cell>
        </row>
        <row r="741">
          <cell r="O741">
            <v>10</v>
          </cell>
          <cell r="AN741">
            <v>0.84799999677760018</v>
          </cell>
          <cell r="AO741">
            <v>0</v>
          </cell>
          <cell r="AP741">
            <v>0.84799999677760018</v>
          </cell>
          <cell r="AZ741">
            <v>0</v>
          </cell>
          <cell r="BT741">
            <v>0.84799999677760018</v>
          </cell>
          <cell r="BX741">
            <v>0</v>
          </cell>
          <cell r="CB741">
            <v>0.84799999677760018</v>
          </cell>
          <cell r="CE741" t="str">
            <v>10EU</v>
          </cell>
          <cell r="CF741" t="str">
            <v>10EU</v>
          </cell>
          <cell r="CG741" t="str">
            <v>10EU</v>
          </cell>
        </row>
        <row r="742">
          <cell r="O742">
            <v>10</v>
          </cell>
          <cell r="AN742">
            <v>1.2719999951664001</v>
          </cell>
          <cell r="AO742">
            <v>0</v>
          </cell>
          <cell r="AP742">
            <v>0</v>
          </cell>
          <cell r="AZ742">
            <v>0</v>
          </cell>
          <cell r="BT742">
            <v>1.2719999951664001</v>
          </cell>
          <cell r="BX742">
            <v>0</v>
          </cell>
          <cell r="CB742">
            <v>0</v>
          </cell>
          <cell r="CE742" t="str">
            <v>10EU</v>
          </cell>
          <cell r="CF742" t="str">
            <v>10EU</v>
          </cell>
          <cell r="CG742" t="str">
            <v>10EU</v>
          </cell>
        </row>
        <row r="743">
          <cell r="O743">
            <v>10</v>
          </cell>
          <cell r="AN743">
            <v>0</v>
          </cell>
          <cell r="AO743">
            <v>0</v>
          </cell>
          <cell r="AP743">
            <v>1.2719999951664001</v>
          </cell>
          <cell r="AZ743">
            <v>0</v>
          </cell>
          <cell r="BT743">
            <v>0</v>
          </cell>
          <cell r="BX743">
            <v>0</v>
          </cell>
          <cell r="CB743">
            <v>1.2719999951664001</v>
          </cell>
          <cell r="CE743" t="str">
            <v>10EU</v>
          </cell>
          <cell r="CF743" t="str">
            <v>10EU</v>
          </cell>
          <cell r="CG743" t="str">
            <v>10EU</v>
          </cell>
        </row>
        <row r="744">
          <cell r="O744">
            <v>10</v>
          </cell>
          <cell r="AN744">
            <v>0</v>
          </cell>
          <cell r="AO744">
            <v>0</v>
          </cell>
          <cell r="AP744">
            <v>1.2719999951664001</v>
          </cell>
          <cell r="AZ744">
            <v>0</v>
          </cell>
          <cell r="BT744">
            <v>0</v>
          </cell>
          <cell r="BX744">
            <v>0</v>
          </cell>
          <cell r="CB744">
            <v>1.2719999951664001</v>
          </cell>
          <cell r="CE744" t="str">
            <v>10EU</v>
          </cell>
          <cell r="CF744" t="str">
            <v>10EU</v>
          </cell>
          <cell r="CG744" t="str">
            <v>10EU</v>
          </cell>
        </row>
        <row r="745">
          <cell r="O745">
            <v>10</v>
          </cell>
          <cell r="AN745">
            <v>1.2719999951664001</v>
          </cell>
          <cell r="AO745">
            <v>0</v>
          </cell>
          <cell r="AP745">
            <v>0</v>
          </cell>
          <cell r="AZ745">
            <v>0</v>
          </cell>
          <cell r="BT745">
            <v>1.2719999951664001</v>
          </cell>
          <cell r="BX745">
            <v>0</v>
          </cell>
          <cell r="CB745">
            <v>0</v>
          </cell>
          <cell r="CE745" t="str">
            <v>10EU</v>
          </cell>
          <cell r="CF745" t="str">
            <v>10EU</v>
          </cell>
          <cell r="CG745" t="str">
            <v>10EU</v>
          </cell>
        </row>
        <row r="746">
          <cell r="O746">
            <v>10</v>
          </cell>
          <cell r="AN746">
            <v>0</v>
          </cell>
          <cell r="AO746">
            <v>0</v>
          </cell>
          <cell r="AP746">
            <v>0</v>
          </cell>
          <cell r="AZ746">
            <v>0</v>
          </cell>
          <cell r="BT746">
            <v>0</v>
          </cell>
          <cell r="BX746">
            <v>0</v>
          </cell>
          <cell r="CB746">
            <v>0</v>
          </cell>
          <cell r="CE746" t="str">
            <v>10EU</v>
          </cell>
          <cell r="CF746" t="str">
            <v>10EU</v>
          </cell>
          <cell r="CG746" t="str">
            <v>10EU</v>
          </cell>
        </row>
        <row r="747">
          <cell r="O747">
            <v>10</v>
          </cell>
          <cell r="AN747">
            <v>0.50879999806656007</v>
          </cell>
          <cell r="AO747">
            <v>0.50879999806656007</v>
          </cell>
          <cell r="AP747">
            <v>0.50879999806656007</v>
          </cell>
          <cell r="AZ747">
            <v>0.54959999999999998</v>
          </cell>
          <cell r="BT747">
            <v>2.3334500058336252E-4</v>
          </cell>
          <cell r="BX747">
            <v>2.3334500058336252E-4</v>
          </cell>
          <cell r="CB747">
            <v>2.3334500058336252E-4</v>
          </cell>
          <cell r="CE747" t="str">
            <v>10LOCAL</v>
          </cell>
          <cell r="CF747" t="str">
            <v>10LOCAL</v>
          </cell>
          <cell r="CG747" t="str">
            <v>10LOCAL</v>
          </cell>
        </row>
        <row r="748">
          <cell r="O748">
            <v>10</v>
          </cell>
          <cell r="AN748">
            <v>0.50879999806656007</v>
          </cell>
          <cell r="AO748">
            <v>0.50879999806656007</v>
          </cell>
          <cell r="AP748">
            <v>0.50879999806656007</v>
          </cell>
          <cell r="AZ748">
            <v>0.54959999999999998</v>
          </cell>
          <cell r="BT748">
            <v>2.3334500058336252E-4</v>
          </cell>
          <cell r="BX748">
            <v>2.3334500058336252E-4</v>
          </cell>
          <cell r="CB748">
            <v>2.3334500058336252E-4</v>
          </cell>
          <cell r="CE748" t="str">
            <v>10LOCAL</v>
          </cell>
          <cell r="CF748" t="str">
            <v>10LOCAL</v>
          </cell>
          <cell r="CG748" t="str">
            <v>10LOCAL</v>
          </cell>
        </row>
        <row r="749">
          <cell r="O749">
            <v>10</v>
          </cell>
          <cell r="AN749">
            <v>6.22</v>
          </cell>
          <cell r="AO749">
            <v>6.22</v>
          </cell>
          <cell r="AP749">
            <v>0</v>
          </cell>
          <cell r="AZ749">
            <v>6.22</v>
          </cell>
          <cell r="BT749">
            <v>6.6199999999999992</v>
          </cell>
          <cell r="BX749">
            <v>6.6199999999999992</v>
          </cell>
          <cell r="CB749">
            <v>0</v>
          </cell>
          <cell r="CE749" t="str">
            <v>10LOCAL</v>
          </cell>
          <cell r="CF749" t="str">
            <v>10LOCAL</v>
          </cell>
          <cell r="CG749" t="str">
            <v>10LOCAL</v>
          </cell>
        </row>
        <row r="750">
          <cell r="O750">
            <v>10</v>
          </cell>
          <cell r="AN750">
            <v>16.779799936236763</v>
          </cell>
          <cell r="AO750">
            <v>0</v>
          </cell>
          <cell r="AP750">
            <v>0</v>
          </cell>
          <cell r="AZ750">
            <v>0</v>
          </cell>
          <cell r="BT750">
            <v>19.149999999999999</v>
          </cell>
          <cell r="BX750">
            <v>0</v>
          </cell>
          <cell r="CB750">
            <v>0</v>
          </cell>
          <cell r="CE750" t="str">
            <v>10LOCAL</v>
          </cell>
          <cell r="CF750" t="str">
            <v>10LOCAL</v>
          </cell>
          <cell r="CG750" t="str">
            <v>10LOCAL</v>
          </cell>
        </row>
        <row r="751">
          <cell r="O751">
            <v>10</v>
          </cell>
          <cell r="AN751">
            <v>0</v>
          </cell>
          <cell r="AO751">
            <v>16.811599936115922</v>
          </cell>
          <cell r="AP751">
            <v>16.811599936115922</v>
          </cell>
          <cell r="AZ751">
            <v>18.159700000000001</v>
          </cell>
          <cell r="BT751">
            <v>0</v>
          </cell>
          <cell r="BX751">
            <v>19.149999999999999</v>
          </cell>
          <cell r="CB751">
            <v>19.149999999999999</v>
          </cell>
          <cell r="CE751" t="str">
            <v>10LOCAL</v>
          </cell>
          <cell r="CF751" t="str">
            <v>10LOCAL</v>
          </cell>
          <cell r="CG751" t="str">
            <v>10LOCAL</v>
          </cell>
        </row>
        <row r="752">
          <cell r="O752">
            <v>10</v>
          </cell>
          <cell r="AN752">
            <v>12.327799953154363</v>
          </cell>
          <cell r="AO752">
            <v>0</v>
          </cell>
          <cell r="AP752">
            <v>0</v>
          </cell>
          <cell r="AZ752">
            <v>0</v>
          </cell>
          <cell r="BT752">
            <v>15.130000000000003</v>
          </cell>
          <cell r="BX752">
            <v>0</v>
          </cell>
          <cell r="CB752">
            <v>0</v>
          </cell>
          <cell r="CE752" t="str">
            <v>10LOCAL</v>
          </cell>
          <cell r="CF752" t="str">
            <v>10LOCAL</v>
          </cell>
          <cell r="CG752" t="str">
            <v>10LOCAL</v>
          </cell>
        </row>
        <row r="753">
          <cell r="O753">
            <v>10</v>
          </cell>
          <cell r="AN753">
            <v>0</v>
          </cell>
          <cell r="AO753">
            <v>12.327799953154363</v>
          </cell>
          <cell r="AP753">
            <v>12.327799953154363</v>
          </cell>
          <cell r="AZ753">
            <v>13.316350000000002</v>
          </cell>
          <cell r="BT753">
            <v>0</v>
          </cell>
          <cell r="BX753">
            <v>15.130000000000003</v>
          </cell>
          <cell r="CB753">
            <v>15.130000000000003</v>
          </cell>
          <cell r="CE753" t="str">
            <v>10LOCAL</v>
          </cell>
          <cell r="CF753" t="str">
            <v>10LOCAL</v>
          </cell>
          <cell r="CG753" t="str">
            <v>10LOCAL</v>
          </cell>
        </row>
        <row r="754">
          <cell r="O754">
            <v>10</v>
          </cell>
          <cell r="AN754">
            <v>0</v>
          </cell>
          <cell r="AO754">
            <v>89.69719965915067</v>
          </cell>
          <cell r="AP754">
            <v>0</v>
          </cell>
          <cell r="AZ754">
            <v>96.889900000000011</v>
          </cell>
          <cell r="BT754">
            <v>0</v>
          </cell>
          <cell r="BX754">
            <v>83.59</v>
          </cell>
          <cell r="CB754">
            <v>0</v>
          </cell>
          <cell r="CE754" t="str">
            <v>10EU</v>
          </cell>
          <cell r="CF754" t="str">
            <v>10LOCAL</v>
          </cell>
          <cell r="CG754" t="str">
            <v>10EU</v>
          </cell>
        </row>
        <row r="755">
          <cell r="O755">
            <v>10</v>
          </cell>
          <cell r="AN755">
            <v>0</v>
          </cell>
          <cell r="AO755">
            <v>0</v>
          </cell>
          <cell r="AP755">
            <v>89.834999658627012</v>
          </cell>
          <cell r="AZ755">
            <v>0</v>
          </cell>
          <cell r="BT755">
            <v>0</v>
          </cell>
          <cell r="BX755">
            <v>0</v>
          </cell>
          <cell r="CB755">
            <v>96.100000000000009</v>
          </cell>
          <cell r="CE755" t="str">
            <v>10EU</v>
          </cell>
          <cell r="CF755" t="str">
            <v>10EU</v>
          </cell>
          <cell r="CG755" t="str">
            <v>10LOCAL</v>
          </cell>
        </row>
        <row r="756">
          <cell r="O756">
            <v>10</v>
          </cell>
          <cell r="AN756">
            <v>145.15639944840566</v>
          </cell>
          <cell r="AO756">
            <v>0</v>
          </cell>
          <cell r="AP756">
            <v>0</v>
          </cell>
          <cell r="AZ756">
            <v>0</v>
          </cell>
          <cell r="BT756">
            <v>147.72</v>
          </cell>
          <cell r="BX756">
            <v>0</v>
          </cell>
          <cell r="CB756">
            <v>0</v>
          </cell>
          <cell r="CE756" t="str">
            <v>10LOCAL</v>
          </cell>
          <cell r="CF756" t="str">
            <v>10EU</v>
          </cell>
          <cell r="CG756" t="str">
            <v>10EU</v>
          </cell>
        </row>
        <row r="757">
          <cell r="O757">
            <v>10</v>
          </cell>
          <cell r="AN757">
            <v>0</v>
          </cell>
          <cell r="AO757">
            <v>113.19739956984989</v>
          </cell>
          <cell r="AP757">
            <v>0</v>
          </cell>
          <cell r="AZ757">
            <v>122.27455</v>
          </cell>
          <cell r="BT757">
            <v>0</v>
          </cell>
          <cell r="BX757">
            <v>113.19739956984989</v>
          </cell>
          <cell r="CB757">
            <v>0</v>
          </cell>
          <cell r="CE757" t="str">
            <v>10EU</v>
          </cell>
          <cell r="CF757" t="str">
            <v>10EU</v>
          </cell>
          <cell r="CG757" t="str">
            <v>10EU</v>
          </cell>
        </row>
        <row r="758">
          <cell r="O758">
            <v>10</v>
          </cell>
          <cell r="AN758">
            <v>112.76279957150138</v>
          </cell>
          <cell r="AO758">
            <v>0</v>
          </cell>
          <cell r="AP758">
            <v>112.76279957150138</v>
          </cell>
          <cell r="AZ758">
            <v>0</v>
          </cell>
          <cell r="BT758">
            <v>112.76279957150138</v>
          </cell>
          <cell r="BX758">
            <v>0</v>
          </cell>
          <cell r="CB758">
            <v>112.76279957150138</v>
          </cell>
          <cell r="CE758" t="str">
            <v>10EU</v>
          </cell>
          <cell r="CF758" t="str">
            <v>10EU</v>
          </cell>
          <cell r="CG758" t="str">
            <v>10EU</v>
          </cell>
        </row>
        <row r="759">
          <cell r="O759">
            <v>10</v>
          </cell>
          <cell r="AN759">
            <v>12.931999950858401</v>
          </cell>
          <cell r="AO759">
            <v>0</v>
          </cell>
          <cell r="AP759">
            <v>12.931999950858401</v>
          </cell>
          <cell r="AZ759">
            <v>0</v>
          </cell>
          <cell r="BT759">
            <v>12.931999950858401</v>
          </cell>
          <cell r="BX759">
            <v>0</v>
          </cell>
          <cell r="CB759">
            <v>12.931999950858401</v>
          </cell>
          <cell r="CE759" t="str">
            <v>10EU</v>
          </cell>
          <cell r="CF759" t="str">
            <v>10EU</v>
          </cell>
          <cell r="CG759" t="str">
            <v>10EU</v>
          </cell>
        </row>
        <row r="760">
          <cell r="O760">
            <v>10</v>
          </cell>
          <cell r="AN760">
            <v>0</v>
          </cell>
          <cell r="AO760">
            <v>12.931999950858401</v>
          </cell>
          <cell r="AP760">
            <v>0</v>
          </cell>
          <cell r="AZ760">
            <v>13.968999999999999</v>
          </cell>
          <cell r="BT760">
            <v>0</v>
          </cell>
          <cell r="BX760">
            <v>12.931999950858401</v>
          </cell>
          <cell r="CB760">
            <v>0</v>
          </cell>
          <cell r="CE760" t="str">
            <v>10EU</v>
          </cell>
          <cell r="CF760" t="str">
            <v>10EU</v>
          </cell>
          <cell r="CG760" t="str">
            <v>10EU</v>
          </cell>
        </row>
        <row r="761">
          <cell r="O761">
            <v>10</v>
          </cell>
          <cell r="AN761">
            <v>4.7063999821156806</v>
          </cell>
          <cell r="AO761">
            <v>0</v>
          </cell>
          <cell r="AP761">
            <v>4.7063999821156806</v>
          </cell>
          <cell r="AZ761">
            <v>0</v>
          </cell>
          <cell r="BT761">
            <v>9.2799999999999994</v>
          </cell>
          <cell r="BX761">
            <v>0</v>
          </cell>
          <cell r="CB761">
            <v>9.2799999999999994</v>
          </cell>
          <cell r="CE761" t="str">
            <v>10LOCAL</v>
          </cell>
          <cell r="CF761" t="str">
            <v>10LOCAL</v>
          </cell>
          <cell r="CG761" t="str">
            <v>10LOCAL</v>
          </cell>
        </row>
        <row r="762">
          <cell r="O762">
            <v>10</v>
          </cell>
          <cell r="AN762">
            <v>0</v>
          </cell>
          <cell r="AO762">
            <v>5.3211999797794407</v>
          </cell>
          <cell r="AP762">
            <v>0</v>
          </cell>
          <cell r="AZ762">
            <v>5.7478999999999996</v>
          </cell>
          <cell r="BT762">
            <v>0</v>
          </cell>
          <cell r="BX762">
            <v>9.2799999999999994</v>
          </cell>
          <cell r="CB762">
            <v>0</v>
          </cell>
          <cell r="CE762" t="str">
            <v>10LOCAL</v>
          </cell>
          <cell r="CF762" t="str">
            <v>10LOCAL</v>
          </cell>
          <cell r="CG762" t="str">
            <v>10LOCAL</v>
          </cell>
        </row>
        <row r="763">
          <cell r="O763">
            <v>10</v>
          </cell>
          <cell r="AN763">
            <v>9.8579999625396013</v>
          </cell>
          <cell r="AO763">
            <v>0</v>
          </cell>
          <cell r="AP763">
            <v>9.8579999625396013</v>
          </cell>
          <cell r="AZ763">
            <v>0</v>
          </cell>
          <cell r="BT763">
            <v>8.94</v>
          </cell>
          <cell r="BX763">
            <v>0</v>
          </cell>
          <cell r="CB763">
            <v>8.94</v>
          </cell>
          <cell r="CE763" t="str">
            <v>10LOCAL</v>
          </cell>
          <cell r="CF763" t="str">
            <v>10LOCAL</v>
          </cell>
          <cell r="CG763" t="str">
            <v>10LOCAL</v>
          </cell>
        </row>
        <row r="764">
          <cell r="O764">
            <v>10</v>
          </cell>
          <cell r="AN764">
            <v>0</v>
          </cell>
          <cell r="AO764">
            <v>9.3597999644327619</v>
          </cell>
          <cell r="AP764">
            <v>0</v>
          </cell>
          <cell r="AZ764">
            <v>10.11035</v>
          </cell>
          <cell r="BT764">
            <v>0</v>
          </cell>
          <cell r="BX764">
            <v>8.94</v>
          </cell>
          <cell r="CB764">
            <v>0</v>
          </cell>
          <cell r="CE764" t="str">
            <v>10LOCAL</v>
          </cell>
          <cell r="CF764" t="str">
            <v>10LOCAL</v>
          </cell>
          <cell r="CG764" t="str">
            <v>10LOCAL</v>
          </cell>
        </row>
        <row r="765">
          <cell r="O765">
            <v>10</v>
          </cell>
          <cell r="AN765">
            <v>2.9679999887216004</v>
          </cell>
          <cell r="AO765">
            <v>0</v>
          </cell>
          <cell r="AP765">
            <v>2.9679999887216004</v>
          </cell>
          <cell r="AZ765">
            <v>0</v>
          </cell>
          <cell r="BT765">
            <v>2.00339999238708</v>
          </cell>
          <cell r="BX765">
            <v>0</v>
          </cell>
          <cell r="CB765">
            <v>2.00339999238708</v>
          </cell>
          <cell r="CE765" t="str">
            <v>10LOCAL</v>
          </cell>
          <cell r="CF765" t="str">
            <v>10LOCAL</v>
          </cell>
          <cell r="CG765" t="str">
            <v>10LOCAL</v>
          </cell>
        </row>
        <row r="766">
          <cell r="O766">
            <v>10</v>
          </cell>
          <cell r="AN766">
            <v>32.806999875333403</v>
          </cell>
          <cell r="AO766">
            <v>32.806999875333403</v>
          </cell>
          <cell r="AP766">
            <v>32.806999875333403</v>
          </cell>
          <cell r="AZ766">
            <v>35.437750000000001</v>
          </cell>
          <cell r="BT766">
            <v>30.117139190292853</v>
          </cell>
          <cell r="BX766">
            <v>30.117139190292853</v>
          </cell>
          <cell r="CB766">
            <v>30.117139190292853</v>
          </cell>
          <cell r="CE766" t="str">
            <v>10LOCAL</v>
          </cell>
          <cell r="CF766" t="str">
            <v>10LOCAL</v>
          </cell>
          <cell r="CG766" t="str">
            <v>10LOCAL</v>
          </cell>
        </row>
        <row r="767">
          <cell r="O767">
            <v>10</v>
          </cell>
          <cell r="AN767">
            <v>1.324999994965</v>
          </cell>
          <cell r="AO767">
            <v>1.324999994965</v>
          </cell>
          <cell r="AP767">
            <v>0</v>
          </cell>
          <cell r="AZ767">
            <v>1.4312499999999999</v>
          </cell>
          <cell r="BT767">
            <v>4.6669000116672505E-4</v>
          </cell>
          <cell r="BX767">
            <v>4.6669000116672505E-4</v>
          </cell>
          <cell r="CB767">
            <v>0</v>
          </cell>
          <cell r="CE767" t="str">
            <v>10LOCAL</v>
          </cell>
          <cell r="CF767" t="str">
            <v>10LOCAL</v>
          </cell>
          <cell r="CG767" t="str">
            <v>10LOCAL</v>
          </cell>
        </row>
        <row r="768">
          <cell r="O768">
            <v>10</v>
          </cell>
          <cell r="AN768">
            <v>0.90099999657620011</v>
          </cell>
          <cell r="AO768">
            <v>0</v>
          </cell>
          <cell r="AP768">
            <v>0</v>
          </cell>
          <cell r="AZ768">
            <v>0</v>
          </cell>
          <cell r="BT768">
            <v>2.3334500058336252E-4</v>
          </cell>
          <cell r="BX768">
            <v>0</v>
          </cell>
          <cell r="CB768">
            <v>0</v>
          </cell>
          <cell r="CE768" t="str">
            <v>10LOCAL</v>
          </cell>
          <cell r="CF768" t="str">
            <v>10LOCAL</v>
          </cell>
          <cell r="CG768" t="str">
            <v>10LOCAL</v>
          </cell>
        </row>
        <row r="769">
          <cell r="O769">
            <v>10</v>
          </cell>
          <cell r="AN769">
            <v>0</v>
          </cell>
          <cell r="AO769">
            <v>1.0387999960525602</v>
          </cell>
          <cell r="AP769">
            <v>1.0387999960525602</v>
          </cell>
          <cell r="AZ769">
            <v>1.1221000000000001</v>
          </cell>
          <cell r="BT769">
            <v>0</v>
          </cell>
          <cell r="BX769">
            <v>2.3334500058336252E-4</v>
          </cell>
          <cell r="CB769">
            <v>2.3334500058336252E-4</v>
          </cell>
          <cell r="CE769" t="str">
            <v>10LOCAL</v>
          </cell>
          <cell r="CF769" t="str">
            <v>10LOCAL</v>
          </cell>
          <cell r="CG769" t="str">
            <v>10LOCAL</v>
          </cell>
        </row>
        <row r="770">
          <cell r="O770">
            <v>10</v>
          </cell>
          <cell r="AN770">
            <v>0.59359999774432015</v>
          </cell>
          <cell r="AO770">
            <v>0.59359999774432015</v>
          </cell>
          <cell r="AP770">
            <v>0.59359999774432015</v>
          </cell>
          <cell r="AZ770">
            <v>0.6412000000000001</v>
          </cell>
          <cell r="BT770">
            <v>2.3334500058336252E-4</v>
          </cell>
          <cell r="BX770">
            <v>2.3334500058336252E-4</v>
          </cell>
          <cell r="CB770">
            <v>2.3334500058336252E-4</v>
          </cell>
          <cell r="CE770" t="str">
            <v>10LOCAL</v>
          </cell>
          <cell r="CF770" t="str">
            <v>10LOCAL</v>
          </cell>
          <cell r="CG770" t="str">
            <v>10LOCAL</v>
          </cell>
        </row>
        <row r="771">
          <cell r="O771">
            <v>10</v>
          </cell>
          <cell r="AN771">
            <v>0.59359999774432015</v>
          </cell>
          <cell r="AO771">
            <v>0.59359999774432015</v>
          </cell>
          <cell r="AP771">
            <v>0.59359999774432015</v>
          </cell>
          <cell r="AZ771">
            <v>0.6412000000000001</v>
          </cell>
          <cell r="BT771">
            <v>2.3334500058336252E-4</v>
          </cell>
          <cell r="BX771">
            <v>2.3334500058336252E-4</v>
          </cell>
          <cell r="CB771">
            <v>2.3334500058336252E-4</v>
          </cell>
          <cell r="CE771" t="str">
            <v>10LOCAL</v>
          </cell>
          <cell r="CF771" t="str">
            <v>10LOCAL</v>
          </cell>
          <cell r="CG771" t="str">
            <v>10LOCAL</v>
          </cell>
        </row>
        <row r="772">
          <cell r="O772">
            <v>10</v>
          </cell>
          <cell r="AN772">
            <v>2.9785999886813204</v>
          </cell>
          <cell r="AO772">
            <v>2.9785999886813204</v>
          </cell>
          <cell r="AP772">
            <v>2.9785999886813204</v>
          </cell>
          <cell r="AZ772">
            <v>3.2174499999999999</v>
          </cell>
          <cell r="BT772">
            <v>3.0229430000000002</v>
          </cell>
          <cell r="BX772">
            <v>3.595180110544038</v>
          </cell>
          <cell r="CB772">
            <v>2.9785999886813204</v>
          </cell>
          <cell r="CE772" t="str">
            <v>10LOCAL</v>
          </cell>
          <cell r="CF772" t="str">
            <v>10LOCAL</v>
          </cell>
          <cell r="CG772" t="str">
            <v>10EU</v>
          </cell>
        </row>
        <row r="773">
          <cell r="O773">
            <v>10</v>
          </cell>
          <cell r="AN773">
            <v>14.812227017949347</v>
          </cell>
          <cell r="AO773">
            <v>0</v>
          </cell>
          <cell r="AP773">
            <v>14.812227017949347</v>
          </cell>
          <cell r="AZ773">
            <v>0</v>
          </cell>
          <cell r="BT773">
            <v>14.812227017949347</v>
          </cell>
          <cell r="BX773">
            <v>0</v>
          </cell>
          <cell r="CB773">
            <v>14.812227017949347</v>
          </cell>
          <cell r="CE773" t="str">
            <v>10EU</v>
          </cell>
          <cell r="CF773" t="str">
            <v>10EU</v>
          </cell>
          <cell r="CG773" t="str">
            <v>10EU</v>
          </cell>
        </row>
        <row r="774">
          <cell r="O774">
            <v>10</v>
          </cell>
          <cell r="AN774">
            <v>0</v>
          </cell>
          <cell r="AO774">
            <v>0</v>
          </cell>
          <cell r="AP774">
            <v>0</v>
          </cell>
          <cell r="AZ774">
            <v>0</v>
          </cell>
          <cell r="BT774">
            <v>0</v>
          </cell>
          <cell r="BX774">
            <v>0</v>
          </cell>
          <cell r="CB774">
            <v>0</v>
          </cell>
          <cell r="CE774" t="str">
            <v>10LOCAL</v>
          </cell>
          <cell r="CF774" t="str">
            <v>10LOCAL</v>
          </cell>
          <cell r="CG774" t="str">
            <v>10LOCAL</v>
          </cell>
        </row>
        <row r="775">
          <cell r="O775">
            <v>10</v>
          </cell>
          <cell r="AN775">
            <v>0</v>
          </cell>
          <cell r="AO775">
            <v>0</v>
          </cell>
          <cell r="AP775">
            <v>0</v>
          </cell>
          <cell r="AZ775">
            <v>0</v>
          </cell>
          <cell r="BT775">
            <v>-8.17</v>
          </cell>
          <cell r="BX775">
            <v>-8.17</v>
          </cell>
          <cell r="CB775">
            <v>-8.17</v>
          </cell>
          <cell r="CE775" t="str">
            <v>10LOCAL</v>
          </cell>
          <cell r="CF775" t="str">
            <v>10LOCAL</v>
          </cell>
          <cell r="CG775" t="str">
            <v>10LOCAL</v>
          </cell>
        </row>
        <row r="776">
          <cell r="O776">
            <v>10</v>
          </cell>
          <cell r="AN776">
            <v>8.9463999660036819E-2</v>
          </cell>
          <cell r="AO776">
            <v>8.9463999660036819E-2</v>
          </cell>
          <cell r="AP776">
            <v>8.9463999660036819E-2</v>
          </cell>
          <cell r="AZ776">
            <v>9.6638000000000002E-2</v>
          </cell>
          <cell r="BT776">
            <v>8.9463999660036819E-2</v>
          </cell>
          <cell r="BX776">
            <v>8.9463999660036819E-2</v>
          </cell>
          <cell r="CB776">
            <v>8.9463999660036819E-2</v>
          </cell>
          <cell r="CE776" t="str">
            <v>10EU</v>
          </cell>
          <cell r="CF776" t="str">
            <v>10EU</v>
          </cell>
          <cell r="CG776" t="str">
            <v>10EU</v>
          </cell>
        </row>
        <row r="777">
          <cell r="O777">
            <v>10</v>
          </cell>
          <cell r="AN777">
            <v>4.8865999814309211E-2</v>
          </cell>
          <cell r="AO777">
            <v>4.8865999814309211E-2</v>
          </cell>
          <cell r="AP777">
            <v>4.8865999814309211E-2</v>
          </cell>
          <cell r="AZ777">
            <v>5.2784500000000005E-2</v>
          </cell>
          <cell r="BT777">
            <v>4.8865999814309211E-2</v>
          </cell>
          <cell r="BX777">
            <v>4.8865999814309211E-2</v>
          </cell>
          <cell r="CB777">
            <v>4.8865999814309211E-2</v>
          </cell>
          <cell r="CE777" t="str">
            <v>10EU</v>
          </cell>
          <cell r="CF777" t="str">
            <v>10EU</v>
          </cell>
          <cell r="CG777" t="str">
            <v>10EU</v>
          </cell>
        </row>
        <row r="778">
          <cell r="O778">
            <v>10</v>
          </cell>
          <cell r="AN778">
            <v>0.11685439955595329</v>
          </cell>
          <cell r="AO778">
            <v>0.11685439955595329</v>
          </cell>
          <cell r="AP778">
            <v>0.11685439955595329</v>
          </cell>
          <cell r="AZ778">
            <v>0.1262248</v>
          </cell>
          <cell r="BT778">
            <v>0.11685439955595329</v>
          </cell>
          <cell r="BX778">
            <v>0.11685439955595329</v>
          </cell>
          <cell r="CB778">
            <v>0.11685439955595329</v>
          </cell>
          <cell r="CE778" t="str">
            <v>10EU</v>
          </cell>
          <cell r="CF778" t="str">
            <v>10EU</v>
          </cell>
          <cell r="CG778" t="str">
            <v>10EU</v>
          </cell>
        </row>
        <row r="779">
          <cell r="O779">
            <v>10</v>
          </cell>
          <cell r="AN779">
            <v>2.9213599888988324E-2</v>
          </cell>
          <cell r="AO779">
            <v>2.9213599888988324E-2</v>
          </cell>
          <cell r="AP779">
            <v>2.9213599888988324E-2</v>
          </cell>
          <cell r="AZ779">
            <v>3.15562E-2</v>
          </cell>
          <cell r="BT779">
            <v>2.9213599888988324E-2</v>
          </cell>
          <cell r="BX779">
            <v>2.9213599888988324E-2</v>
          </cell>
          <cell r="CB779">
            <v>2.9213599888988324E-2</v>
          </cell>
          <cell r="CE779" t="str">
            <v>10EU</v>
          </cell>
          <cell r="CF779" t="str">
            <v>10EU</v>
          </cell>
          <cell r="CG779" t="str">
            <v>10EU</v>
          </cell>
        </row>
        <row r="780">
          <cell r="O780">
            <v>10</v>
          </cell>
          <cell r="AN780">
            <v>0.22514399914445282</v>
          </cell>
          <cell r="AO780">
            <v>0.22514399914445282</v>
          </cell>
          <cell r="AP780">
            <v>0.22514399914445282</v>
          </cell>
          <cell r="AZ780">
            <v>0.243198</v>
          </cell>
          <cell r="BT780">
            <v>0.22514399914445282</v>
          </cell>
          <cell r="BX780">
            <v>0.22514399914445282</v>
          </cell>
          <cell r="CB780">
            <v>0.22514399914445282</v>
          </cell>
          <cell r="CE780" t="str">
            <v>10EU</v>
          </cell>
          <cell r="CF780" t="str">
            <v>10EU</v>
          </cell>
          <cell r="CG780" t="str">
            <v>10EU</v>
          </cell>
        </row>
        <row r="781">
          <cell r="O781">
            <v>10</v>
          </cell>
          <cell r="AN781">
            <v>0.28483259891763618</v>
          </cell>
          <cell r="AO781">
            <v>0.28483259891763618</v>
          </cell>
          <cell r="AP781">
            <v>0.28483259891763618</v>
          </cell>
          <cell r="AZ781">
            <v>0.30767295</v>
          </cell>
          <cell r="BT781">
            <v>0.28483259891763618</v>
          </cell>
          <cell r="BX781">
            <v>0.28483259891763618</v>
          </cell>
          <cell r="CB781">
            <v>0.28483259891763618</v>
          </cell>
          <cell r="CE781" t="str">
            <v>10EU</v>
          </cell>
          <cell r="CF781" t="str">
            <v>10EU</v>
          </cell>
          <cell r="CG781" t="str">
            <v>10EU</v>
          </cell>
        </row>
        <row r="782">
          <cell r="O782">
            <v>10</v>
          </cell>
          <cell r="AN782">
            <v>4.473199983001841E-2</v>
          </cell>
          <cell r="AO782">
            <v>0</v>
          </cell>
          <cell r="AP782">
            <v>4.473199983001841E-2</v>
          </cell>
          <cell r="AZ782">
            <v>0</v>
          </cell>
          <cell r="BT782">
            <v>4.473199983001841E-2</v>
          </cell>
          <cell r="BX782">
            <v>0</v>
          </cell>
          <cell r="CB782">
            <v>4.473199983001841E-2</v>
          </cell>
          <cell r="CE782" t="str">
            <v>10EU</v>
          </cell>
          <cell r="CF782" t="str">
            <v>10EU</v>
          </cell>
          <cell r="CG782" t="str">
            <v>10EU</v>
          </cell>
        </row>
        <row r="783">
          <cell r="O783">
            <v>10</v>
          </cell>
          <cell r="AN783">
            <v>0</v>
          </cell>
          <cell r="AO783">
            <v>0.17481519933570228</v>
          </cell>
          <cell r="AP783">
            <v>0</v>
          </cell>
          <cell r="AZ783">
            <v>0.18883340000000001</v>
          </cell>
          <cell r="BT783">
            <v>0</v>
          </cell>
          <cell r="BX783">
            <v>0.17481519933570228</v>
          </cell>
          <cell r="CB783">
            <v>0</v>
          </cell>
          <cell r="CE783" t="str">
            <v>10EU</v>
          </cell>
          <cell r="CF783" t="str">
            <v>10EU</v>
          </cell>
          <cell r="CG783" t="str">
            <v>10EU</v>
          </cell>
        </row>
        <row r="784">
          <cell r="O784">
            <v>10</v>
          </cell>
          <cell r="AN784">
            <v>0.22513969289678365</v>
          </cell>
          <cell r="AO784">
            <v>0.22513969289678365</v>
          </cell>
          <cell r="AP784">
            <v>0.22513969289678365</v>
          </cell>
          <cell r="AZ784">
            <v>0.24319334844000004</v>
          </cell>
          <cell r="BT784">
            <v>0.22513969289678365</v>
          </cell>
          <cell r="BX784">
            <v>0.22513969289678365</v>
          </cell>
          <cell r="CB784">
            <v>0.22513969289678365</v>
          </cell>
          <cell r="CE784" t="str">
            <v>10EU</v>
          </cell>
          <cell r="CF784" t="str">
            <v>10EU</v>
          </cell>
          <cell r="CG784" t="str">
            <v>10EU</v>
          </cell>
        </row>
        <row r="785">
          <cell r="O785">
            <v>12</v>
          </cell>
          <cell r="AN785">
            <v>0</v>
          </cell>
          <cell r="AO785">
            <v>0</v>
          </cell>
          <cell r="AP785">
            <v>0</v>
          </cell>
          <cell r="AZ785">
            <v>0</v>
          </cell>
          <cell r="BT785">
            <v>0</v>
          </cell>
          <cell r="BX785">
            <v>0</v>
          </cell>
          <cell r="CB785">
            <v>0</v>
          </cell>
          <cell r="CE785" t="str">
            <v>12EU</v>
          </cell>
          <cell r="CF785" t="str">
            <v>12EU</v>
          </cell>
          <cell r="CG785" t="str">
            <v>12EU</v>
          </cell>
        </row>
        <row r="786">
          <cell r="O786">
            <v>12</v>
          </cell>
          <cell r="AN786">
            <v>0</v>
          </cell>
          <cell r="AO786">
            <v>0</v>
          </cell>
          <cell r="AP786">
            <v>0</v>
          </cell>
          <cell r="AZ786">
            <v>0</v>
          </cell>
          <cell r="BT786">
            <v>0</v>
          </cell>
          <cell r="BX786">
            <v>0</v>
          </cell>
          <cell r="CB786">
            <v>0</v>
          </cell>
          <cell r="CE786" t="str">
            <v>12EU</v>
          </cell>
          <cell r="CF786" t="str">
            <v>12EU</v>
          </cell>
          <cell r="CG786" t="str">
            <v>12EU</v>
          </cell>
        </row>
        <row r="787">
          <cell r="O787">
            <v>12</v>
          </cell>
          <cell r="AN787">
            <v>0</v>
          </cell>
          <cell r="AO787">
            <v>0</v>
          </cell>
          <cell r="AP787">
            <v>0</v>
          </cell>
          <cell r="AZ787">
            <v>0</v>
          </cell>
          <cell r="BT787">
            <v>0</v>
          </cell>
          <cell r="BX787">
            <v>0</v>
          </cell>
          <cell r="CB787">
            <v>0</v>
          </cell>
          <cell r="CE787" t="str">
            <v>12EU</v>
          </cell>
          <cell r="CF787" t="str">
            <v>12EU</v>
          </cell>
          <cell r="CG787" t="str">
            <v>12EU</v>
          </cell>
        </row>
        <row r="788">
          <cell r="O788">
            <v>12</v>
          </cell>
          <cell r="AN788">
            <v>0</v>
          </cell>
          <cell r="AO788">
            <v>0</v>
          </cell>
          <cell r="AP788">
            <v>0</v>
          </cell>
          <cell r="AZ788">
            <v>0</v>
          </cell>
          <cell r="BT788">
            <v>0</v>
          </cell>
          <cell r="BX788">
            <v>0</v>
          </cell>
          <cell r="CB788">
            <v>0</v>
          </cell>
          <cell r="CE788" t="str">
            <v>12EU</v>
          </cell>
          <cell r="CF788" t="str">
            <v>12EU</v>
          </cell>
          <cell r="CG788" t="str">
            <v>12EU</v>
          </cell>
        </row>
        <row r="789">
          <cell r="O789">
            <v>12</v>
          </cell>
          <cell r="AN789">
            <v>0</v>
          </cell>
          <cell r="AO789">
            <v>0</v>
          </cell>
          <cell r="AP789">
            <v>0</v>
          </cell>
          <cell r="AZ789">
            <v>0</v>
          </cell>
          <cell r="BT789">
            <v>11.140836295671932</v>
          </cell>
          <cell r="BX789">
            <v>11.140836295671932</v>
          </cell>
          <cell r="CB789">
            <v>11.140836295671932</v>
          </cell>
          <cell r="CE789" t="str">
            <v>12LOCAL</v>
          </cell>
          <cell r="CF789" t="str">
            <v>12LOCAL</v>
          </cell>
          <cell r="CG789" t="str">
            <v>12LOCAL</v>
          </cell>
        </row>
        <row r="790">
          <cell r="O790">
            <v>12</v>
          </cell>
          <cell r="AN790">
            <v>9.2576418862183429E-2</v>
          </cell>
          <cell r="AO790">
            <v>9.2576418862183429E-2</v>
          </cell>
          <cell r="AP790">
            <v>9.2576418862183429E-2</v>
          </cell>
          <cell r="AZ790">
            <v>0.1</v>
          </cell>
          <cell r="BT790">
            <v>9.2576418862183429E-2</v>
          </cell>
          <cell r="BX790">
            <v>9.2576418862183429E-2</v>
          </cell>
          <cell r="CB790">
            <v>9.2576418862183429E-2</v>
          </cell>
          <cell r="CE790" t="str">
            <v>12LOCAL</v>
          </cell>
          <cell r="CF790" t="str">
            <v>12LOCAL</v>
          </cell>
          <cell r="CG790" t="str">
            <v>12LOCAL</v>
          </cell>
        </row>
        <row r="791">
          <cell r="O791">
            <v>12</v>
          </cell>
          <cell r="AN791">
            <v>0</v>
          </cell>
          <cell r="AO791">
            <v>0</v>
          </cell>
          <cell r="AP791">
            <v>0</v>
          </cell>
          <cell r="AZ791">
            <v>0</v>
          </cell>
          <cell r="BT791">
            <v>0</v>
          </cell>
          <cell r="BX791">
            <v>0</v>
          </cell>
          <cell r="CB791">
            <v>0</v>
          </cell>
          <cell r="CE791" t="str">
            <v>12LOCAL</v>
          </cell>
          <cell r="CF791" t="str">
            <v>12LOCAL</v>
          </cell>
          <cell r="CG791" t="str">
            <v>12LOCAL</v>
          </cell>
        </row>
        <row r="792">
          <cell r="O792">
            <v>12</v>
          </cell>
          <cell r="AN792">
            <v>4.712139720085136</v>
          </cell>
          <cell r="AO792">
            <v>4.712139720085136</v>
          </cell>
          <cell r="AP792">
            <v>4.712139720085136</v>
          </cell>
          <cell r="AZ792">
            <v>5.09</v>
          </cell>
          <cell r="BT792">
            <v>4.712139720085136</v>
          </cell>
          <cell r="BX792">
            <v>4.712139720085136</v>
          </cell>
          <cell r="CB792">
            <v>4.712139720085136</v>
          </cell>
          <cell r="CE792" t="str">
            <v>12LOCAL</v>
          </cell>
          <cell r="CF792" t="str">
            <v>12LOCAL</v>
          </cell>
          <cell r="CG792" t="str">
            <v>12LOCAL</v>
          </cell>
        </row>
        <row r="793">
          <cell r="O793">
            <v>12</v>
          </cell>
          <cell r="AN793">
            <v>1.4164192085914062</v>
          </cell>
          <cell r="AO793">
            <v>1.4164192085914062</v>
          </cell>
          <cell r="AP793">
            <v>1.4164192085914062</v>
          </cell>
          <cell r="AZ793">
            <v>1.53</v>
          </cell>
          <cell r="BT793">
            <v>1.4164192085914062</v>
          </cell>
          <cell r="BX793">
            <v>1.4164192085914062</v>
          </cell>
          <cell r="CB793">
            <v>1.4164192085914062</v>
          </cell>
          <cell r="CE793" t="str">
            <v>12LOCAL</v>
          </cell>
          <cell r="CF793" t="str">
            <v>12LOCAL</v>
          </cell>
          <cell r="CG793" t="str">
            <v>12LOCAL</v>
          </cell>
        </row>
        <row r="794">
          <cell r="O794">
            <v>12</v>
          </cell>
          <cell r="AN794">
            <v>0</v>
          </cell>
          <cell r="AO794">
            <v>0</v>
          </cell>
          <cell r="AP794">
            <v>0</v>
          </cell>
          <cell r="AZ794">
            <v>0</v>
          </cell>
          <cell r="BT794">
            <v>0</v>
          </cell>
          <cell r="BX794">
            <v>0</v>
          </cell>
          <cell r="CB794">
            <v>0</v>
          </cell>
          <cell r="CE794" t="str">
            <v>12EU</v>
          </cell>
          <cell r="CF794" t="str">
            <v>12EU</v>
          </cell>
          <cell r="CG794" t="str">
            <v>12EU</v>
          </cell>
        </row>
        <row r="795">
          <cell r="O795">
            <v>12</v>
          </cell>
          <cell r="AN795">
            <v>0</v>
          </cell>
          <cell r="AO795">
            <v>0</v>
          </cell>
          <cell r="AP795">
            <v>0</v>
          </cell>
          <cell r="AZ795">
            <v>0</v>
          </cell>
          <cell r="BT795">
            <v>11.140836295671932</v>
          </cell>
          <cell r="BX795">
            <v>11.140836295671932</v>
          </cell>
          <cell r="CB795">
            <v>11.140836295671932</v>
          </cell>
          <cell r="CE795" t="str">
            <v>12LOCAL</v>
          </cell>
          <cell r="CF795" t="str">
            <v>12LOCAL</v>
          </cell>
          <cell r="CG795" t="str">
            <v>12LOCAL</v>
          </cell>
        </row>
        <row r="796">
          <cell r="O796">
            <v>12</v>
          </cell>
          <cell r="AN796">
            <v>9.2576418862183429E-2</v>
          </cell>
          <cell r="AO796">
            <v>9.2576418862183429E-2</v>
          </cell>
          <cell r="AP796">
            <v>9.2576418862183429E-2</v>
          </cell>
          <cell r="AZ796">
            <v>0.1</v>
          </cell>
          <cell r="BT796">
            <v>9.2576418862183429E-2</v>
          </cell>
          <cell r="BX796">
            <v>9.2576418862183429E-2</v>
          </cell>
          <cell r="CB796">
            <v>9.2576418862183429E-2</v>
          </cell>
          <cell r="CE796" t="str">
            <v>12LOCAL</v>
          </cell>
          <cell r="CF796" t="str">
            <v>12LOCAL</v>
          </cell>
          <cell r="CG796" t="str">
            <v>12LOCAL</v>
          </cell>
        </row>
        <row r="797">
          <cell r="O797">
            <v>12</v>
          </cell>
          <cell r="AN797">
            <v>0</v>
          </cell>
          <cell r="AO797">
            <v>0</v>
          </cell>
          <cell r="AP797">
            <v>0</v>
          </cell>
          <cell r="AZ797">
            <v>0</v>
          </cell>
          <cell r="BT797">
            <v>0</v>
          </cell>
          <cell r="BX797">
            <v>0</v>
          </cell>
          <cell r="CB797">
            <v>0</v>
          </cell>
          <cell r="CE797" t="str">
            <v>12LOCAL</v>
          </cell>
          <cell r="CF797" t="str">
            <v>12LOCAL</v>
          </cell>
          <cell r="CG797" t="str">
            <v>12LOCAL</v>
          </cell>
        </row>
        <row r="798">
          <cell r="O798">
            <v>12</v>
          </cell>
          <cell r="AN798">
            <v>4.712139720085136</v>
          </cell>
          <cell r="AO798">
            <v>4.712139720085136</v>
          </cell>
          <cell r="AP798">
            <v>4.712139720085136</v>
          </cell>
          <cell r="AZ798">
            <v>5.09</v>
          </cell>
          <cell r="BT798">
            <v>4.712139720085136</v>
          </cell>
          <cell r="BX798">
            <v>4.712139720085136</v>
          </cell>
          <cell r="CB798">
            <v>4.712139720085136</v>
          </cell>
          <cell r="CE798" t="str">
            <v>12LOCAL</v>
          </cell>
          <cell r="CF798" t="str">
            <v>12LOCAL</v>
          </cell>
          <cell r="CG798" t="str">
            <v>12LOCAL</v>
          </cell>
        </row>
        <row r="799">
          <cell r="O799">
            <v>12</v>
          </cell>
          <cell r="AN799">
            <v>1.4164192085914062</v>
          </cell>
          <cell r="AO799">
            <v>1.4164192085914062</v>
          </cell>
          <cell r="AP799">
            <v>1.4164192085914062</v>
          </cell>
          <cell r="AZ799">
            <v>1.53</v>
          </cell>
          <cell r="BT799">
            <v>1.4164192085914062</v>
          </cell>
          <cell r="BX799">
            <v>1.4164192085914062</v>
          </cell>
          <cell r="CB799">
            <v>1.4164192085914062</v>
          </cell>
          <cell r="CE799" t="str">
            <v>12LOCAL</v>
          </cell>
          <cell r="CF799" t="str">
            <v>12LOCAL</v>
          </cell>
          <cell r="CG799" t="str">
            <v>12LOCAL</v>
          </cell>
        </row>
        <row r="800">
          <cell r="O800">
            <v>12</v>
          </cell>
          <cell r="AN800">
            <v>0.19441047961058516</v>
          </cell>
          <cell r="AO800">
            <v>0.19441047961058516</v>
          </cell>
          <cell r="AP800">
            <v>0.19441047961058516</v>
          </cell>
          <cell r="AZ800">
            <v>0.21</v>
          </cell>
          <cell r="BT800">
            <v>0.19441047961058519</v>
          </cell>
          <cell r="BX800">
            <v>0.19441047961058519</v>
          </cell>
          <cell r="CB800">
            <v>0.19441047961058519</v>
          </cell>
          <cell r="CE800" t="str">
            <v>12LOCAL</v>
          </cell>
          <cell r="CF800" t="str">
            <v>12LOCAL</v>
          </cell>
          <cell r="CG800" t="str">
            <v>12LOCAL</v>
          </cell>
        </row>
        <row r="801">
          <cell r="O801">
            <v>12</v>
          </cell>
          <cell r="AN801">
            <v>0</v>
          </cell>
          <cell r="AO801">
            <v>0</v>
          </cell>
          <cell r="AP801">
            <v>0</v>
          </cell>
          <cell r="AZ801">
            <v>0</v>
          </cell>
          <cell r="BT801">
            <v>0</v>
          </cell>
          <cell r="BX801">
            <v>0</v>
          </cell>
          <cell r="CB801">
            <v>0</v>
          </cell>
          <cell r="CE801" t="str">
            <v>12EU</v>
          </cell>
          <cell r="CF801" t="str">
            <v>12EU</v>
          </cell>
          <cell r="CG801" t="str">
            <v>12EU</v>
          </cell>
        </row>
        <row r="802">
          <cell r="O802">
            <v>12</v>
          </cell>
          <cell r="AN802">
            <v>0</v>
          </cell>
          <cell r="AO802">
            <v>0</v>
          </cell>
          <cell r="AP802">
            <v>0</v>
          </cell>
          <cell r="AZ802">
            <v>0</v>
          </cell>
          <cell r="BT802">
            <v>0</v>
          </cell>
          <cell r="BX802">
            <v>0</v>
          </cell>
          <cell r="CB802">
            <v>0</v>
          </cell>
          <cell r="CE802" t="str">
            <v>12EU</v>
          </cell>
          <cell r="CF802" t="str">
            <v>12EU</v>
          </cell>
          <cell r="CG802" t="str">
            <v>12EU</v>
          </cell>
        </row>
        <row r="803">
          <cell r="O803">
            <v>12</v>
          </cell>
          <cell r="AN803">
            <v>0</v>
          </cell>
          <cell r="AO803">
            <v>0</v>
          </cell>
          <cell r="AP803">
            <v>0</v>
          </cell>
          <cell r="AZ803">
            <v>0</v>
          </cell>
          <cell r="BT803">
            <v>0</v>
          </cell>
          <cell r="BX803">
            <v>0</v>
          </cell>
          <cell r="CB803">
            <v>0</v>
          </cell>
          <cell r="CE803" t="str">
            <v>12EU</v>
          </cell>
          <cell r="CF803" t="str">
            <v>12EU</v>
          </cell>
          <cell r="CG803" t="str">
            <v>12EU</v>
          </cell>
        </row>
        <row r="804">
          <cell r="O804">
            <v>12</v>
          </cell>
          <cell r="AN804">
            <v>0</v>
          </cell>
          <cell r="AO804">
            <v>0</v>
          </cell>
          <cell r="AP804">
            <v>0</v>
          </cell>
          <cell r="AZ804">
            <v>0</v>
          </cell>
          <cell r="BT804">
            <v>0</v>
          </cell>
          <cell r="BX804">
            <v>0</v>
          </cell>
          <cell r="CB804">
            <v>0</v>
          </cell>
          <cell r="CE804" t="str">
            <v>12EU</v>
          </cell>
          <cell r="CF804" t="str">
            <v>12EU</v>
          </cell>
          <cell r="CG804" t="str">
            <v>12EU</v>
          </cell>
        </row>
        <row r="805">
          <cell r="O805">
            <v>12</v>
          </cell>
          <cell r="AN805">
            <v>0</v>
          </cell>
          <cell r="AO805">
            <v>5.2953711589168915</v>
          </cell>
          <cell r="AP805">
            <v>0</v>
          </cell>
          <cell r="AZ805">
            <v>5.72</v>
          </cell>
          <cell r="BT805">
            <v>0</v>
          </cell>
          <cell r="BX805">
            <v>5.2953711589168915</v>
          </cell>
          <cell r="CB805">
            <v>0</v>
          </cell>
          <cell r="CE805" t="str">
            <v>12LOCAL</v>
          </cell>
          <cell r="CF805" t="str">
            <v>12LOCAL</v>
          </cell>
          <cell r="CG805" t="str">
            <v>12LOCAL</v>
          </cell>
        </row>
        <row r="806">
          <cell r="O806">
            <v>12</v>
          </cell>
          <cell r="AN806">
            <v>0</v>
          </cell>
          <cell r="AO806">
            <v>0.58323143883175554</v>
          </cell>
          <cell r="AP806">
            <v>0</v>
          </cell>
          <cell r="AZ806">
            <v>0.63</v>
          </cell>
          <cell r="BT806">
            <v>0</v>
          </cell>
          <cell r="BX806">
            <v>0.58323143883175554</v>
          </cell>
          <cell r="CB806">
            <v>0</v>
          </cell>
          <cell r="CE806" t="str">
            <v>12LOCAL</v>
          </cell>
          <cell r="CF806" t="str">
            <v>12LOCAL</v>
          </cell>
          <cell r="CG806" t="str">
            <v>12LOCAL</v>
          </cell>
        </row>
        <row r="807">
          <cell r="O807">
            <v>12</v>
          </cell>
          <cell r="AN807">
            <v>0</v>
          </cell>
          <cell r="AO807">
            <v>3.4438427816732236</v>
          </cell>
          <cell r="AP807">
            <v>0</v>
          </cell>
          <cell r="AZ807">
            <v>3.72</v>
          </cell>
          <cell r="BT807">
            <v>0</v>
          </cell>
          <cell r="BX807">
            <v>3.4438427816732236</v>
          </cell>
          <cell r="CB807">
            <v>0</v>
          </cell>
          <cell r="CE807" t="str">
            <v>12LOCAL</v>
          </cell>
          <cell r="CF807" t="str">
            <v>12LOCAL</v>
          </cell>
          <cell r="CG807" t="str">
            <v>12LOCAL</v>
          </cell>
        </row>
        <row r="808">
          <cell r="O808">
            <v>12</v>
          </cell>
          <cell r="AN808">
            <v>0</v>
          </cell>
          <cell r="AO808">
            <v>0.48139737808335381</v>
          </cell>
          <cell r="AP808">
            <v>0</v>
          </cell>
          <cell r="AZ808">
            <v>0.52</v>
          </cell>
          <cell r="BT808">
            <v>0</v>
          </cell>
          <cell r="BX808">
            <v>0.48139737808335381</v>
          </cell>
          <cell r="CB808">
            <v>0</v>
          </cell>
          <cell r="CE808" t="str">
            <v>12LOCAL</v>
          </cell>
          <cell r="CF808" t="str">
            <v>12LOCAL</v>
          </cell>
          <cell r="CG808" t="str">
            <v>12LOCAL</v>
          </cell>
        </row>
        <row r="809">
          <cell r="O809">
            <v>12</v>
          </cell>
          <cell r="AN809">
            <v>0</v>
          </cell>
          <cell r="AO809">
            <v>0.48139737808335381</v>
          </cell>
          <cell r="AP809">
            <v>0</v>
          </cell>
          <cell r="AZ809">
            <v>0.52</v>
          </cell>
          <cell r="BT809">
            <v>0</v>
          </cell>
          <cell r="BX809">
            <v>0.48139737808335381</v>
          </cell>
          <cell r="CB809">
            <v>0</v>
          </cell>
          <cell r="CE809" t="str">
            <v>12LOCAL</v>
          </cell>
          <cell r="CF809" t="str">
            <v>12LOCAL</v>
          </cell>
          <cell r="CG809" t="str">
            <v>12LOCAL</v>
          </cell>
        </row>
        <row r="810">
          <cell r="O810">
            <v>12</v>
          </cell>
          <cell r="AN810">
            <v>0</v>
          </cell>
          <cell r="AO810">
            <v>0.58323143883175554</v>
          </cell>
          <cell r="AP810">
            <v>0</v>
          </cell>
          <cell r="AZ810">
            <v>0.63</v>
          </cell>
          <cell r="BT810">
            <v>0</v>
          </cell>
          <cell r="BX810">
            <v>0.58323143883175554</v>
          </cell>
          <cell r="CB810">
            <v>0</v>
          </cell>
          <cell r="CE810" t="str">
            <v>12LOCAL</v>
          </cell>
          <cell r="CF810" t="str">
            <v>12LOCAL</v>
          </cell>
          <cell r="CG810" t="str">
            <v>12LOCAL</v>
          </cell>
        </row>
        <row r="811">
          <cell r="O811">
            <v>12</v>
          </cell>
          <cell r="AN811">
            <v>0</v>
          </cell>
          <cell r="AO811">
            <v>1.9348471542196333</v>
          </cell>
          <cell r="AP811">
            <v>0</v>
          </cell>
          <cell r="AZ811">
            <v>2.09</v>
          </cell>
          <cell r="BT811">
            <v>0</v>
          </cell>
          <cell r="BX811">
            <v>1.9348471542196333</v>
          </cell>
          <cell r="CB811">
            <v>0</v>
          </cell>
          <cell r="CE811" t="str">
            <v>12LOCAL</v>
          </cell>
          <cell r="CF811" t="str">
            <v>12LOCAL</v>
          </cell>
          <cell r="CG811" t="str">
            <v>12LOCAL</v>
          </cell>
        </row>
        <row r="812">
          <cell r="O812">
            <v>12</v>
          </cell>
          <cell r="AN812">
            <v>0.24995633092789524</v>
          </cell>
          <cell r="AO812">
            <v>0.24995633092789524</v>
          </cell>
          <cell r="AP812">
            <v>0.24995633092789524</v>
          </cell>
          <cell r="AZ812">
            <v>0.27</v>
          </cell>
          <cell r="BT812">
            <v>0.24995633092789521</v>
          </cell>
          <cell r="BX812">
            <v>0.24995633092789521</v>
          </cell>
          <cell r="CB812">
            <v>0.24995633092789521</v>
          </cell>
          <cell r="CE812" t="str">
            <v>12LOCAL</v>
          </cell>
          <cell r="CF812" t="str">
            <v>12LOCAL</v>
          </cell>
          <cell r="CG812" t="str">
            <v>12LOCAL</v>
          </cell>
        </row>
        <row r="813">
          <cell r="O813">
            <v>12</v>
          </cell>
          <cell r="AN813">
            <v>0.21292576338302188</v>
          </cell>
          <cell r="AO813">
            <v>0.21292576338302188</v>
          </cell>
          <cell r="AP813">
            <v>0.21292576338302188</v>
          </cell>
          <cell r="AZ813">
            <v>0.23</v>
          </cell>
          <cell r="BT813">
            <v>0.21292576338302188</v>
          </cell>
          <cell r="BX813">
            <v>0.21292576338302188</v>
          </cell>
          <cell r="CB813">
            <v>0.21292576338302188</v>
          </cell>
          <cell r="CE813" t="str">
            <v>12LOCAL</v>
          </cell>
          <cell r="CF813" t="str">
            <v>12LOCAL</v>
          </cell>
          <cell r="CG813" t="str">
            <v>12LOCAL</v>
          </cell>
        </row>
        <row r="814">
          <cell r="O814">
            <v>12</v>
          </cell>
          <cell r="AN814">
            <v>5.2953711589168915</v>
          </cell>
          <cell r="AO814">
            <v>0</v>
          </cell>
          <cell r="AP814">
            <v>5.2953711589168915</v>
          </cell>
          <cell r="AZ814">
            <v>0</v>
          </cell>
          <cell r="BT814">
            <v>17.763770293546376</v>
          </cell>
          <cell r="BX814">
            <v>0</v>
          </cell>
          <cell r="CB814">
            <v>17.763770293546376</v>
          </cell>
          <cell r="CE814" t="str">
            <v>12LOCAL</v>
          </cell>
          <cell r="CF814" t="str">
            <v>12LOCAL</v>
          </cell>
          <cell r="CG814" t="str">
            <v>12LOCAL</v>
          </cell>
        </row>
        <row r="815">
          <cell r="O815">
            <v>12</v>
          </cell>
          <cell r="AN815">
            <v>0.58323143883175554</v>
          </cell>
          <cell r="AO815">
            <v>0</v>
          </cell>
          <cell r="AP815">
            <v>0.58323143883175554</v>
          </cell>
          <cell r="AZ815">
            <v>0</v>
          </cell>
          <cell r="BT815">
            <v>0.58323143883175554</v>
          </cell>
          <cell r="BX815">
            <v>0</v>
          </cell>
          <cell r="CB815">
            <v>0.58323143883175554</v>
          </cell>
          <cell r="CE815" t="str">
            <v>12LOCAL</v>
          </cell>
          <cell r="CF815" t="str">
            <v>12LOCAL</v>
          </cell>
          <cell r="CG815" t="str">
            <v>12LOCAL</v>
          </cell>
        </row>
        <row r="816">
          <cell r="O816">
            <v>12</v>
          </cell>
          <cell r="AN816">
            <v>3.4438427816732236</v>
          </cell>
          <cell r="AO816">
            <v>0</v>
          </cell>
          <cell r="AP816">
            <v>3.4438427816732236</v>
          </cell>
          <cell r="AZ816">
            <v>0</v>
          </cell>
          <cell r="BT816">
            <v>3.4438427816732236</v>
          </cell>
          <cell r="BX816">
            <v>0</v>
          </cell>
          <cell r="CB816">
            <v>3.4438427816732236</v>
          </cell>
          <cell r="CE816" t="str">
            <v>12LOCAL</v>
          </cell>
          <cell r="CF816" t="str">
            <v>12LOCAL</v>
          </cell>
          <cell r="CG816" t="str">
            <v>12LOCAL</v>
          </cell>
        </row>
        <row r="817">
          <cell r="O817">
            <v>12</v>
          </cell>
          <cell r="AN817">
            <v>0.48139737808335381</v>
          </cell>
          <cell r="AO817">
            <v>0</v>
          </cell>
          <cell r="AP817">
            <v>0.48139737808335381</v>
          </cell>
          <cell r="AZ817">
            <v>0</v>
          </cell>
          <cell r="BT817">
            <v>0.48139737808335381</v>
          </cell>
          <cell r="BX817">
            <v>0</v>
          </cell>
          <cell r="CB817">
            <v>0.48139737808335381</v>
          </cell>
          <cell r="CE817" t="str">
            <v>12LOCAL</v>
          </cell>
          <cell r="CF817" t="str">
            <v>12LOCAL</v>
          </cell>
          <cell r="CG817" t="str">
            <v>12LOCAL</v>
          </cell>
        </row>
        <row r="818">
          <cell r="O818">
            <v>12</v>
          </cell>
          <cell r="AN818">
            <v>0.48139737808335381</v>
          </cell>
          <cell r="AO818">
            <v>0</v>
          </cell>
          <cell r="AP818">
            <v>0.48139737808335381</v>
          </cell>
          <cell r="AZ818">
            <v>0</v>
          </cell>
          <cell r="BT818">
            <v>0.48139737808335381</v>
          </cell>
          <cell r="BX818">
            <v>0</v>
          </cell>
          <cell r="CB818">
            <v>0.48139737808335381</v>
          </cell>
          <cell r="CE818" t="str">
            <v>12LOCAL</v>
          </cell>
          <cell r="CF818" t="str">
            <v>12LOCAL</v>
          </cell>
          <cell r="CG818" t="str">
            <v>12LOCAL</v>
          </cell>
        </row>
        <row r="819">
          <cell r="O819">
            <v>12</v>
          </cell>
          <cell r="AN819">
            <v>0</v>
          </cell>
          <cell r="AO819">
            <v>0</v>
          </cell>
          <cell r="AP819">
            <v>0</v>
          </cell>
          <cell r="AZ819">
            <v>0</v>
          </cell>
          <cell r="BT819">
            <v>0</v>
          </cell>
          <cell r="BX819">
            <v>0</v>
          </cell>
          <cell r="CB819">
            <v>0</v>
          </cell>
          <cell r="CE819" t="str">
            <v>12LOCAL</v>
          </cell>
          <cell r="CF819" t="str">
            <v>12LOCAL</v>
          </cell>
          <cell r="CG819" t="str">
            <v>12LOCAL</v>
          </cell>
        </row>
        <row r="820">
          <cell r="O820">
            <v>12</v>
          </cell>
          <cell r="AN820">
            <v>1.9348471542196333</v>
          </cell>
          <cell r="AO820">
            <v>0</v>
          </cell>
          <cell r="AP820">
            <v>1.9348471542196333</v>
          </cell>
          <cell r="AZ820">
            <v>0</v>
          </cell>
          <cell r="BT820">
            <v>1.9348471542196333</v>
          </cell>
          <cell r="BX820">
            <v>0</v>
          </cell>
          <cell r="CB820">
            <v>1.9348471542196333</v>
          </cell>
          <cell r="CE820" t="str">
            <v>12LOCAL</v>
          </cell>
          <cell r="CF820" t="str">
            <v>12LOCAL</v>
          </cell>
          <cell r="CG820" t="str">
            <v>12LOCAL</v>
          </cell>
        </row>
        <row r="821">
          <cell r="O821">
            <v>12</v>
          </cell>
          <cell r="AN821">
            <v>0</v>
          </cell>
          <cell r="AO821">
            <v>0</v>
          </cell>
          <cell r="AP821">
            <v>0</v>
          </cell>
          <cell r="AZ821">
            <v>0</v>
          </cell>
          <cell r="BT821">
            <v>0</v>
          </cell>
          <cell r="BX821">
            <v>0</v>
          </cell>
          <cell r="CB821">
            <v>0</v>
          </cell>
          <cell r="CE821" t="str">
            <v>12LOCAL</v>
          </cell>
          <cell r="CF821" t="str">
            <v>12LOCAL</v>
          </cell>
          <cell r="CG821" t="str">
            <v>12LOCAL</v>
          </cell>
        </row>
        <row r="822">
          <cell r="O822">
            <v>12</v>
          </cell>
          <cell r="AN822">
            <v>0</v>
          </cell>
          <cell r="AO822">
            <v>0</v>
          </cell>
          <cell r="AP822">
            <v>0</v>
          </cell>
          <cell r="AZ822">
            <v>0</v>
          </cell>
          <cell r="BT822">
            <v>0</v>
          </cell>
          <cell r="BX822">
            <v>0</v>
          </cell>
          <cell r="CB822">
            <v>0</v>
          </cell>
          <cell r="CE822" t="str">
            <v>12EU</v>
          </cell>
          <cell r="CF822" t="str">
            <v>12EU</v>
          </cell>
          <cell r="CG822" t="str">
            <v>12EU</v>
          </cell>
        </row>
        <row r="823">
          <cell r="O823">
            <v>12</v>
          </cell>
          <cell r="AN823">
            <v>0</v>
          </cell>
          <cell r="AO823">
            <v>0</v>
          </cell>
          <cell r="AP823">
            <v>0</v>
          </cell>
          <cell r="AZ823">
            <v>0</v>
          </cell>
          <cell r="BT823">
            <v>0</v>
          </cell>
          <cell r="BX823">
            <v>0</v>
          </cell>
          <cell r="CB823">
            <v>0</v>
          </cell>
          <cell r="CE823" t="str">
            <v>12EU</v>
          </cell>
          <cell r="CF823" t="str">
            <v>12EU</v>
          </cell>
          <cell r="CG823" t="str">
            <v>12EU</v>
          </cell>
        </row>
        <row r="824">
          <cell r="O824">
            <v>12</v>
          </cell>
          <cell r="AN824">
            <v>0</v>
          </cell>
          <cell r="AO824">
            <v>0</v>
          </cell>
          <cell r="AP824">
            <v>0</v>
          </cell>
          <cell r="AZ824">
            <v>0</v>
          </cell>
          <cell r="BT824">
            <v>0</v>
          </cell>
          <cell r="BX824">
            <v>0</v>
          </cell>
          <cell r="CB824">
            <v>0</v>
          </cell>
          <cell r="CE824" t="str">
            <v>12EU</v>
          </cell>
          <cell r="CF824" t="str">
            <v>12EU</v>
          </cell>
          <cell r="CG824" t="str">
            <v>12EU</v>
          </cell>
        </row>
        <row r="825">
          <cell r="O825">
            <v>12</v>
          </cell>
          <cell r="AN825">
            <v>0.96279475616670762</v>
          </cell>
          <cell r="AO825">
            <v>0.96279475616670762</v>
          </cell>
          <cell r="AP825">
            <v>0.96279475616670762</v>
          </cell>
          <cell r="AZ825">
            <v>1.04</v>
          </cell>
          <cell r="BT825">
            <v>1.8962876094843699</v>
          </cell>
          <cell r="BX825">
            <v>1.8962876094843699</v>
          </cell>
          <cell r="CB825">
            <v>1.8962876094843699</v>
          </cell>
          <cell r="CE825" t="str">
            <v>12LOCAL</v>
          </cell>
          <cell r="CF825" t="str">
            <v>12LOCAL</v>
          </cell>
          <cell r="CG825" t="str">
            <v>12LOCAL</v>
          </cell>
        </row>
        <row r="826">
          <cell r="O826">
            <v>12</v>
          </cell>
          <cell r="AN826">
            <v>0.50917030374200889</v>
          </cell>
          <cell r="AO826">
            <v>0.50917030374200889</v>
          </cell>
          <cell r="AP826">
            <v>0.50917030374200889</v>
          </cell>
          <cell r="AZ826">
            <v>0.55000000000000004</v>
          </cell>
          <cell r="BT826">
            <v>0.50917030374200889</v>
          </cell>
          <cell r="BX826">
            <v>0.50917030374200889</v>
          </cell>
          <cell r="CB826">
            <v>0.50917030374200889</v>
          </cell>
          <cell r="CE826" t="str">
            <v>12LOCAL</v>
          </cell>
          <cell r="CF826" t="str">
            <v>12LOCAL</v>
          </cell>
          <cell r="CG826" t="str">
            <v>12LOCAL</v>
          </cell>
        </row>
        <row r="827">
          <cell r="O827">
            <v>12</v>
          </cell>
          <cell r="AN827">
            <v>0.31475982413142367</v>
          </cell>
          <cell r="AO827">
            <v>0.31475982413142367</v>
          </cell>
          <cell r="AP827">
            <v>0.31475982413142367</v>
          </cell>
          <cell r="AZ827">
            <v>0.34</v>
          </cell>
          <cell r="BT827">
            <v>0.31707423460297823</v>
          </cell>
          <cell r="BX827">
            <v>0.31707423460297823</v>
          </cell>
          <cell r="CB827">
            <v>0.31707423460297823</v>
          </cell>
          <cell r="CE827" t="str">
            <v>12LOCAL</v>
          </cell>
          <cell r="CF827" t="str">
            <v>12LOCAL</v>
          </cell>
          <cell r="CG827" t="str">
            <v>12LOCAL</v>
          </cell>
        </row>
        <row r="828">
          <cell r="O828">
            <v>12</v>
          </cell>
          <cell r="AN828">
            <v>0</v>
          </cell>
          <cell r="AO828">
            <v>0</v>
          </cell>
          <cell r="AP828">
            <v>0</v>
          </cell>
          <cell r="AZ828">
            <v>0</v>
          </cell>
          <cell r="BT828">
            <v>0</v>
          </cell>
          <cell r="BX828">
            <v>0</v>
          </cell>
          <cell r="CB828">
            <v>0</v>
          </cell>
          <cell r="CE828" t="str">
            <v>12EU</v>
          </cell>
          <cell r="CF828" t="str">
            <v>12EU</v>
          </cell>
          <cell r="CG828" t="str">
            <v>12EU</v>
          </cell>
        </row>
        <row r="829">
          <cell r="O829">
            <v>12</v>
          </cell>
          <cell r="AN829">
            <v>0</v>
          </cell>
          <cell r="AO829">
            <v>23.505152749108369</v>
          </cell>
          <cell r="AP829">
            <v>0</v>
          </cell>
          <cell r="AZ829">
            <v>25.39</v>
          </cell>
          <cell r="BT829">
            <v>0</v>
          </cell>
          <cell r="BX829">
            <v>23.505152749108372</v>
          </cell>
          <cell r="CB829">
            <v>0</v>
          </cell>
          <cell r="CE829" t="str">
            <v>12LOCAL</v>
          </cell>
          <cell r="CF829" t="str">
            <v>12LOCAL</v>
          </cell>
          <cell r="CG829" t="str">
            <v>12LOCAL</v>
          </cell>
        </row>
        <row r="830">
          <cell r="O830">
            <v>12</v>
          </cell>
          <cell r="AN830">
            <v>0</v>
          </cell>
          <cell r="AO830">
            <v>0</v>
          </cell>
          <cell r="AP830">
            <v>0</v>
          </cell>
          <cell r="AZ830">
            <v>0</v>
          </cell>
          <cell r="BT830">
            <v>0</v>
          </cell>
          <cell r="BX830">
            <v>0</v>
          </cell>
          <cell r="CB830">
            <v>0</v>
          </cell>
          <cell r="CE830" t="str">
            <v>12EU</v>
          </cell>
          <cell r="CF830" t="str">
            <v>12EU</v>
          </cell>
          <cell r="CG830" t="str">
            <v>12EU</v>
          </cell>
        </row>
        <row r="831">
          <cell r="O831">
            <v>12</v>
          </cell>
          <cell r="AN831">
            <v>0.50454148279889965</v>
          </cell>
          <cell r="AO831">
            <v>0.50454148279889965</v>
          </cell>
          <cell r="AP831">
            <v>0.50454148279889965</v>
          </cell>
          <cell r="AZ831">
            <v>0.54500000000000004</v>
          </cell>
          <cell r="BT831">
            <v>0.80448565250852055</v>
          </cell>
          <cell r="BX831">
            <v>0.80448565250852055</v>
          </cell>
          <cell r="CB831">
            <v>0.80448565250852055</v>
          </cell>
          <cell r="CE831" t="str">
            <v>12LOCAL</v>
          </cell>
          <cell r="CF831" t="str">
            <v>12LOCAL</v>
          </cell>
          <cell r="CG831" t="str">
            <v>12LOCAL</v>
          </cell>
        </row>
        <row r="832">
          <cell r="O832">
            <v>12</v>
          </cell>
          <cell r="AN832">
            <v>9.7205239805292581E-2</v>
          </cell>
          <cell r="AO832">
            <v>9.7205239805292581E-2</v>
          </cell>
          <cell r="AP832">
            <v>9.7205239805292581E-2</v>
          </cell>
          <cell r="AZ832">
            <v>0.105</v>
          </cell>
          <cell r="BT832">
            <v>9.7205239805292581E-2</v>
          </cell>
          <cell r="BX832">
            <v>9.7205239805292581E-2</v>
          </cell>
          <cell r="CB832">
            <v>9.7205239805292581E-2</v>
          </cell>
          <cell r="CE832" t="str">
            <v>12LOCAL</v>
          </cell>
          <cell r="CF832" t="str">
            <v>12LOCAL</v>
          </cell>
          <cell r="CG832" t="str">
            <v>12LOCAL</v>
          </cell>
        </row>
        <row r="833">
          <cell r="O833">
            <v>12</v>
          </cell>
          <cell r="AN833">
            <v>0.24069868904167691</v>
          </cell>
          <cell r="AO833">
            <v>0.24069868904167691</v>
          </cell>
          <cell r="AP833">
            <v>0.24069868904167691</v>
          </cell>
          <cell r="AZ833">
            <v>0.26</v>
          </cell>
          <cell r="BT833">
            <v>0.24069868904167691</v>
          </cell>
          <cell r="BX833">
            <v>0.24069868904167691</v>
          </cell>
          <cell r="CB833">
            <v>0.24069868904167691</v>
          </cell>
          <cell r="CE833" t="str">
            <v>12LOCAL</v>
          </cell>
          <cell r="CF833" t="str">
            <v>12LOCAL</v>
          </cell>
          <cell r="CG833" t="str">
            <v>12LOCAL</v>
          </cell>
        </row>
        <row r="834">
          <cell r="O834">
            <v>12</v>
          </cell>
          <cell r="AN834">
            <v>0</v>
          </cell>
          <cell r="AO834">
            <v>0</v>
          </cell>
          <cell r="AP834">
            <v>0</v>
          </cell>
          <cell r="AZ834">
            <v>0</v>
          </cell>
          <cell r="BT834">
            <v>0</v>
          </cell>
          <cell r="BX834">
            <v>0</v>
          </cell>
          <cell r="CB834">
            <v>0</v>
          </cell>
          <cell r="CE834" t="str">
            <v>12EU</v>
          </cell>
          <cell r="CF834" t="str">
            <v>12EU</v>
          </cell>
          <cell r="CG834" t="str">
            <v>12EU</v>
          </cell>
        </row>
        <row r="835">
          <cell r="O835">
            <v>12</v>
          </cell>
          <cell r="AN835">
            <v>1.9487336170489609</v>
          </cell>
          <cell r="AO835">
            <v>1.9487336170489609</v>
          </cell>
          <cell r="AP835">
            <v>1.9487336170489609</v>
          </cell>
          <cell r="AZ835">
            <v>2.105</v>
          </cell>
          <cell r="BT835">
            <v>1.9487336170489609</v>
          </cell>
          <cell r="BX835">
            <v>1.9487336170489609</v>
          </cell>
          <cell r="CB835">
            <v>1.9487336170489609</v>
          </cell>
          <cell r="CE835" t="str">
            <v>12LOCAL</v>
          </cell>
          <cell r="CF835" t="str">
            <v>12LOCAL</v>
          </cell>
          <cell r="CG835" t="str">
            <v>12LOCAL</v>
          </cell>
        </row>
        <row r="836">
          <cell r="O836">
            <v>12</v>
          </cell>
          <cell r="AN836">
            <v>0</v>
          </cell>
          <cell r="AO836">
            <v>1.0738864588013275</v>
          </cell>
          <cell r="AP836">
            <v>0</v>
          </cell>
          <cell r="AZ836">
            <v>1.1599999999999999</v>
          </cell>
          <cell r="BT836">
            <v>0</v>
          </cell>
          <cell r="BX836">
            <v>1.0738864588013275</v>
          </cell>
          <cell r="CB836">
            <v>0</v>
          </cell>
          <cell r="CE836" t="str">
            <v>12LOCAL</v>
          </cell>
          <cell r="CF836" t="str">
            <v>12LOCAL</v>
          </cell>
          <cell r="CG836" t="str">
            <v>12LOCAL</v>
          </cell>
        </row>
        <row r="837">
          <cell r="O837">
            <v>12</v>
          </cell>
          <cell r="AN837">
            <v>0</v>
          </cell>
          <cell r="AO837">
            <v>0.52768558751444539</v>
          </cell>
          <cell r="AP837">
            <v>0</v>
          </cell>
          <cell r="AZ837">
            <v>0.56999999999999995</v>
          </cell>
          <cell r="BT837">
            <v>0</v>
          </cell>
          <cell r="BX837">
            <v>1.0738864588013275</v>
          </cell>
          <cell r="CB837">
            <v>0</v>
          </cell>
          <cell r="CE837" t="str">
            <v>12LOCAL</v>
          </cell>
          <cell r="CF837" t="str">
            <v>12LOCAL</v>
          </cell>
          <cell r="CG837" t="str">
            <v>12LOCAL</v>
          </cell>
        </row>
        <row r="838">
          <cell r="O838">
            <v>12</v>
          </cell>
          <cell r="AN838">
            <v>0</v>
          </cell>
          <cell r="AO838">
            <v>0.5600873341162097</v>
          </cell>
          <cell r="AP838">
            <v>0</v>
          </cell>
          <cell r="AZ838">
            <v>0.60499999999999998</v>
          </cell>
          <cell r="BT838">
            <v>0</v>
          </cell>
          <cell r="BX838">
            <v>0.5600873341162097</v>
          </cell>
          <cell r="CB838">
            <v>0</v>
          </cell>
          <cell r="CE838" t="str">
            <v>12LOCAL</v>
          </cell>
          <cell r="CF838" t="str">
            <v>12LOCAL</v>
          </cell>
          <cell r="CG838" t="str">
            <v>12LOCAL</v>
          </cell>
        </row>
        <row r="839">
          <cell r="O839">
            <v>12</v>
          </cell>
          <cell r="AN839">
            <v>0</v>
          </cell>
          <cell r="AO839">
            <v>0.87484715824763326</v>
          </cell>
          <cell r="AP839">
            <v>0</v>
          </cell>
          <cell r="AZ839">
            <v>0.94499999999999995</v>
          </cell>
          <cell r="BT839">
            <v>0</v>
          </cell>
          <cell r="BX839">
            <v>0.87484715824763326</v>
          </cell>
          <cell r="CB839">
            <v>0</v>
          </cell>
          <cell r="CE839" t="str">
            <v>12LOCAL</v>
          </cell>
          <cell r="CF839" t="str">
            <v>12LOCAL</v>
          </cell>
          <cell r="CG839" t="str">
            <v>12LOCAL</v>
          </cell>
        </row>
        <row r="840">
          <cell r="O840">
            <v>12</v>
          </cell>
          <cell r="AN840">
            <v>0</v>
          </cell>
          <cell r="AO840">
            <v>0.76838427655612229</v>
          </cell>
          <cell r="AP840">
            <v>0</v>
          </cell>
          <cell r="AZ840">
            <v>0.83</v>
          </cell>
          <cell r="BT840">
            <v>0</v>
          </cell>
          <cell r="BX840">
            <v>1.0701066441895408</v>
          </cell>
          <cell r="CB840">
            <v>0</v>
          </cell>
          <cell r="CE840" t="str">
            <v>12LOCAL</v>
          </cell>
          <cell r="CF840" t="str">
            <v>12LOCAL</v>
          </cell>
          <cell r="CG840" t="str">
            <v>12LOCAL</v>
          </cell>
        </row>
        <row r="841">
          <cell r="O841">
            <v>12</v>
          </cell>
          <cell r="AN841">
            <v>0</v>
          </cell>
          <cell r="AO841">
            <v>2.7772925658655023E-2</v>
          </cell>
          <cell r="AP841">
            <v>0</v>
          </cell>
          <cell r="AZ841">
            <v>0.03</v>
          </cell>
          <cell r="BT841">
            <v>0</v>
          </cell>
          <cell r="BX841">
            <v>5.5704181478359656E-2</v>
          </cell>
          <cell r="CB841">
            <v>0</v>
          </cell>
          <cell r="CE841" t="str">
            <v>12LOCAL</v>
          </cell>
          <cell r="CF841" t="str">
            <v>12LOCAL</v>
          </cell>
          <cell r="CG841" t="str">
            <v>12LOCAL</v>
          </cell>
        </row>
        <row r="842">
          <cell r="O842">
            <v>12</v>
          </cell>
          <cell r="AN842">
            <v>0</v>
          </cell>
          <cell r="AO842">
            <v>0</v>
          </cell>
          <cell r="AP842">
            <v>0</v>
          </cell>
          <cell r="AZ842">
            <v>0</v>
          </cell>
          <cell r="BT842">
            <v>15.494557848059515</v>
          </cell>
          <cell r="BX842">
            <v>15.494557848059515</v>
          </cell>
          <cell r="CB842">
            <v>15.494557848059515</v>
          </cell>
          <cell r="CE842" t="str">
            <v>12LOCAL</v>
          </cell>
          <cell r="CF842" t="str">
            <v>12LOCAL</v>
          </cell>
          <cell r="CG842" t="str">
            <v>12LOCAL</v>
          </cell>
        </row>
        <row r="843">
          <cell r="O843">
            <v>12</v>
          </cell>
          <cell r="AN843">
            <v>5.7258515066260438</v>
          </cell>
          <cell r="AO843">
            <v>5.7258515066260438</v>
          </cell>
          <cell r="AP843">
            <v>5.7258515066260438</v>
          </cell>
          <cell r="AZ843">
            <v>6.1849999999999996</v>
          </cell>
          <cell r="BT843">
            <v>5.7258515066260438</v>
          </cell>
          <cell r="BX843">
            <v>5.7258515066260438</v>
          </cell>
          <cell r="CB843">
            <v>5.7258515066260438</v>
          </cell>
          <cell r="CE843" t="str">
            <v>12LOCAL</v>
          </cell>
          <cell r="CF843" t="str">
            <v>12LOCAL</v>
          </cell>
          <cell r="CG843" t="str">
            <v>12LOCAL</v>
          </cell>
        </row>
        <row r="844">
          <cell r="O844">
            <v>12</v>
          </cell>
          <cell r="AN844">
            <v>0.53694322940066375</v>
          </cell>
          <cell r="AO844">
            <v>0.53694322940066375</v>
          </cell>
          <cell r="AP844">
            <v>0.53694322940066375</v>
          </cell>
          <cell r="AZ844">
            <v>0.57999999999999996</v>
          </cell>
          <cell r="BT844">
            <v>0.53694322940066375</v>
          </cell>
          <cell r="BX844">
            <v>0.53694322940066375</v>
          </cell>
          <cell r="CB844">
            <v>0.53694322940066375</v>
          </cell>
          <cell r="CE844" t="str">
            <v>12LOCAL</v>
          </cell>
          <cell r="CF844" t="str">
            <v>12LOCAL</v>
          </cell>
          <cell r="CG844" t="str">
            <v>12LOCAL</v>
          </cell>
        </row>
        <row r="845">
          <cell r="O845">
            <v>12</v>
          </cell>
          <cell r="AN845">
            <v>0.22218340526924019</v>
          </cell>
          <cell r="AO845">
            <v>0.22218340526924019</v>
          </cell>
          <cell r="AP845">
            <v>0.22218340526924019</v>
          </cell>
          <cell r="AZ845">
            <v>0.24</v>
          </cell>
          <cell r="BT845">
            <v>0.22218340526924019</v>
          </cell>
          <cell r="BX845">
            <v>0.22218340526924019</v>
          </cell>
          <cell r="CB845">
            <v>0.22218340526924019</v>
          </cell>
          <cell r="CE845" t="str">
            <v>12LOCAL</v>
          </cell>
          <cell r="CF845" t="str">
            <v>12LOCAL</v>
          </cell>
          <cell r="CG845" t="str">
            <v>12LOCAL</v>
          </cell>
        </row>
        <row r="846">
          <cell r="O846">
            <v>12</v>
          </cell>
          <cell r="AN846">
            <v>0</v>
          </cell>
          <cell r="AO846">
            <v>0</v>
          </cell>
          <cell r="AP846">
            <v>0</v>
          </cell>
          <cell r="AZ846">
            <v>0</v>
          </cell>
          <cell r="BT846">
            <v>0</v>
          </cell>
          <cell r="BX846">
            <v>0</v>
          </cell>
          <cell r="CB846">
            <v>0</v>
          </cell>
          <cell r="CE846" t="str">
            <v>12EU</v>
          </cell>
          <cell r="CF846" t="str">
            <v>12EU</v>
          </cell>
          <cell r="CG846" t="str">
            <v>12EU</v>
          </cell>
        </row>
        <row r="847">
          <cell r="O847">
            <v>12</v>
          </cell>
          <cell r="AN847">
            <v>0</v>
          </cell>
          <cell r="AO847">
            <v>0</v>
          </cell>
          <cell r="AP847">
            <v>0</v>
          </cell>
          <cell r="AZ847">
            <v>0</v>
          </cell>
          <cell r="BT847">
            <v>0</v>
          </cell>
          <cell r="BX847">
            <v>0</v>
          </cell>
          <cell r="CB847">
            <v>0</v>
          </cell>
          <cell r="CE847" t="str">
            <v>12LOCAL</v>
          </cell>
          <cell r="CF847" t="str">
            <v>12LOCAL</v>
          </cell>
          <cell r="CG847" t="str">
            <v>12LOCAL</v>
          </cell>
        </row>
        <row r="848">
          <cell r="O848">
            <v>12</v>
          </cell>
          <cell r="AN848">
            <v>3.4345851397870049</v>
          </cell>
          <cell r="AO848">
            <v>3.4345851397870049</v>
          </cell>
          <cell r="AP848">
            <v>3.4345851397870049</v>
          </cell>
          <cell r="AZ848">
            <v>3.71</v>
          </cell>
          <cell r="BT848">
            <v>3.4345851397870049</v>
          </cell>
          <cell r="BX848">
            <v>3.4345851397870049</v>
          </cell>
          <cell r="CB848">
            <v>3.4345851397870049</v>
          </cell>
          <cell r="CE848" t="str">
            <v>12LOCAL</v>
          </cell>
          <cell r="CF848" t="str">
            <v>12LOCAL</v>
          </cell>
          <cell r="CG848" t="str">
            <v>12LOCAL</v>
          </cell>
        </row>
        <row r="849">
          <cell r="O849">
            <v>12</v>
          </cell>
          <cell r="AN849">
            <v>0</v>
          </cell>
          <cell r="AO849">
            <v>0</v>
          </cell>
          <cell r="AP849">
            <v>0</v>
          </cell>
          <cell r="AZ849">
            <v>0</v>
          </cell>
          <cell r="BT849">
            <v>0</v>
          </cell>
          <cell r="BX849">
            <v>0</v>
          </cell>
          <cell r="CB849">
            <v>0</v>
          </cell>
          <cell r="CE849" t="str">
            <v>12LOCAL</v>
          </cell>
          <cell r="CF849" t="str">
            <v>12LOCAL</v>
          </cell>
          <cell r="CG849" t="str">
            <v>12LOCAL</v>
          </cell>
        </row>
        <row r="850">
          <cell r="O850">
            <v>12</v>
          </cell>
          <cell r="AN850">
            <v>0.27772925658655023</v>
          </cell>
          <cell r="AO850">
            <v>0.27772925658655023</v>
          </cell>
          <cell r="AP850">
            <v>0.27772925658655023</v>
          </cell>
          <cell r="AZ850">
            <v>0.3</v>
          </cell>
          <cell r="BT850">
            <v>0.27772925658655023</v>
          </cell>
          <cell r="BX850">
            <v>0.27772925658655023</v>
          </cell>
          <cell r="CB850">
            <v>0.27772925658655023</v>
          </cell>
          <cell r="CE850" t="str">
            <v>12LOCAL</v>
          </cell>
          <cell r="CF850" t="str">
            <v>12LOCAL</v>
          </cell>
          <cell r="CG850" t="str">
            <v>12LOCAL</v>
          </cell>
        </row>
        <row r="851">
          <cell r="O851">
            <v>12</v>
          </cell>
          <cell r="AN851">
            <v>0.13886462829327512</v>
          </cell>
          <cell r="AO851">
            <v>0.13886462829327512</v>
          </cell>
          <cell r="AP851">
            <v>0.13886462829327512</v>
          </cell>
          <cell r="AZ851">
            <v>0.15</v>
          </cell>
          <cell r="BT851">
            <v>0.13886462829327512</v>
          </cell>
          <cell r="BX851">
            <v>0.13886462829327512</v>
          </cell>
          <cell r="CB851">
            <v>0.13886462829327512</v>
          </cell>
          <cell r="CE851" t="str">
            <v>12LOCAL</v>
          </cell>
          <cell r="CF851" t="str">
            <v>12LOCAL</v>
          </cell>
          <cell r="CG851" t="str">
            <v>12LOCAL</v>
          </cell>
        </row>
        <row r="852">
          <cell r="O852">
            <v>12</v>
          </cell>
          <cell r="AN852">
            <v>3.7586026058046462</v>
          </cell>
          <cell r="AO852">
            <v>3.7586026058046462</v>
          </cell>
          <cell r="AP852">
            <v>3.7586026058046462</v>
          </cell>
          <cell r="AZ852">
            <v>4.0599999999999996</v>
          </cell>
          <cell r="BT852">
            <v>3.7586026058046462</v>
          </cell>
          <cell r="BX852">
            <v>3.7586026058046462</v>
          </cell>
          <cell r="CB852">
            <v>3.7586026058046462</v>
          </cell>
          <cell r="CE852" t="str">
            <v>12LOCAL</v>
          </cell>
          <cell r="CF852" t="str">
            <v>12LOCAL</v>
          </cell>
          <cell r="CG852" t="str">
            <v>12LOCAL</v>
          </cell>
        </row>
        <row r="853">
          <cell r="O853">
            <v>12</v>
          </cell>
          <cell r="AN853">
            <v>0</v>
          </cell>
          <cell r="AO853">
            <v>0</v>
          </cell>
          <cell r="AP853">
            <v>0</v>
          </cell>
          <cell r="AZ853">
            <v>0</v>
          </cell>
          <cell r="BT853">
            <v>0</v>
          </cell>
          <cell r="BX853">
            <v>0</v>
          </cell>
          <cell r="CB853">
            <v>0</v>
          </cell>
          <cell r="CE853" t="str">
            <v>12EU</v>
          </cell>
          <cell r="CF853" t="str">
            <v>12EU</v>
          </cell>
          <cell r="CG853" t="str">
            <v>12EU</v>
          </cell>
        </row>
        <row r="854">
          <cell r="O854">
            <v>12</v>
          </cell>
          <cell r="AN854">
            <v>0</v>
          </cell>
          <cell r="AO854">
            <v>0</v>
          </cell>
          <cell r="AP854">
            <v>0</v>
          </cell>
          <cell r="AZ854">
            <v>0</v>
          </cell>
          <cell r="BT854">
            <v>0</v>
          </cell>
          <cell r="BX854">
            <v>0</v>
          </cell>
          <cell r="CB854">
            <v>0</v>
          </cell>
          <cell r="CE854" t="str">
            <v>12LOCAL</v>
          </cell>
          <cell r="CF854" t="str">
            <v>12LOCAL</v>
          </cell>
          <cell r="CG854" t="str">
            <v>12LOCAL</v>
          </cell>
        </row>
        <row r="855">
          <cell r="O855">
            <v>12</v>
          </cell>
          <cell r="AN855">
            <v>4.6010480174505153</v>
          </cell>
          <cell r="AO855">
            <v>4.6010480174505153</v>
          </cell>
          <cell r="AP855">
            <v>4.6010480174505153</v>
          </cell>
          <cell r="AZ855">
            <v>4.97</v>
          </cell>
          <cell r="BT855">
            <v>4.6010480174505153</v>
          </cell>
          <cell r="BX855">
            <v>4.6010480174505153</v>
          </cell>
          <cell r="CB855">
            <v>4.6010480174505153</v>
          </cell>
          <cell r="CE855" t="str">
            <v>12LOCAL</v>
          </cell>
          <cell r="CF855" t="str">
            <v>12LOCAL</v>
          </cell>
          <cell r="CG855" t="str">
            <v>12LOCAL</v>
          </cell>
        </row>
        <row r="856">
          <cell r="O856">
            <v>12</v>
          </cell>
          <cell r="AN856">
            <v>0.46288209431091709</v>
          </cell>
          <cell r="AO856">
            <v>0.46288209431091709</v>
          </cell>
          <cell r="AP856">
            <v>0.46288209431091709</v>
          </cell>
          <cell r="AZ856">
            <v>0.5</v>
          </cell>
          <cell r="BT856">
            <v>0.46288209431091709</v>
          </cell>
          <cell r="BX856">
            <v>0.46288209431091709</v>
          </cell>
          <cell r="CB856">
            <v>0.46288209431091709</v>
          </cell>
          <cell r="CE856" t="str">
            <v>12LOCAL</v>
          </cell>
          <cell r="CF856" t="str">
            <v>12LOCAL</v>
          </cell>
          <cell r="CG856" t="str">
            <v>12LOCAL</v>
          </cell>
        </row>
        <row r="857">
          <cell r="O857">
            <v>12</v>
          </cell>
          <cell r="AN857">
            <v>3.675283828828682</v>
          </cell>
          <cell r="AO857">
            <v>3.675283828828682</v>
          </cell>
          <cell r="AP857">
            <v>3.675283828828682</v>
          </cell>
          <cell r="AZ857">
            <v>3.97</v>
          </cell>
          <cell r="BT857">
            <v>11.252244658628651</v>
          </cell>
          <cell r="BX857">
            <v>11.252244658628651</v>
          </cell>
          <cell r="CB857">
            <v>11.252244658628651</v>
          </cell>
          <cell r="CE857" t="str">
            <v>12LOCAL</v>
          </cell>
          <cell r="CF857" t="str">
            <v>12LOCAL</v>
          </cell>
          <cell r="CG857" t="str">
            <v>12LOCAL</v>
          </cell>
        </row>
        <row r="858">
          <cell r="O858">
            <v>12</v>
          </cell>
          <cell r="AN858">
            <v>2.5967685490842451</v>
          </cell>
          <cell r="AO858">
            <v>2.5967685490842451</v>
          </cell>
          <cell r="AP858">
            <v>2.5967685490842451</v>
          </cell>
          <cell r="AZ858">
            <v>2.8050000000000002</v>
          </cell>
          <cell r="BT858">
            <v>2.5967685490842451</v>
          </cell>
          <cell r="BX858">
            <v>2.5967685490842451</v>
          </cell>
          <cell r="CB858">
            <v>2.5967685490842451</v>
          </cell>
          <cell r="CE858" t="str">
            <v>12LOCAL</v>
          </cell>
          <cell r="CF858" t="str">
            <v>12LOCAL</v>
          </cell>
          <cell r="CG858" t="str">
            <v>12LOCAL</v>
          </cell>
        </row>
        <row r="859">
          <cell r="O859">
            <v>12</v>
          </cell>
          <cell r="AN859">
            <v>4.3696069702950568</v>
          </cell>
          <cell r="AO859">
            <v>4.3696069702950568</v>
          </cell>
          <cell r="AP859">
            <v>4.3696069702950568</v>
          </cell>
          <cell r="AZ859">
            <v>4.72</v>
          </cell>
          <cell r="BT859">
            <v>4.3696069702950568</v>
          </cell>
          <cell r="BX859">
            <v>4.3696069702950568</v>
          </cell>
          <cell r="CB859">
            <v>4.3696069702950568</v>
          </cell>
          <cell r="CE859" t="str">
            <v>12LOCAL</v>
          </cell>
          <cell r="CF859" t="str">
            <v>12LOCAL</v>
          </cell>
          <cell r="CG859" t="str">
            <v>12LOCAL</v>
          </cell>
        </row>
        <row r="860">
          <cell r="O860">
            <v>12</v>
          </cell>
          <cell r="AN860">
            <v>0</v>
          </cell>
          <cell r="AO860">
            <v>0</v>
          </cell>
          <cell r="AP860">
            <v>0</v>
          </cell>
          <cell r="AZ860">
            <v>0</v>
          </cell>
          <cell r="BT860">
            <v>0</v>
          </cell>
          <cell r="BX860">
            <v>0</v>
          </cell>
          <cell r="CB860">
            <v>0</v>
          </cell>
          <cell r="CE860" t="str">
            <v>12LOCAL</v>
          </cell>
          <cell r="CF860" t="str">
            <v>12LOCAL</v>
          </cell>
          <cell r="CG860" t="str">
            <v>12LOCAL</v>
          </cell>
        </row>
        <row r="861">
          <cell r="O861">
            <v>12</v>
          </cell>
          <cell r="AN861">
            <v>1.4256768504776247</v>
          </cell>
          <cell r="AO861">
            <v>1.4256768504776247</v>
          </cell>
          <cell r="AP861">
            <v>1.4256768504776247</v>
          </cell>
          <cell r="AZ861">
            <v>1.54</v>
          </cell>
          <cell r="BT861">
            <v>1.4256768504776247</v>
          </cell>
          <cell r="BX861">
            <v>1.4256768504776247</v>
          </cell>
          <cell r="CB861">
            <v>1.4256768504776247</v>
          </cell>
          <cell r="CE861" t="str">
            <v>12LOCAL</v>
          </cell>
          <cell r="CF861" t="str">
            <v>12LOCAL</v>
          </cell>
          <cell r="CG861" t="str">
            <v>12LOCAL</v>
          </cell>
        </row>
        <row r="862">
          <cell r="O862">
            <v>12</v>
          </cell>
          <cell r="AN862">
            <v>0.48139737808335381</v>
          </cell>
          <cell r="AO862">
            <v>0.48139737808335381</v>
          </cell>
          <cell r="AP862">
            <v>0.48139737808335381</v>
          </cell>
          <cell r="AZ862">
            <v>0.52</v>
          </cell>
          <cell r="BT862">
            <v>0.48139737808335381</v>
          </cell>
          <cell r="BX862">
            <v>0.48139737808335381</v>
          </cell>
          <cell r="CB862">
            <v>0.48139737808335381</v>
          </cell>
          <cell r="CE862" t="str">
            <v>12LOCAL</v>
          </cell>
          <cell r="CF862" t="str">
            <v>12LOCAL</v>
          </cell>
          <cell r="CG862" t="str">
            <v>12LOCAL</v>
          </cell>
        </row>
        <row r="863">
          <cell r="O863">
            <v>12</v>
          </cell>
          <cell r="AN863">
            <v>0.47213973619713545</v>
          </cell>
          <cell r="AO863">
            <v>0.47213973619713545</v>
          </cell>
          <cell r="AP863">
            <v>0.47213973619713545</v>
          </cell>
          <cell r="AZ863">
            <v>0.51</v>
          </cell>
          <cell r="BT863">
            <v>0.47213973619713545</v>
          </cell>
          <cell r="BX863">
            <v>0.47213973619713545</v>
          </cell>
          <cell r="CB863">
            <v>0.47213973619713545</v>
          </cell>
          <cell r="CE863" t="str">
            <v>12LOCAL</v>
          </cell>
          <cell r="CF863" t="str">
            <v>12LOCAL</v>
          </cell>
          <cell r="CG863" t="str">
            <v>12LOCAL</v>
          </cell>
        </row>
        <row r="864">
          <cell r="O864">
            <v>12</v>
          </cell>
          <cell r="AN864">
            <v>0</v>
          </cell>
          <cell r="AO864">
            <v>0</v>
          </cell>
          <cell r="AP864">
            <v>0</v>
          </cell>
          <cell r="AZ864">
            <v>0</v>
          </cell>
          <cell r="BT864">
            <v>0</v>
          </cell>
          <cell r="BX864">
            <v>0</v>
          </cell>
          <cell r="CB864">
            <v>0</v>
          </cell>
          <cell r="CE864" t="str">
            <v>12LOCAL</v>
          </cell>
          <cell r="CF864" t="str">
            <v>12LOCAL</v>
          </cell>
          <cell r="CG864" t="str">
            <v>12LOCAL</v>
          </cell>
        </row>
        <row r="865">
          <cell r="O865">
            <v>12</v>
          </cell>
          <cell r="AN865">
            <v>0.56934497600242806</v>
          </cell>
          <cell r="AO865">
            <v>0.56934497600242806</v>
          </cell>
          <cell r="AP865">
            <v>0.56934497600242806</v>
          </cell>
          <cell r="AZ865">
            <v>0.61499999999999999</v>
          </cell>
          <cell r="BT865">
            <v>0.56934497600242806</v>
          </cell>
          <cell r="BX865">
            <v>0.56934497600242806</v>
          </cell>
          <cell r="CB865">
            <v>0.56934497600242806</v>
          </cell>
          <cell r="CE865" t="str">
            <v>12LOCAL</v>
          </cell>
          <cell r="CF865" t="str">
            <v>12LOCAL</v>
          </cell>
          <cell r="CG865" t="str">
            <v>12LOCAL</v>
          </cell>
        </row>
        <row r="866">
          <cell r="O866">
            <v>12</v>
          </cell>
          <cell r="AN866">
            <v>0.50917030374200889</v>
          </cell>
          <cell r="AO866">
            <v>0.50917030374200889</v>
          </cell>
          <cell r="AP866">
            <v>0.50917030374200889</v>
          </cell>
          <cell r="AZ866">
            <v>0.55000000000000004</v>
          </cell>
          <cell r="BT866">
            <v>0.50917030374200889</v>
          </cell>
          <cell r="BX866">
            <v>0.50917030374200889</v>
          </cell>
          <cell r="CB866">
            <v>0.50917030374200889</v>
          </cell>
          <cell r="CE866" t="str">
            <v>12LOCAL</v>
          </cell>
          <cell r="CF866" t="str">
            <v>12LOCAL</v>
          </cell>
          <cell r="CG866" t="str">
            <v>12LOCAL</v>
          </cell>
        </row>
        <row r="867">
          <cell r="O867">
            <v>12</v>
          </cell>
          <cell r="AN867">
            <v>0.31475982413142367</v>
          </cell>
          <cell r="AO867">
            <v>0.31475982413142367</v>
          </cell>
          <cell r="AP867">
            <v>0.31475982413142367</v>
          </cell>
          <cell r="AZ867">
            <v>0.34</v>
          </cell>
          <cell r="BT867">
            <v>0.31707423460297823</v>
          </cell>
          <cell r="BX867">
            <v>0.31707423460297823</v>
          </cell>
          <cell r="CB867">
            <v>0.31707423460297823</v>
          </cell>
          <cell r="CE867" t="str">
            <v>12LOCAL</v>
          </cell>
          <cell r="CF867" t="str">
            <v>12LOCAL</v>
          </cell>
          <cell r="CG867" t="str">
            <v>12LOCAL</v>
          </cell>
        </row>
        <row r="868">
          <cell r="O868">
            <v>12</v>
          </cell>
          <cell r="AN868">
            <v>0</v>
          </cell>
          <cell r="AO868">
            <v>0</v>
          </cell>
          <cell r="AP868">
            <v>0</v>
          </cell>
          <cell r="AZ868">
            <v>0</v>
          </cell>
          <cell r="BT868">
            <v>43.305603400886866</v>
          </cell>
          <cell r="BX868">
            <v>0</v>
          </cell>
          <cell r="CB868">
            <v>43.305603400886866</v>
          </cell>
          <cell r="CE868" t="str">
            <v>12LOCAL</v>
          </cell>
          <cell r="CF868" t="str">
            <v>12LOCAL</v>
          </cell>
          <cell r="CG868" t="str">
            <v>12LOCAL</v>
          </cell>
        </row>
        <row r="869">
          <cell r="O869">
            <v>12</v>
          </cell>
          <cell r="AN869">
            <v>0</v>
          </cell>
          <cell r="AO869">
            <v>0</v>
          </cell>
          <cell r="AP869">
            <v>0</v>
          </cell>
          <cell r="AZ869">
            <v>0</v>
          </cell>
          <cell r="BT869">
            <v>0</v>
          </cell>
          <cell r="BX869">
            <v>0</v>
          </cell>
          <cell r="CB869">
            <v>0</v>
          </cell>
          <cell r="CE869" t="str">
            <v>12EU</v>
          </cell>
          <cell r="CF869" t="str">
            <v>12EU</v>
          </cell>
          <cell r="CG869" t="str">
            <v>12EU</v>
          </cell>
        </row>
        <row r="870">
          <cell r="O870">
            <v>12</v>
          </cell>
          <cell r="AN870">
            <v>1.0090829655977993</v>
          </cell>
          <cell r="AO870">
            <v>0</v>
          </cell>
          <cell r="AP870">
            <v>1.0090829655977993</v>
          </cell>
          <cell r="AZ870">
            <v>0</v>
          </cell>
          <cell r="BT870">
            <v>1.0090829655977993</v>
          </cell>
          <cell r="BX870">
            <v>0</v>
          </cell>
          <cell r="CB870">
            <v>1.0090829655977993</v>
          </cell>
          <cell r="CE870" t="str">
            <v>12LOCAL</v>
          </cell>
          <cell r="CF870" t="str">
            <v>12LOCAL</v>
          </cell>
          <cell r="CG870" t="str">
            <v>12LOCAL</v>
          </cell>
        </row>
        <row r="871">
          <cell r="O871">
            <v>12</v>
          </cell>
          <cell r="AN871">
            <v>0.14812227017949348</v>
          </cell>
          <cell r="AO871">
            <v>0</v>
          </cell>
          <cell r="AP871">
            <v>0.14812227017949348</v>
          </cell>
          <cell r="AZ871">
            <v>0</v>
          </cell>
          <cell r="BT871">
            <v>0.14812227017949348</v>
          </cell>
          <cell r="BX871">
            <v>0</v>
          </cell>
          <cell r="CB871">
            <v>0.14812227017949348</v>
          </cell>
          <cell r="CE871" t="str">
            <v>12LOCAL</v>
          </cell>
          <cell r="CF871" t="str">
            <v>12LOCAL</v>
          </cell>
          <cell r="CG871" t="str">
            <v>12LOCAL</v>
          </cell>
        </row>
        <row r="872">
          <cell r="O872">
            <v>12</v>
          </cell>
          <cell r="AN872">
            <v>24.680410386563789</v>
          </cell>
          <cell r="AO872">
            <v>0</v>
          </cell>
          <cell r="AP872">
            <v>24.680410386563789</v>
          </cell>
          <cell r="AZ872">
            <v>0</v>
          </cell>
          <cell r="BT872">
            <v>24.680410386563789</v>
          </cell>
          <cell r="BX872">
            <v>0</v>
          </cell>
          <cell r="CB872">
            <v>24.680410386563789</v>
          </cell>
          <cell r="CE872" t="str">
            <v>12LOCAL</v>
          </cell>
          <cell r="CF872" t="str">
            <v>12LOCAL</v>
          </cell>
          <cell r="CG872" t="str">
            <v>12LOCAL</v>
          </cell>
        </row>
        <row r="873">
          <cell r="O873">
            <v>12</v>
          </cell>
          <cell r="AN873">
            <v>2.0459388568542534</v>
          </cell>
          <cell r="AO873">
            <v>0</v>
          </cell>
          <cell r="AP873">
            <v>2.0459388568542534</v>
          </cell>
          <cell r="AZ873">
            <v>0</v>
          </cell>
          <cell r="BT873">
            <v>2.0459388568542534</v>
          </cell>
          <cell r="BX873">
            <v>0</v>
          </cell>
          <cell r="CB873">
            <v>2.0459388568542534</v>
          </cell>
          <cell r="CE873" t="str">
            <v>12LOCAL</v>
          </cell>
          <cell r="CF873" t="str">
            <v>12LOCAL</v>
          </cell>
          <cell r="CG873" t="str">
            <v>12LOCAL</v>
          </cell>
        </row>
        <row r="874">
          <cell r="O874">
            <v>12</v>
          </cell>
          <cell r="AN874">
            <v>0</v>
          </cell>
          <cell r="AO874">
            <v>0</v>
          </cell>
          <cell r="AP874">
            <v>0</v>
          </cell>
          <cell r="AZ874">
            <v>0</v>
          </cell>
          <cell r="BT874">
            <v>0</v>
          </cell>
          <cell r="BX874">
            <v>0</v>
          </cell>
          <cell r="CB874">
            <v>0</v>
          </cell>
          <cell r="CE874" t="str">
            <v>12LOCAL</v>
          </cell>
          <cell r="CF874" t="str">
            <v>12LOCAL</v>
          </cell>
          <cell r="CG874" t="str">
            <v>12LOCAL</v>
          </cell>
        </row>
        <row r="875">
          <cell r="O875">
            <v>12</v>
          </cell>
          <cell r="AN875">
            <v>0</v>
          </cell>
          <cell r="AO875">
            <v>0</v>
          </cell>
          <cell r="AP875">
            <v>0</v>
          </cell>
          <cell r="AZ875">
            <v>0</v>
          </cell>
          <cell r="BT875">
            <v>0</v>
          </cell>
          <cell r="BX875">
            <v>0</v>
          </cell>
          <cell r="CB875">
            <v>0</v>
          </cell>
          <cell r="CE875" t="str">
            <v>12EU</v>
          </cell>
          <cell r="CF875" t="str">
            <v>12EU</v>
          </cell>
          <cell r="CG875" t="str">
            <v>12EU</v>
          </cell>
        </row>
        <row r="876">
          <cell r="O876">
            <v>12</v>
          </cell>
          <cell r="AN876">
            <v>0</v>
          </cell>
          <cell r="AO876">
            <v>0.84244541164586917</v>
          </cell>
          <cell r="AP876">
            <v>0</v>
          </cell>
          <cell r="AZ876">
            <v>0.91</v>
          </cell>
          <cell r="BT876">
            <v>0</v>
          </cell>
          <cell r="BX876">
            <v>0.84244541164586917</v>
          </cell>
          <cell r="CB876">
            <v>0</v>
          </cell>
          <cell r="CE876" t="str">
            <v>12LOCAL</v>
          </cell>
          <cell r="CF876" t="str">
            <v>12LOCAL</v>
          </cell>
          <cell r="CG876" t="str">
            <v>12LOCAL</v>
          </cell>
        </row>
        <row r="877">
          <cell r="O877">
            <v>12</v>
          </cell>
          <cell r="AN877">
            <v>0</v>
          </cell>
          <cell r="AO877">
            <v>0</v>
          </cell>
          <cell r="AP877">
            <v>0</v>
          </cell>
          <cell r="AZ877">
            <v>0</v>
          </cell>
          <cell r="BT877">
            <v>0</v>
          </cell>
          <cell r="BX877">
            <v>0</v>
          </cell>
          <cell r="CB877">
            <v>0</v>
          </cell>
          <cell r="CE877" t="str">
            <v>12EU</v>
          </cell>
          <cell r="CF877" t="str">
            <v>12EU</v>
          </cell>
          <cell r="CG877" t="str">
            <v>12EU</v>
          </cell>
        </row>
        <row r="878">
          <cell r="O878">
            <v>12</v>
          </cell>
          <cell r="AN878">
            <v>0.71746724618192148</v>
          </cell>
          <cell r="AO878">
            <v>0.71746724618192148</v>
          </cell>
          <cell r="AP878">
            <v>0.71746724618192148</v>
          </cell>
          <cell r="AZ878">
            <v>0.77500000000000002</v>
          </cell>
          <cell r="BT878">
            <v>2.8731630446732876</v>
          </cell>
          <cell r="BX878">
            <v>2.8731630446732876</v>
          </cell>
          <cell r="CB878">
            <v>2.8731630446732876</v>
          </cell>
          <cell r="CE878" t="str">
            <v>12LOCAL</v>
          </cell>
          <cell r="CF878" t="str">
            <v>12LOCAL</v>
          </cell>
          <cell r="CG878" t="str">
            <v>12LOCAL</v>
          </cell>
        </row>
        <row r="879">
          <cell r="O879">
            <v>12</v>
          </cell>
          <cell r="AN879">
            <v>1.1942358033221661</v>
          </cell>
          <cell r="AO879">
            <v>1.1942358033221661</v>
          </cell>
          <cell r="AP879">
            <v>1.1942358033221661</v>
          </cell>
          <cell r="AZ879">
            <v>1.29</v>
          </cell>
          <cell r="BT879">
            <v>1.1942358033221661</v>
          </cell>
          <cell r="BX879">
            <v>1.1942358033221661</v>
          </cell>
          <cell r="CB879">
            <v>1.1942358033221661</v>
          </cell>
          <cell r="CE879" t="str">
            <v>12LOCAL</v>
          </cell>
          <cell r="CF879" t="str">
            <v>12LOCAL</v>
          </cell>
          <cell r="CG879" t="str">
            <v>12LOCAL</v>
          </cell>
        </row>
        <row r="880">
          <cell r="O880">
            <v>12</v>
          </cell>
          <cell r="AN880">
            <v>0.85170305353208753</v>
          </cell>
          <cell r="AO880">
            <v>0.85170305353208753</v>
          </cell>
          <cell r="AP880">
            <v>0.85170305353208753</v>
          </cell>
          <cell r="AZ880">
            <v>0.92</v>
          </cell>
          <cell r="BT880">
            <v>0.85170305353208753</v>
          </cell>
          <cell r="BX880">
            <v>0.85170305353208753</v>
          </cell>
          <cell r="CB880">
            <v>0.85170305353208753</v>
          </cell>
          <cell r="CE880" t="str">
            <v>12LOCAL</v>
          </cell>
          <cell r="CF880" t="str">
            <v>12LOCAL</v>
          </cell>
          <cell r="CG880" t="str">
            <v>12LOCAL</v>
          </cell>
        </row>
        <row r="881">
          <cell r="O881">
            <v>12</v>
          </cell>
          <cell r="AN881">
            <v>0</v>
          </cell>
          <cell r="AO881">
            <v>0</v>
          </cell>
          <cell r="AP881">
            <v>0</v>
          </cell>
          <cell r="AZ881">
            <v>0</v>
          </cell>
          <cell r="BT881">
            <v>0</v>
          </cell>
          <cell r="BX881">
            <v>0</v>
          </cell>
          <cell r="CB881">
            <v>0</v>
          </cell>
          <cell r="CE881" t="str">
            <v>12EU</v>
          </cell>
          <cell r="CF881" t="str">
            <v>12EU</v>
          </cell>
          <cell r="CG881" t="str">
            <v>12EU</v>
          </cell>
        </row>
        <row r="882">
          <cell r="O882">
            <v>12</v>
          </cell>
          <cell r="AN882">
            <v>1.2960698640705677</v>
          </cell>
          <cell r="AO882">
            <v>1.2960698640705677</v>
          </cell>
          <cell r="AP882">
            <v>1.2960698640705677</v>
          </cell>
          <cell r="AZ882">
            <v>1.4</v>
          </cell>
          <cell r="BT882">
            <v>4.9019679700956491</v>
          </cell>
          <cell r="BX882">
            <v>4.9019679700956491</v>
          </cell>
          <cell r="CB882">
            <v>4.9019679700956491</v>
          </cell>
          <cell r="CE882" t="str">
            <v>12LOCAL</v>
          </cell>
          <cell r="CF882" t="str">
            <v>12LOCAL</v>
          </cell>
          <cell r="CG882" t="str">
            <v>12LOCAL</v>
          </cell>
        </row>
        <row r="883">
          <cell r="O883">
            <v>12</v>
          </cell>
          <cell r="AN883">
            <v>0.72209606712503072</v>
          </cell>
          <cell r="AO883">
            <v>0.72209606712503072</v>
          </cell>
          <cell r="AP883">
            <v>0.72209606712503072</v>
          </cell>
          <cell r="AZ883">
            <v>0.78</v>
          </cell>
          <cell r="BT883">
            <v>0.72209606712503072</v>
          </cell>
          <cell r="BX883">
            <v>0.72209606712503072</v>
          </cell>
          <cell r="CB883">
            <v>0.72209606712503072</v>
          </cell>
          <cell r="CE883" t="str">
            <v>12LOCAL</v>
          </cell>
          <cell r="CF883" t="str">
            <v>12LOCAL</v>
          </cell>
          <cell r="CG883" t="str">
            <v>12LOCAL</v>
          </cell>
        </row>
        <row r="884">
          <cell r="O884">
            <v>12</v>
          </cell>
          <cell r="AN884">
            <v>1.4951091646242622</v>
          </cell>
          <cell r="AO884">
            <v>1.4951091646242622</v>
          </cell>
          <cell r="AP884">
            <v>1.4951091646242622</v>
          </cell>
          <cell r="AZ884">
            <v>1.615</v>
          </cell>
          <cell r="BT884">
            <v>1.4951091646242622</v>
          </cell>
          <cell r="BX884">
            <v>1.4951091646242622</v>
          </cell>
          <cell r="CB884">
            <v>1.4951091646242622</v>
          </cell>
          <cell r="CE884" t="str">
            <v>12LOCAL</v>
          </cell>
          <cell r="CF884" t="str">
            <v>12LOCAL</v>
          </cell>
          <cell r="CG884" t="str">
            <v>12LOCAL</v>
          </cell>
        </row>
        <row r="885">
          <cell r="O885">
            <v>12</v>
          </cell>
          <cell r="AN885">
            <v>0.75912663466990393</v>
          </cell>
          <cell r="AO885">
            <v>0.75912663466990393</v>
          </cell>
          <cell r="AP885">
            <v>0.75912663466990393</v>
          </cell>
          <cell r="AZ885">
            <v>0.82</v>
          </cell>
          <cell r="BT885">
            <v>0.75912663466990393</v>
          </cell>
          <cell r="BX885">
            <v>0.75912663466990393</v>
          </cell>
          <cell r="CB885">
            <v>0.75912663466990393</v>
          </cell>
          <cell r="CE885" t="str">
            <v>12LOCAL</v>
          </cell>
          <cell r="CF885" t="str">
            <v>12LOCAL</v>
          </cell>
          <cell r="CG885" t="str">
            <v>12LOCAL</v>
          </cell>
        </row>
        <row r="886">
          <cell r="O886">
            <v>12</v>
          </cell>
          <cell r="AN886">
            <v>0</v>
          </cell>
          <cell r="AO886">
            <v>0</v>
          </cell>
          <cell r="AP886">
            <v>0</v>
          </cell>
          <cell r="AZ886">
            <v>0</v>
          </cell>
          <cell r="BT886">
            <v>0</v>
          </cell>
          <cell r="BX886">
            <v>0</v>
          </cell>
          <cell r="CB886">
            <v>0</v>
          </cell>
          <cell r="CE886" t="str">
            <v>12EU</v>
          </cell>
          <cell r="CF886" t="str">
            <v>12EU</v>
          </cell>
          <cell r="CG886" t="str">
            <v>12EU</v>
          </cell>
        </row>
        <row r="887">
          <cell r="O887">
            <v>12</v>
          </cell>
          <cell r="AN887">
            <v>0</v>
          </cell>
          <cell r="AO887">
            <v>0.54620087128688211</v>
          </cell>
          <cell r="AP887">
            <v>0</v>
          </cell>
          <cell r="AZ887">
            <v>0.59</v>
          </cell>
          <cell r="BT887">
            <v>0</v>
          </cell>
          <cell r="BX887">
            <v>0.54620087128688211</v>
          </cell>
          <cell r="CB887">
            <v>0</v>
          </cell>
          <cell r="CE887" t="str">
            <v>12LOCAL</v>
          </cell>
          <cell r="CF887" t="str">
            <v>12LOCAL</v>
          </cell>
          <cell r="CG887" t="str">
            <v>12LOCAL</v>
          </cell>
        </row>
        <row r="888">
          <cell r="O888">
            <v>12</v>
          </cell>
          <cell r="AN888">
            <v>0</v>
          </cell>
          <cell r="AO888">
            <v>0</v>
          </cell>
          <cell r="AP888">
            <v>0</v>
          </cell>
          <cell r="AZ888">
            <v>0</v>
          </cell>
          <cell r="BT888">
            <v>0</v>
          </cell>
          <cell r="BX888">
            <v>0</v>
          </cell>
          <cell r="CB888">
            <v>0</v>
          </cell>
          <cell r="CE888" t="str">
            <v>12EU</v>
          </cell>
          <cell r="CF888" t="str">
            <v>12EU</v>
          </cell>
          <cell r="CG888" t="str">
            <v>12EU</v>
          </cell>
        </row>
        <row r="889">
          <cell r="O889">
            <v>12</v>
          </cell>
          <cell r="AN889">
            <v>0</v>
          </cell>
          <cell r="AO889">
            <v>0</v>
          </cell>
          <cell r="AP889">
            <v>0</v>
          </cell>
          <cell r="AZ889">
            <v>0</v>
          </cell>
          <cell r="BT889">
            <v>0</v>
          </cell>
          <cell r="BX889">
            <v>0</v>
          </cell>
          <cell r="CB889">
            <v>0</v>
          </cell>
          <cell r="CE889" t="str">
            <v>12LOCAL</v>
          </cell>
          <cell r="CF889" t="str">
            <v>12LOCAL</v>
          </cell>
          <cell r="CG889" t="str">
            <v>12LOCAL</v>
          </cell>
        </row>
        <row r="890">
          <cell r="O890">
            <v>12</v>
          </cell>
          <cell r="AN890">
            <v>0</v>
          </cell>
          <cell r="AO890">
            <v>0</v>
          </cell>
          <cell r="AP890">
            <v>0</v>
          </cell>
          <cell r="AZ890">
            <v>0</v>
          </cell>
          <cell r="BT890">
            <v>0</v>
          </cell>
          <cell r="BX890">
            <v>0</v>
          </cell>
          <cell r="CB890">
            <v>0</v>
          </cell>
          <cell r="CE890" t="str">
            <v>12EU</v>
          </cell>
          <cell r="CF890" t="str">
            <v>12EU</v>
          </cell>
          <cell r="CG890" t="str">
            <v>12EU</v>
          </cell>
        </row>
        <row r="891">
          <cell r="O891">
            <v>12</v>
          </cell>
          <cell r="AN891">
            <v>8.5124017143777664</v>
          </cell>
          <cell r="AO891">
            <v>8.5124017143777664</v>
          </cell>
          <cell r="AP891">
            <v>8.5124017143777664</v>
          </cell>
          <cell r="AZ891">
            <v>9.1950000000000003</v>
          </cell>
          <cell r="BT891">
            <v>8.5124017143777664</v>
          </cell>
          <cell r="BX891">
            <v>8.5124017143777664</v>
          </cell>
          <cell r="CB891">
            <v>8.5124017143777664</v>
          </cell>
          <cell r="CE891" t="str">
            <v>12LOCAL</v>
          </cell>
          <cell r="CF891" t="str">
            <v>12LOCAL</v>
          </cell>
          <cell r="CG891" t="str">
            <v>12LOCAL</v>
          </cell>
        </row>
        <row r="892">
          <cell r="O892">
            <v>12</v>
          </cell>
          <cell r="AN892">
            <v>0</v>
          </cell>
          <cell r="AO892">
            <v>0.15737991206571184</v>
          </cell>
          <cell r="AP892">
            <v>0</v>
          </cell>
          <cell r="AZ892">
            <v>0.17</v>
          </cell>
          <cell r="BT892">
            <v>0</v>
          </cell>
          <cell r="BX892">
            <v>0.15275109112260263</v>
          </cell>
          <cell r="CB892">
            <v>0</v>
          </cell>
          <cell r="CE892" t="str">
            <v>12LOCAL</v>
          </cell>
          <cell r="CF892" t="str">
            <v>12LOCAL</v>
          </cell>
          <cell r="CG892" t="str">
            <v>12LOCAL</v>
          </cell>
        </row>
        <row r="893">
          <cell r="O893">
            <v>12</v>
          </cell>
          <cell r="AN893">
            <v>0</v>
          </cell>
          <cell r="AO893">
            <v>3.1059388528262537</v>
          </cell>
          <cell r="AP893">
            <v>0</v>
          </cell>
          <cell r="AZ893">
            <v>3.355</v>
          </cell>
          <cell r="BT893">
            <v>0</v>
          </cell>
          <cell r="BX893">
            <v>3.1059388528262537</v>
          </cell>
          <cell r="CB893">
            <v>0</v>
          </cell>
          <cell r="CE893" t="str">
            <v>12LOCAL</v>
          </cell>
          <cell r="CF893" t="str">
            <v>12LOCAL</v>
          </cell>
          <cell r="CG893" t="str">
            <v>12LOCAL</v>
          </cell>
        </row>
        <row r="894">
          <cell r="O894">
            <v>12</v>
          </cell>
          <cell r="AN894">
            <v>0</v>
          </cell>
          <cell r="AO894">
            <v>0</v>
          </cell>
          <cell r="AP894">
            <v>0</v>
          </cell>
          <cell r="AZ894">
            <v>0</v>
          </cell>
          <cell r="BT894">
            <v>0</v>
          </cell>
          <cell r="BX894">
            <v>0</v>
          </cell>
          <cell r="CB894">
            <v>0</v>
          </cell>
          <cell r="CE894" t="str">
            <v>12LOCAL</v>
          </cell>
          <cell r="CF894" t="str">
            <v>12LOCAL</v>
          </cell>
          <cell r="CG894" t="str">
            <v>12LOCAL</v>
          </cell>
        </row>
        <row r="895">
          <cell r="O895">
            <v>12</v>
          </cell>
          <cell r="AN895">
            <v>0</v>
          </cell>
          <cell r="AO895">
            <v>1.3377292525585505</v>
          </cell>
          <cell r="AP895">
            <v>0</v>
          </cell>
          <cell r="AZ895">
            <v>1.4450000000000001</v>
          </cell>
          <cell r="BT895">
            <v>0</v>
          </cell>
          <cell r="BX895">
            <v>1.3377292525585505</v>
          </cell>
          <cell r="CB895">
            <v>0</v>
          </cell>
          <cell r="CE895" t="str">
            <v>12LOCAL</v>
          </cell>
          <cell r="CF895" t="str">
            <v>12LOCAL</v>
          </cell>
          <cell r="CG895" t="str">
            <v>12LOCAL</v>
          </cell>
        </row>
        <row r="896">
          <cell r="O896">
            <v>12</v>
          </cell>
          <cell r="AN896">
            <v>0</v>
          </cell>
          <cell r="AO896">
            <v>0.86096069541830589</v>
          </cell>
          <cell r="AP896">
            <v>0</v>
          </cell>
          <cell r="AZ896">
            <v>0.93</v>
          </cell>
          <cell r="BT896">
            <v>0</v>
          </cell>
          <cell r="BX896">
            <v>0.86096069541830589</v>
          </cell>
          <cell r="CB896">
            <v>0</v>
          </cell>
          <cell r="CE896" t="str">
            <v>12LOCAL</v>
          </cell>
          <cell r="CF896" t="str">
            <v>12LOCAL</v>
          </cell>
          <cell r="CG896" t="str">
            <v>12LOCAL</v>
          </cell>
        </row>
        <row r="897">
          <cell r="O897">
            <v>12</v>
          </cell>
          <cell r="AN897">
            <v>0</v>
          </cell>
          <cell r="AO897">
            <v>4.6936244363126995</v>
          </cell>
          <cell r="AP897">
            <v>0</v>
          </cell>
          <cell r="AZ897">
            <v>5.07</v>
          </cell>
          <cell r="BT897">
            <v>0</v>
          </cell>
          <cell r="BX897">
            <v>4.6936244363126995</v>
          </cell>
          <cell r="CB897">
            <v>0</v>
          </cell>
          <cell r="CE897" t="str">
            <v>12LOCAL</v>
          </cell>
          <cell r="CF897" t="str">
            <v>12LOCAL</v>
          </cell>
          <cell r="CG897" t="str">
            <v>12LOCAL</v>
          </cell>
        </row>
        <row r="898">
          <cell r="O898">
            <v>12</v>
          </cell>
          <cell r="AN898">
            <v>0</v>
          </cell>
          <cell r="AO898">
            <v>0</v>
          </cell>
          <cell r="AP898">
            <v>0</v>
          </cell>
          <cell r="AZ898">
            <v>0</v>
          </cell>
          <cell r="BT898">
            <v>0</v>
          </cell>
          <cell r="BX898">
            <v>0</v>
          </cell>
          <cell r="CB898">
            <v>0</v>
          </cell>
          <cell r="CE898" t="str">
            <v>12LOCAL</v>
          </cell>
          <cell r="CF898" t="str">
            <v>12LOCAL</v>
          </cell>
          <cell r="CG898" t="str">
            <v>12LOCAL</v>
          </cell>
        </row>
        <row r="899">
          <cell r="O899">
            <v>12</v>
          </cell>
          <cell r="AN899">
            <v>0</v>
          </cell>
          <cell r="AO899">
            <v>0</v>
          </cell>
          <cell r="AP899">
            <v>0</v>
          </cell>
          <cell r="AZ899">
            <v>0</v>
          </cell>
          <cell r="BT899">
            <v>16.898889581119214</v>
          </cell>
          <cell r="BX899">
            <v>0</v>
          </cell>
          <cell r="CB899">
            <v>16.898889581119214</v>
          </cell>
          <cell r="CE899" t="str">
            <v>12LOCAL</v>
          </cell>
          <cell r="CF899" t="str">
            <v>12LOCAL</v>
          </cell>
          <cell r="CG899" t="str">
            <v>12LOCAL</v>
          </cell>
        </row>
        <row r="900">
          <cell r="O900">
            <v>12</v>
          </cell>
          <cell r="AN900">
            <v>1.8973999927898801</v>
          </cell>
          <cell r="AO900">
            <v>0</v>
          </cell>
          <cell r="AP900">
            <v>1.8973999927898801</v>
          </cell>
          <cell r="AZ900">
            <v>0</v>
          </cell>
          <cell r="BT900">
            <v>1.8973999927898801</v>
          </cell>
          <cell r="BX900">
            <v>0</v>
          </cell>
          <cell r="CB900">
            <v>1.8973999927898801</v>
          </cell>
          <cell r="CE900" t="str">
            <v>12LOCAL</v>
          </cell>
          <cell r="CF900" t="str">
            <v>12LOCAL</v>
          </cell>
          <cell r="CG900" t="str">
            <v>12LOCAL</v>
          </cell>
        </row>
        <row r="901">
          <cell r="O901">
            <v>12</v>
          </cell>
          <cell r="AN901">
            <v>1.8973999927898801</v>
          </cell>
          <cell r="AO901">
            <v>0</v>
          </cell>
          <cell r="AP901">
            <v>1.8973999927898801</v>
          </cell>
          <cell r="AZ901">
            <v>0</v>
          </cell>
          <cell r="BT901">
            <v>1.8973999927898801</v>
          </cell>
          <cell r="BX901">
            <v>0</v>
          </cell>
          <cell r="CB901">
            <v>1.8973999927898801</v>
          </cell>
          <cell r="CE901" t="str">
            <v>12LOCAL</v>
          </cell>
          <cell r="CF901" t="str">
            <v>12LOCAL</v>
          </cell>
          <cell r="CG901" t="str">
            <v>12LOCAL</v>
          </cell>
        </row>
        <row r="902">
          <cell r="O902">
            <v>12</v>
          </cell>
          <cell r="AN902">
            <v>0</v>
          </cell>
          <cell r="AO902">
            <v>0</v>
          </cell>
          <cell r="AP902">
            <v>0</v>
          </cell>
          <cell r="AZ902">
            <v>0</v>
          </cell>
          <cell r="BT902">
            <v>0</v>
          </cell>
          <cell r="BX902">
            <v>0</v>
          </cell>
          <cell r="CB902">
            <v>0</v>
          </cell>
          <cell r="CE902" t="str">
            <v>12LOCAL</v>
          </cell>
          <cell r="CF902" t="str">
            <v>12LOCAL</v>
          </cell>
          <cell r="CG902" t="str">
            <v>12LOCAL</v>
          </cell>
        </row>
        <row r="903">
          <cell r="O903">
            <v>12</v>
          </cell>
          <cell r="AN903">
            <v>7.7995632891389537</v>
          </cell>
          <cell r="AO903">
            <v>0</v>
          </cell>
          <cell r="AP903">
            <v>7.7995632891389537</v>
          </cell>
          <cell r="AZ903">
            <v>0</v>
          </cell>
          <cell r="BT903">
            <v>7.7995632891389537</v>
          </cell>
          <cell r="BX903">
            <v>0</v>
          </cell>
          <cell r="CB903">
            <v>7.7995632891389537</v>
          </cell>
          <cell r="CE903" t="str">
            <v>12LOCAL</v>
          </cell>
          <cell r="CF903" t="str">
            <v>12LOCAL</v>
          </cell>
          <cell r="CG903" t="str">
            <v>12LOCAL</v>
          </cell>
        </row>
        <row r="904">
          <cell r="O904">
            <v>12</v>
          </cell>
          <cell r="AN904">
            <v>1.2544104755825853</v>
          </cell>
          <cell r="AO904">
            <v>0</v>
          </cell>
          <cell r="AP904">
            <v>1.2544104755825853</v>
          </cell>
          <cell r="AZ904">
            <v>0</v>
          </cell>
          <cell r="BT904">
            <v>1.2544104755825853</v>
          </cell>
          <cell r="BX904">
            <v>0</v>
          </cell>
          <cell r="CB904">
            <v>1.2544104755825853</v>
          </cell>
          <cell r="CE904" t="str">
            <v>12LOCAL</v>
          </cell>
          <cell r="CF904" t="str">
            <v>12LOCAL</v>
          </cell>
          <cell r="CG904" t="str">
            <v>12LOCAL</v>
          </cell>
        </row>
        <row r="905">
          <cell r="O905">
            <v>12</v>
          </cell>
          <cell r="AN905">
            <v>1.3377292525585505</v>
          </cell>
          <cell r="AO905">
            <v>0</v>
          </cell>
          <cell r="AP905">
            <v>1.3377292525585505</v>
          </cell>
          <cell r="AZ905">
            <v>0</v>
          </cell>
          <cell r="BT905">
            <v>1.3377292525585505</v>
          </cell>
          <cell r="BX905">
            <v>0</v>
          </cell>
          <cell r="CB905">
            <v>1.3377292525585505</v>
          </cell>
          <cell r="CE905" t="str">
            <v>12LOCAL</v>
          </cell>
          <cell r="CF905" t="str">
            <v>12LOCAL</v>
          </cell>
          <cell r="CG905" t="str">
            <v>12LOCAL</v>
          </cell>
        </row>
        <row r="906">
          <cell r="O906">
            <v>12</v>
          </cell>
          <cell r="AN906">
            <v>0</v>
          </cell>
          <cell r="AO906">
            <v>0</v>
          </cell>
          <cell r="AP906">
            <v>0</v>
          </cell>
          <cell r="AZ906">
            <v>0</v>
          </cell>
          <cell r="BT906">
            <v>0</v>
          </cell>
          <cell r="BX906">
            <v>0</v>
          </cell>
          <cell r="CB906">
            <v>0</v>
          </cell>
          <cell r="CE906" t="str">
            <v>12LOCAL</v>
          </cell>
          <cell r="CF906" t="str">
            <v>12LOCAL</v>
          </cell>
          <cell r="CG906" t="str">
            <v>12LOCAL</v>
          </cell>
        </row>
        <row r="907">
          <cell r="O907">
            <v>12</v>
          </cell>
          <cell r="AN907">
            <v>1.7126637489503933</v>
          </cell>
          <cell r="AO907">
            <v>0</v>
          </cell>
          <cell r="AP907">
            <v>1.7126637489503933</v>
          </cell>
          <cell r="AZ907">
            <v>0</v>
          </cell>
          <cell r="BT907">
            <v>1.7126637489503933</v>
          </cell>
          <cell r="BX907">
            <v>0</v>
          </cell>
          <cell r="CB907">
            <v>1.7126637489503933</v>
          </cell>
          <cell r="CE907" t="str">
            <v>12LOCAL</v>
          </cell>
          <cell r="CF907" t="str">
            <v>12LOCAL</v>
          </cell>
          <cell r="CG907" t="str">
            <v>12LOCAL</v>
          </cell>
        </row>
        <row r="908">
          <cell r="O908">
            <v>12</v>
          </cell>
          <cell r="AN908">
            <v>1.2590392965256947</v>
          </cell>
          <cell r="AO908">
            <v>0</v>
          </cell>
          <cell r="AP908">
            <v>1.2590392965256947</v>
          </cell>
          <cell r="AZ908">
            <v>0</v>
          </cell>
          <cell r="BT908">
            <v>1.2590392965256947</v>
          </cell>
          <cell r="BX908">
            <v>0</v>
          </cell>
          <cell r="CB908">
            <v>1.2590392965256947</v>
          </cell>
          <cell r="CE908" t="str">
            <v>12LOCAL</v>
          </cell>
          <cell r="CF908" t="str">
            <v>12LOCAL</v>
          </cell>
          <cell r="CG908" t="str">
            <v>12LOCAL</v>
          </cell>
        </row>
        <row r="909">
          <cell r="O909">
            <v>12</v>
          </cell>
          <cell r="AN909">
            <v>0</v>
          </cell>
          <cell r="AO909">
            <v>0</v>
          </cell>
          <cell r="AP909">
            <v>0</v>
          </cell>
          <cell r="AZ909">
            <v>0</v>
          </cell>
          <cell r="BT909">
            <v>0</v>
          </cell>
          <cell r="BX909">
            <v>0</v>
          </cell>
          <cell r="CB909">
            <v>0</v>
          </cell>
          <cell r="CE909" t="str">
            <v>12EU</v>
          </cell>
          <cell r="CF909" t="str">
            <v>12EU</v>
          </cell>
          <cell r="CG909" t="str">
            <v>12EU</v>
          </cell>
        </row>
        <row r="910">
          <cell r="O910">
            <v>12</v>
          </cell>
          <cell r="AN910">
            <v>0</v>
          </cell>
          <cell r="AO910">
            <v>0</v>
          </cell>
          <cell r="AP910">
            <v>0</v>
          </cell>
          <cell r="AZ910">
            <v>0</v>
          </cell>
          <cell r="BT910">
            <v>0</v>
          </cell>
          <cell r="BX910">
            <v>0</v>
          </cell>
          <cell r="CB910">
            <v>0</v>
          </cell>
          <cell r="CE910" t="str">
            <v>12EU</v>
          </cell>
          <cell r="CF910" t="str">
            <v>12EU</v>
          </cell>
          <cell r="CG910" t="str">
            <v>12EU</v>
          </cell>
        </row>
        <row r="911">
          <cell r="O911">
            <v>12</v>
          </cell>
          <cell r="AN911">
            <v>0</v>
          </cell>
          <cell r="AO911">
            <v>0</v>
          </cell>
          <cell r="AP911">
            <v>0</v>
          </cell>
          <cell r="AZ911">
            <v>0</v>
          </cell>
          <cell r="BT911">
            <v>0</v>
          </cell>
          <cell r="BX911">
            <v>0</v>
          </cell>
          <cell r="CB911">
            <v>0</v>
          </cell>
          <cell r="CE911" t="str">
            <v>12EU</v>
          </cell>
          <cell r="CF911" t="str">
            <v>12EU</v>
          </cell>
          <cell r="CG911" t="str">
            <v>12EU</v>
          </cell>
        </row>
        <row r="912">
          <cell r="O912">
            <v>12</v>
          </cell>
          <cell r="AN912">
            <v>0.96279475616670762</v>
          </cell>
          <cell r="AO912">
            <v>0.96279475616670762</v>
          </cell>
          <cell r="AP912">
            <v>0.96279475616670762</v>
          </cell>
          <cell r="AZ912">
            <v>1.04</v>
          </cell>
          <cell r="BT912">
            <v>1.8910103712390516</v>
          </cell>
          <cell r="BX912">
            <v>1.8910103712390516</v>
          </cell>
          <cell r="CB912">
            <v>1.8910103712390516</v>
          </cell>
          <cell r="CE912" t="str">
            <v>12LOCAL</v>
          </cell>
          <cell r="CF912" t="str">
            <v>12LOCAL</v>
          </cell>
          <cell r="CG912" t="str">
            <v>12LOCAL</v>
          </cell>
        </row>
        <row r="913">
          <cell r="O913">
            <v>12</v>
          </cell>
          <cell r="AN913">
            <v>0.50917030374200889</v>
          </cell>
          <cell r="AO913">
            <v>0.50917030374200889</v>
          </cell>
          <cell r="AP913">
            <v>0.50917030374200889</v>
          </cell>
          <cell r="AZ913">
            <v>0.55000000000000004</v>
          </cell>
          <cell r="BT913">
            <v>0.50917030374200889</v>
          </cell>
          <cell r="BX913">
            <v>0.50917030374200889</v>
          </cell>
          <cell r="CB913">
            <v>0.50917030374200889</v>
          </cell>
          <cell r="CE913" t="str">
            <v>12LOCAL</v>
          </cell>
          <cell r="CF913" t="str">
            <v>12LOCAL</v>
          </cell>
          <cell r="CG913" t="str">
            <v>12LOCAL</v>
          </cell>
        </row>
        <row r="914">
          <cell r="O914">
            <v>12</v>
          </cell>
          <cell r="AN914">
            <v>0.15737991206571184</v>
          </cell>
          <cell r="AO914">
            <v>0.15737991206571184</v>
          </cell>
          <cell r="AP914">
            <v>0.15737991206571184</v>
          </cell>
          <cell r="AZ914">
            <v>0.17</v>
          </cell>
          <cell r="BT914">
            <v>0.31707423460297823</v>
          </cell>
          <cell r="BX914">
            <v>0.31707423460297823</v>
          </cell>
          <cell r="CB914">
            <v>0.31707423460297823</v>
          </cell>
          <cell r="CE914" t="str">
            <v>12LOCAL</v>
          </cell>
          <cell r="CF914" t="str">
            <v>12LOCAL</v>
          </cell>
          <cell r="CG914" t="str">
            <v>12LOCAL</v>
          </cell>
        </row>
        <row r="915">
          <cell r="O915">
            <v>12</v>
          </cell>
          <cell r="AN915">
            <v>0.29624454035898695</v>
          </cell>
          <cell r="AO915">
            <v>0.29624454035898695</v>
          </cell>
          <cell r="AP915">
            <v>0.29624454035898695</v>
          </cell>
          <cell r="AZ915">
            <v>0.32</v>
          </cell>
          <cell r="BT915">
            <v>0.29624454035898695</v>
          </cell>
          <cell r="BX915">
            <v>0.29624454035898695</v>
          </cell>
          <cell r="CB915">
            <v>0.29624454035898695</v>
          </cell>
          <cell r="CE915" t="str">
            <v>12LOCAL</v>
          </cell>
          <cell r="CF915" t="str">
            <v>12LOCAL</v>
          </cell>
          <cell r="CG915" t="str">
            <v>12LOCAL</v>
          </cell>
        </row>
        <row r="916">
          <cell r="O916">
            <v>12</v>
          </cell>
          <cell r="AN916">
            <v>0</v>
          </cell>
          <cell r="AO916">
            <v>0</v>
          </cell>
          <cell r="AP916">
            <v>0</v>
          </cell>
          <cell r="AZ916">
            <v>0</v>
          </cell>
          <cell r="BT916">
            <v>0</v>
          </cell>
          <cell r="BX916">
            <v>0</v>
          </cell>
          <cell r="CB916">
            <v>0</v>
          </cell>
          <cell r="CE916" t="str">
            <v>12EU</v>
          </cell>
          <cell r="CF916" t="str">
            <v>12EU</v>
          </cell>
          <cell r="CG916" t="str">
            <v>12EU</v>
          </cell>
        </row>
        <row r="917">
          <cell r="O917">
            <v>12</v>
          </cell>
          <cell r="AN917">
            <v>0</v>
          </cell>
          <cell r="AO917">
            <v>23.505152749108369</v>
          </cell>
          <cell r="AP917">
            <v>0</v>
          </cell>
          <cell r="AZ917">
            <v>25.39</v>
          </cell>
          <cell r="BT917">
            <v>0</v>
          </cell>
          <cell r="BX917">
            <v>23.505152749108372</v>
          </cell>
          <cell r="CB917">
            <v>0</v>
          </cell>
          <cell r="CE917" t="str">
            <v>12LOCAL</v>
          </cell>
          <cell r="CF917" t="str">
            <v>12LOCAL</v>
          </cell>
          <cell r="CG917" t="str">
            <v>12LOCAL</v>
          </cell>
        </row>
        <row r="918">
          <cell r="O918">
            <v>12</v>
          </cell>
          <cell r="AN918">
            <v>0</v>
          </cell>
          <cell r="AO918">
            <v>0</v>
          </cell>
          <cell r="AP918">
            <v>0</v>
          </cell>
          <cell r="AZ918">
            <v>0</v>
          </cell>
          <cell r="BT918">
            <v>0.80624473192362667</v>
          </cell>
          <cell r="BX918">
            <v>0.80624473192362667</v>
          </cell>
          <cell r="CB918">
            <v>0.80624473192362667</v>
          </cell>
          <cell r="CE918" t="str">
            <v>12LOCAL</v>
          </cell>
          <cell r="CF918" t="str">
            <v>12LOCAL</v>
          </cell>
          <cell r="CG918" t="str">
            <v>12LOCAL</v>
          </cell>
        </row>
        <row r="919">
          <cell r="O919">
            <v>12</v>
          </cell>
          <cell r="AN919">
            <v>0.50454148279889965</v>
          </cell>
          <cell r="AO919">
            <v>0.50454148279889965</v>
          </cell>
          <cell r="AP919">
            <v>0.50454148279889965</v>
          </cell>
          <cell r="AZ919">
            <v>0.54500000000000004</v>
          </cell>
          <cell r="BT919">
            <v>0.50454148279889965</v>
          </cell>
          <cell r="BX919">
            <v>0.50454148279889965</v>
          </cell>
          <cell r="CB919">
            <v>0.50454148279889965</v>
          </cell>
          <cell r="CE919" t="str">
            <v>12LOCAL</v>
          </cell>
          <cell r="CF919" t="str">
            <v>12LOCAL</v>
          </cell>
          <cell r="CG919" t="str">
            <v>12LOCAL</v>
          </cell>
        </row>
        <row r="920">
          <cell r="O920">
            <v>12</v>
          </cell>
          <cell r="AN920">
            <v>9.7205239805292581E-2</v>
          </cell>
          <cell r="AO920">
            <v>9.7205239805292581E-2</v>
          </cell>
          <cell r="AP920">
            <v>9.7205239805292581E-2</v>
          </cell>
          <cell r="AZ920">
            <v>0.105</v>
          </cell>
          <cell r="BT920">
            <v>9.7205239805292581E-2</v>
          </cell>
          <cell r="BX920">
            <v>9.7205239805292581E-2</v>
          </cell>
          <cell r="CB920">
            <v>9.7205239805292581E-2</v>
          </cell>
          <cell r="CE920" t="str">
            <v>12LOCAL</v>
          </cell>
          <cell r="CF920" t="str">
            <v>12LOCAL</v>
          </cell>
          <cell r="CG920" t="str">
            <v>12LOCAL</v>
          </cell>
        </row>
        <row r="921">
          <cell r="O921">
            <v>12</v>
          </cell>
          <cell r="AN921">
            <v>0.24069868904167691</v>
          </cell>
          <cell r="AO921">
            <v>0.24069868904167691</v>
          </cell>
          <cell r="AP921">
            <v>0.24069868904167691</v>
          </cell>
          <cell r="AZ921">
            <v>0.26</v>
          </cell>
          <cell r="BT921">
            <v>0.24069868904167691</v>
          </cell>
          <cell r="BX921">
            <v>0.24069868904167691</v>
          </cell>
          <cell r="CB921">
            <v>0.24069868904167691</v>
          </cell>
          <cell r="CE921" t="str">
            <v>12LOCAL</v>
          </cell>
          <cell r="CF921" t="str">
            <v>12LOCAL</v>
          </cell>
          <cell r="CG921" t="str">
            <v>12LOCAL</v>
          </cell>
        </row>
        <row r="922">
          <cell r="O922">
            <v>12</v>
          </cell>
          <cell r="AN922">
            <v>0</v>
          </cell>
          <cell r="AO922">
            <v>0</v>
          </cell>
          <cell r="AP922">
            <v>0</v>
          </cell>
          <cell r="AZ922">
            <v>0</v>
          </cell>
          <cell r="BT922">
            <v>0</v>
          </cell>
          <cell r="BX922">
            <v>0</v>
          </cell>
          <cell r="CB922">
            <v>0</v>
          </cell>
          <cell r="CE922" t="str">
            <v>12EU</v>
          </cell>
          <cell r="CF922" t="str">
            <v>12EU</v>
          </cell>
          <cell r="CG922" t="str">
            <v>12EU</v>
          </cell>
        </row>
        <row r="923">
          <cell r="O923">
            <v>12</v>
          </cell>
          <cell r="AN923">
            <v>1.9487336170489609</v>
          </cell>
          <cell r="AO923">
            <v>1.9487336170489609</v>
          </cell>
          <cell r="AP923">
            <v>1.9487336170489609</v>
          </cell>
          <cell r="AZ923">
            <v>2.105</v>
          </cell>
          <cell r="BT923">
            <v>1.9487336170489609</v>
          </cell>
          <cell r="BX923">
            <v>1.9487336170489609</v>
          </cell>
          <cell r="CB923">
            <v>1.9487336170489609</v>
          </cell>
          <cell r="CE923" t="str">
            <v>12LOCAL</v>
          </cell>
          <cell r="CF923" t="str">
            <v>12LOCAL</v>
          </cell>
          <cell r="CG923" t="str">
            <v>12LOCAL</v>
          </cell>
        </row>
        <row r="924">
          <cell r="O924">
            <v>12</v>
          </cell>
          <cell r="AN924">
            <v>0</v>
          </cell>
          <cell r="AO924">
            <v>0.5600873341162097</v>
          </cell>
          <cell r="AP924">
            <v>0</v>
          </cell>
          <cell r="AZ924">
            <v>0.60499999999999998</v>
          </cell>
          <cell r="BT924">
            <v>0</v>
          </cell>
          <cell r="BX924">
            <v>0.5600873341162097</v>
          </cell>
          <cell r="CB924">
            <v>0</v>
          </cell>
          <cell r="CE924" t="str">
            <v>12LOCAL</v>
          </cell>
          <cell r="CF924" t="str">
            <v>12LOCAL</v>
          </cell>
          <cell r="CG924" t="str">
            <v>12LOCAL</v>
          </cell>
        </row>
        <row r="925">
          <cell r="O925">
            <v>12</v>
          </cell>
          <cell r="AN925">
            <v>0</v>
          </cell>
          <cell r="AO925">
            <v>1.0738864588013275</v>
          </cell>
          <cell r="AP925">
            <v>0</v>
          </cell>
          <cell r="AZ925">
            <v>1.1599999999999999</v>
          </cell>
          <cell r="BT925">
            <v>0</v>
          </cell>
          <cell r="BX925">
            <v>1.0738864588013275</v>
          </cell>
          <cell r="CB925">
            <v>0</v>
          </cell>
          <cell r="CE925" t="str">
            <v>12LOCAL</v>
          </cell>
          <cell r="CF925" t="str">
            <v>12LOCAL</v>
          </cell>
          <cell r="CG925" t="str">
            <v>12LOCAL</v>
          </cell>
        </row>
        <row r="926">
          <cell r="O926">
            <v>12</v>
          </cell>
          <cell r="AN926">
            <v>0</v>
          </cell>
          <cell r="AO926">
            <v>0.52768558751444539</v>
          </cell>
          <cell r="AP926">
            <v>0</v>
          </cell>
          <cell r="AZ926">
            <v>0.56999999999999995</v>
          </cell>
          <cell r="BT926">
            <v>0</v>
          </cell>
          <cell r="BX926">
            <v>0.5276855875144455</v>
          </cell>
          <cell r="CB926">
            <v>0</v>
          </cell>
          <cell r="CE926" t="str">
            <v>12LOCAL</v>
          </cell>
          <cell r="CF926" t="str">
            <v>12LOCAL</v>
          </cell>
          <cell r="CG926" t="str">
            <v>12LOCAL</v>
          </cell>
        </row>
        <row r="927">
          <cell r="O927">
            <v>12</v>
          </cell>
          <cell r="AN927">
            <v>0</v>
          </cell>
          <cell r="AO927">
            <v>0.87484715824763326</v>
          </cell>
          <cell r="AP927">
            <v>0</v>
          </cell>
          <cell r="AZ927">
            <v>0.94499999999999995</v>
          </cell>
          <cell r="BT927">
            <v>0</v>
          </cell>
          <cell r="BX927">
            <v>0.87484715824763326</v>
          </cell>
          <cell r="CB927">
            <v>0</v>
          </cell>
          <cell r="CE927" t="str">
            <v>12LOCAL</v>
          </cell>
          <cell r="CF927" t="str">
            <v>12LOCAL</v>
          </cell>
          <cell r="CG927" t="str">
            <v>12LOCAL</v>
          </cell>
        </row>
        <row r="928">
          <cell r="O928">
            <v>12</v>
          </cell>
          <cell r="AN928">
            <v>0</v>
          </cell>
          <cell r="AO928">
            <v>0.76838427655612229</v>
          </cell>
          <cell r="AP928">
            <v>0</v>
          </cell>
          <cell r="AZ928">
            <v>0.83</v>
          </cell>
          <cell r="BT928">
            <v>0</v>
          </cell>
          <cell r="BX928">
            <v>1.0554476490636566</v>
          </cell>
          <cell r="CB928">
            <v>0</v>
          </cell>
          <cell r="CE928" t="str">
            <v>12LOCAL</v>
          </cell>
          <cell r="CF928" t="str">
            <v>12LOCAL</v>
          </cell>
          <cell r="CG928" t="str">
            <v>12LOCAL</v>
          </cell>
        </row>
        <row r="929">
          <cell r="O929">
            <v>12</v>
          </cell>
          <cell r="AN929">
            <v>0</v>
          </cell>
          <cell r="AO929">
            <v>2.7772925658655023E-2</v>
          </cell>
          <cell r="AP929">
            <v>0</v>
          </cell>
          <cell r="AZ929">
            <v>0.03</v>
          </cell>
          <cell r="BT929">
            <v>0</v>
          </cell>
          <cell r="BX929">
            <v>5.5704181478359656E-2</v>
          </cell>
          <cell r="CB929">
            <v>0</v>
          </cell>
          <cell r="CE929" t="str">
            <v>12LOCAL</v>
          </cell>
          <cell r="CF929" t="str">
            <v>12LOCAL</v>
          </cell>
          <cell r="CG929" t="str">
            <v>12LOCAL</v>
          </cell>
        </row>
        <row r="930">
          <cell r="O930">
            <v>12</v>
          </cell>
          <cell r="AN930">
            <v>0</v>
          </cell>
          <cell r="AO930">
            <v>0</v>
          </cell>
          <cell r="AP930">
            <v>0</v>
          </cell>
          <cell r="AZ930">
            <v>0</v>
          </cell>
          <cell r="BT930">
            <v>15.509216843185399</v>
          </cell>
          <cell r="BX930">
            <v>15.509216843185399</v>
          </cell>
          <cell r="CB930">
            <v>15.509216843185399</v>
          </cell>
          <cell r="CE930" t="str">
            <v>12LOCAL</v>
          </cell>
          <cell r="CF930" t="str">
            <v>12LOCAL</v>
          </cell>
          <cell r="CG930" t="str">
            <v>12LOCAL</v>
          </cell>
        </row>
        <row r="931">
          <cell r="O931">
            <v>12</v>
          </cell>
          <cell r="AN931">
            <v>5.7258515066260438</v>
          </cell>
          <cell r="AO931">
            <v>5.7258515066260438</v>
          </cell>
          <cell r="AP931">
            <v>5.7258515066260438</v>
          </cell>
          <cell r="AZ931">
            <v>6.1849999999999996</v>
          </cell>
          <cell r="BT931">
            <v>5.7258515066260438</v>
          </cell>
          <cell r="BX931">
            <v>5.7258515066260438</v>
          </cell>
          <cell r="CB931">
            <v>5.7258515066260438</v>
          </cell>
          <cell r="CE931" t="str">
            <v>12LOCAL</v>
          </cell>
          <cell r="CF931" t="str">
            <v>12LOCAL</v>
          </cell>
          <cell r="CG931" t="str">
            <v>12LOCAL</v>
          </cell>
        </row>
        <row r="932">
          <cell r="O932">
            <v>12</v>
          </cell>
          <cell r="AN932">
            <v>1.1109170263462009</v>
          </cell>
          <cell r="AO932">
            <v>1.1109170263462009</v>
          </cell>
          <cell r="AP932">
            <v>1.1109170263462009</v>
          </cell>
          <cell r="AZ932">
            <v>1.2</v>
          </cell>
          <cell r="BT932">
            <v>1.1109170263462009</v>
          </cell>
          <cell r="BX932">
            <v>1.1109170263462009</v>
          </cell>
          <cell r="CB932">
            <v>1.1109170263462009</v>
          </cell>
          <cell r="CE932" t="str">
            <v>12LOCAL</v>
          </cell>
          <cell r="CF932" t="str">
            <v>12LOCAL</v>
          </cell>
          <cell r="CG932" t="str">
            <v>12LOCAL</v>
          </cell>
        </row>
        <row r="933">
          <cell r="O933">
            <v>12</v>
          </cell>
          <cell r="AN933">
            <v>0.53694322940066375</v>
          </cell>
          <cell r="AO933">
            <v>0.53694322940066375</v>
          </cell>
          <cell r="AP933">
            <v>0.53694322940066375</v>
          </cell>
          <cell r="AZ933">
            <v>0.57999999999999996</v>
          </cell>
          <cell r="BT933">
            <v>0.53694322940066375</v>
          </cell>
          <cell r="BX933">
            <v>0.53694322940066375</v>
          </cell>
          <cell r="CB933">
            <v>0.53694322940066375</v>
          </cell>
          <cell r="CE933" t="str">
            <v>12LOCAL</v>
          </cell>
          <cell r="CF933" t="str">
            <v>12LOCAL</v>
          </cell>
          <cell r="CG933" t="str">
            <v>12LOCAL</v>
          </cell>
        </row>
        <row r="934">
          <cell r="O934">
            <v>12</v>
          </cell>
          <cell r="AN934">
            <v>0.22218340526924019</v>
          </cell>
          <cell r="AO934">
            <v>0.22218340526924019</v>
          </cell>
          <cell r="AP934">
            <v>0.22218340526924019</v>
          </cell>
          <cell r="AZ934">
            <v>0.24</v>
          </cell>
          <cell r="BT934">
            <v>0.22218340526924019</v>
          </cell>
          <cell r="BX934">
            <v>0.22218340526924019</v>
          </cell>
          <cell r="CB934">
            <v>0.22218340526924019</v>
          </cell>
          <cell r="CE934" t="str">
            <v>12LOCAL</v>
          </cell>
          <cell r="CF934" t="str">
            <v>12LOCAL</v>
          </cell>
          <cell r="CG934" t="str">
            <v>12LOCAL</v>
          </cell>
        </row>
        <row r="935">
          <cell r="O935">
            <v>12</v>
          </cell>
          <cell r="AN935">
            <v>0</v>
          </cell>
          <cell r="AO935">
            <v>0</v>
          </cell>
          <cell r="AP935">
            <v>0</v>
          </cell>
          <cell r="AZ935">
            <v>0</v>
          </cell>
          <cell r="BT935">
            <v>0</v>
          </cell>
          <cell r="BX935">
            <v>0</v>
          </cell>
          <cell r="CB935">
            <v>0</v>
          </cell>
          <cell r="CE935" t="str">
            <v>12EU</v>
          </cell>
          <cell r="CF935" t="str">
            <v>12EU</v>
          </cell>
          <cell r="CG935" t="str">
            <v>12EU</v>
          </cell>
        </row>
        <row r="936">
          <cell r="O936">
            <v>12</v>
          </cell>
          <cell r="AN936">
            <v>0</v>
          </cell>
          <cell r="AO936">
            <v>0</v>
          </cell>
          <cell r="AP936">
            <v>0</v>
          </cell>
          <cell r="AZ936">
            <v>0</v>
          </cell>
          <cell r="BT936">
            <v>0</v>
          </cell>
          <cell r="BX936">
            <v>0</v>
          </cell>
          <cell r="CB936">
            <v>0</v>
          </cell>
          <cell r="CE936" t="str">
            <v>12LOCAL</v>
          </cell>
          <cell r="CF936" t="str">
            <v>12LOCAL</v>
          </cell>
          <cell r="CG936" t="str">
            <v>12LOCAL</v>
          </cell>
        </row>
        <row r="937">
          <cell r="O937">
            <v>12</v>
          </cell>
          <cell r="AN937">
            <v>0</v>
          </cell>
          <cell r="AO937">
            <v>0</v>
          </cell>
          <cell r="AP937">
            <v>0</v>
          </cell>
          <cell r="AZ937">
            <v>0</v>
          </cell>
          <cell r="BT937">
            <v>0</v>
          </cell>
          <cell r="BX937">
            <v>0</v>
          </cell>
          <cell r="CB937">
            <v>0</v>
          </cell>
          <cell r="CE937" t="str">
            <v>12LOCAL</v>
          </cell>
          <cell r="CF937" t="str">
            <v>12LOCAL</v>
          </cell>
          <cell r="CG937" t="str">
            <v>12LOCAL</v>
          </cell>
        </row>
        <row r="938">
          <cell r="O938">
            <v>12</v>
          </cell>
          <cell r="AN938">
            <v>3.4345851397870049</v>
          </cell>
          <cell r="AO938">
            <v>3.4345851397870049</v>
          </cell>
          <cell r="AP938">
            <v>3.4345851397870049</v>
          </cell>
          <cell r="AZ938">
            <v>3.71</v>
          </cell>
          <cell r="BT938">
            <v>3.4345851397870049</v>
          </cell>
          <cell r="BX938">
            <v>3.4345851397870049</v>
          </cell>
          <cell r="CB938">
            <v>3.4345851397870049</v>
          </cell>
          <cell r="CE938" t="str">
            <v>12LOCAL</v>
          </cell>
          <cell r="CF938" t="str">
            <v>12LOCAL</v>
          </cell>
          <cell r="CG938" t="str">
            <v>12LOCAL</v>
          </cell>
        </row>
        <row r="939">
          <cell r="O939">
            <v>12</v>
          </cell>
          <cell r="AN939">
            <v>0.27772925658655023</v>
          </cell>
          <cell r="AO939">
            <v>0.27772925658655023</v>
          </cell>
          <cell r="AP939">
            <v>0.27772925658655023</v>
          </cell>
          <cell r="AZ939">
            <v>0.3</v>
          </cell>
          <cell r="BT939">
            <v>0.27772925658655023</v>
          </cell>
          <cell r="BX939">
            <v>0.27772925658655023</v>
          </cell>
          <cell r="CB939">
            <v>0.27772925658655023</v>
          </cell>
          <cell r="CE939" t="str">
            <v>12LOCAL</v>
          </cell>
          <cell r="CF939" t="str">
            <v>12LOCAL</v>
          </cell>
          <cell r="CG939" t="str">
            <v>12LOCAL</v>
          </cell>
        </row>
        <row r="940">
          <cell r="O940">
            <v>12</v>
          </cell>
          <cell r="AN940">
            <v>0.13886462829327512</v>
          </cell>
          <cell r="AO940">
            <v>0.13886462829327512</v>
          </cell>
          <cell r="AP940">
            <v>0.13886462829327512</v>
          </cell>
          <cell r="AZ940">
            <v>0.15</v>
          </cell>
          <cell r="BT940">
            <v>0.13886462829327512</v>
          </cell>
          <cell r="BX940">
            <v>0.13886462829327512</v>
          </cell>
          <cell r="CB940">
            <v>0.13886462829327512</v>
          </cell>
          <cell r="CE940" t="str">
            <v>12LOCAL</v>
          </cell>
          <cell r="CF940" t="str">
            <v>12LOCAL</v>
          </cell>
          <cell r="CG940" t="str">
            <v>12LOCAL</v>
          </cell>
        </row>
        <row r="941">
          <cell r="O941">
            <v>12</v>
          </cell>
          <cell r="AN941">
            <v>3.7586026058046462</v>
          </cell>
          <cell r="AO941">
            <v>3.7586026058046462</v>
          </cell>
          <cell r="AP941">
            <v>3.7586026058046462</v>
          </cell>
          <cell r="AZ941">
            <v>4.0599999999999996</v>
          </cell>
          <cell r="BT941">
            <v>3.7586026058046462</v>
          </cell>
          <cell r="BX941">
            <v>3.7586026058046462</v>
          </cell>
          <cell r="CB941">
            <v>3.7586026058046462</v>
          </cell>
          <cell r="CE941" t="str">
            <v>12LOCAL</v>
          </cell>
          <cell r="CF941" t="str">
            <v>12LOCAL</v>
          </cell>
          <cell r="CG941" t="str">
            <v>12LOCAL</v>
          </cell>
        </row>
        <row r="942">
          <cell r="O942">
            <v>12</v>
          </cell>
          <cell r="AN942">
            <v>0</v>
          </cell>
          <cell r="AO942">
            <v>0</v>
          </cell>
          <cell r="AP942">
            <v>0</v>
          </cell>
          <cell r="AZ942">
            <v>0</v>
          </cell>
          <cell r="BT942">
            <v>0</v>
          </cell>
          <cell r="BX942">
            <v>0</v>
          </cell>
          <cell r="CB942">
            <v>0</v>
          </cell>
          <cell r="CE942" t="str">
            <v>12EU</v>
          </cell>
          <cell r="CF942" t="str">
            <v>12EU</v>
          </cell>
          <cell r="CG942" t="str">
            <v>12EU</v>
          </cell>
        </row>
        <row r="943">
          <cell r="O943">
            <v>12</v>
          </cell>
          <cell r="AN943">
            <v>0</v>
          </cell>
          <cell r="AO943">
            <v>0</v>
          </cell>
          <cell r="AP943">
            <v>0</v>
          </cell>
          <cell r="AZ943">
            <v>0</v>
          </cell>
          <cell r="BT943">
            <v>0</v>
          </cell>
          <cell r="BX943">
            <v>0</v>
          </cell>
          <cell r="CB943">
            <v>0</v>
          </cell>
          <cell r="CE943" t="str">
            <v>12LOCAL</v>
          </cell>
          <cell r="CF943" t="str">
            <v>12LOCAL</v>
          </cell>
          <cell r="CG943" t="str">
            <v>12LOCAL</v>
          </cell>
        </row>
        <row r="944">
          <cell r="O944">
            <v>12</v>
          </cell>
          <cell r="AN944">
            <v>4.6010480174505153</v>
          </cell>
          <cell r="AO944">
            <v>4.6010480174505153</v>
          </cell>
          <cell r="AP944">
            <v>4.6010480174505153</v>
          </cell>
          <cell r="AZ944">
            <v>4.97</v>
          </cell>
          <cell r="BT944">
            <v>4.6010480174505153</v>
          </cell>
          <cell r="BX944">
            <v>4.6010480174505153</v>
          </cell>
          <cell r="CB944">
            <v>4.6010480174505153</v>
          </cell>
          <cell r="CE944" t="str">
            <v>12LOCAL</v>
          </cell>
          <cell r="CF944" t="str">
            <v>12LOCAL</v>
          </cell>
          <cell r="CG944" t="str">
            <v>12LOCAL</v>
          </cell>
        </row>
        <row r="945">
          <cell r="O945">
            <v>12</v>
          </cell>
          <cell r="AN945">
            <v>0.46288209431091709</v>
          </cell>
          <cell r="AO945">
            <v>0.46288209431091709</v>
          </cell>
          <cell r="AP945">
            <v>0.46288209431091709</v>
          </cell>
          <cell r="AZ945">
            <v>0.5</v>
          </cell>
          <cell r="BT945">
            <v>0.46288209431091709</v>
          </cell>
          <cell r="BX945">
            <v>0.46288209431091709</v>
          </cell>
          <cell r="CB945">
            <v>0.46288209431091709</v>
          </cell>
          <cell r="CE945" t="str">
            <v>12LOCAL</v>
          </cell>
          <cell r="CF945" t="str">
            <v>12LOCAL</v>
          </cell>
          <cell r="CG945" t="str">
            <v>12LOCAL</v>
          </cell>
        </row>
        <row r="946">
          <cell r="O946">
            <v>12</v>
          </cell>
          <cell r="AN946">
            <v>9.2576418862183429E-2</v>
          </cell>
          <cell r="AO946">
            <v>9.2576418862183429E-2</v>
          </cell>
          <cell r="AP946">
            <v>9.2576418862183429E-2</v>
          </cell>
          <cell r="AZ946">
            <v>0.1</v>
          </cell>
          <cell r="BT946">
            <v>9.2576418862183429E-2</v>
          </cell>
          <cell r="BX946">
            <v>9.2576418862183429E-2</v>
          </cell>
          <cell r="CB946">
            <v>9.2576418862183429E-2</v>
          </cell>
          <cell r="CE946" t="str">
            <v>12LOCAL</v>
          </cell>
          <cell r="CF946" t="str">
            <v>12LOCAL</v>
          </cell>
          <cell r="CG946" t="str">
            <v>12LOCAL</v>
          </cell>
        </row>
        <row r="947">
          <cell r="O947">
            <v>12</v>
          </cell>
          <cell r="AN947">
            <v>0.38882095922117033</v>
          </cell>
          <cell r="AO947">
            <v>0.38882095922117033</v>
          </cell>
          <cell r="AP947">
            <v>0.38882095922117033</v>
          </cell>
          <cell r="AZ947">
            <v>0.42</v>
          </cell>
          <cell r="BT947">
            <v>0.38882095922117038</v>
          </cell>
          <cell r="BX947">
            <v>0.38882095922117038</v>
          </cell>
          <cell r="CB947">
            <v>0.38882095922117038</v>
          </cell>
          <cell r="CE947" t="str">
            <v>12LOCAL</v>
          </cell>
          <cell r="CF947" t="str">
            <v>12LOCAL</v>
          </cell>
          <cell r="CG947" t="str">
            <v>12LOCAL</v>
          </cell>
        </row>
        <row r="948">
          <cell r="O948">
            <v>12</v>
          </cell>
          <cell r="AN948">
            <v>0</v>
          </cell>
          <cell r="AO948">
            <v>0</v>
          </cell>
          <cell r="AP948">
            <v>0</v>
          </cell>
          <cell r="AZ948">
            <v>0</v>
          </cell>
          <cell r="BT948">
            <v>0</v>
          </cell>
          <cell r="BX948">
            <v>0</v>
          </cell>
          <cell r="CB948">
            <v>0</v>
          </cell>
          <cell r="CE948" t="str">
            <v>12LOCAL</v>
          </cell>
          <cell r="CF948" t="str">
            <v>12LOCAL</v>
          </cell>
          <cell r="CG948" t="str">
            <v>12LOCAL</v>
          </cell>
        </row>
        <row r="949">
          <cell r="O949">
            <v>12</v>
          </cell>
          <cell r="AN949">
            <v>3.675283828828682</v>
          </cell>
          <cell r="AO949">
            <v>3.675283828828682</v>
          </cell>
          <cell r="AP949">
            <v>3.675283828828682</v>
          </cell>
          <cell r="AZ949">
            <v>3.97</v>
          </cell>
          <cell r="BT949">
            <v>11.252244658628651</v>
          </cell>
          <cell r="BX949">
            <v>11.252244658628651</v>
          </cell>
          <cell r="CB949">
            <v>11.252244658628651</v>
          </cell>
          <cell r="CE949" t="str">
            <v>12LOCAL</v>
          </cell>
          <cell r="CF949" t="str">
            <v>12LOCAL</v>
          </cell>
          <cell r="CG949" t="str">
            <v>12LOCAL</v>
          </cell>
        </row>
        <row r="950">
          <cell r="O950">
            <v>12</v>
          </cell>
          <cell r="AN950">
            <v>2.5967685490842451</v>
          </cell>
          <cell r="AO950">
            <v>2.5967685490842451</v>
          </cell>
          <cell r="AP950">
            <v>2.5967685490842451</v>
          </cell>
          <cell r="AZ950">
            <v>2.8050000000000002</v>
          </cell>
          <cell r="BT950">
            <v>2.5967685490842451</v>
          </cell>
          <cell r="BX950">
            <v>2.5967685490842451</v>
          </cell>
          <cell r="CB950">
            <v>2.5967685490842451</v>
          </cell>
          <cell r="CE950" t="str">
            <v>12LOCAL</v>
          </cell>
          <cell r="CF950" t="str">
            <v>12LOCAL</v>
          </cell>
          <cell r="CG950" t="str">
            <v>12LOCAL</v>
          </cell>
        </row>
        <row r="951">
          <cell r="O951">
            <v>12</v>
          </cell>
          <cell r="AN951">
            <v>4.3696069702950568</v>
          </cell>
          <cell r="AO951">
            <v>4.3696069702950568</v>
          </cell>
          <cell r="AP951">
            <v>4.3696069702950568</v>
          </cell>
          <cell r="AZ951">
            <v>4.72</v>
          </cell>
          <cell r="BT951">
            <v>4.3696069702950568</v>
          </cell>
          <cell r="BX951">
            <v>4.3696069702950568</v>
          </cell>
          <cell r="CB951">
            <v>4.3696069702950568</v>
          </cell>
          <cell r="CE951" t="str">
            <v>12LOCAL</v>
          </cell>
          <cell r="CF951" t="str">
            <v>12LOCAL</v>
          </cell>
          <cell r="CG951" t="str">
            <v>12LOCAL</v>
          </cell>
        </row>
        <row r="952">
          <cell r="O952">
            <v>12</v>
          </cell>
          <cell r="AN952">
            <v>0</v>
          </cell>
          <cell r="AO952">
            <v>0</v>
          </cell>
          <cell r="AP952">
            <v>0</v>
          </cell>
          <cell r="AZ952">
            <v>0</v>
          </cell>
          <cell r="BT952">
            <v>0</v>
          </cell>
          <cell r="BX952">
            <v>0</v>
          </cell>
          <cell r="CB952">
            <v>0</v>
          </cell>
          <cell r="CE952" t="str">
            <v>12LOCAL</v>
          </cell>
          <cell r="CF952" t="str">
            <v>12LOCAL</v>
          </cell>
          <cell r="CG952" t="str">
            <v>12LOCAL</v>
          </cell>
        </row>
        <row r="953">
          <cell r="O953">
            <v>12</v>
          </cell>
          <cell r="AN953">
            <v>1.4256768504776247</v>
          </cell>
          <cell r="AO953">
            <v>1.4256768504776247</v>
          </cell>
          <cell r="AP953">
            <v>1.4256768504776247</v>
          </cell>
          <cell r="AZ953">
            <v>1.54</v>
          </cell>
          <cell r="BT953">
            <v>1.4256768504776247</v>
          </cell>
          <cell r="BX953">
            <v>1.4256768504776247</v>
          </cell>
          <cell r="CB953">
            <v>1.4256768504776247</v>
          </cell>
          <cell r="CE953" t="str">
            <v>12LOCAL</v>
          </cell>
          <cell r="CF953" t="str">
            <v>12LOCAL</v>
          </cell>
          <cell r="CG953" t="str">
            <v>12LOCAL</v>
          </cell>
        </row>
        <row r="954">
          <cell r="O954">
            <v>12</v>
          </cell>
          <cell r="AN954">
            <v>0.24069868904167691</v>
          </cell>
          <cell r="AO954">
            <v>0.24069868904167691</v>
          </cell>
          <cell r="AP954">
            <v>0.24069868904167691</v>
          </cell>
          <cell r="AZ954">
            <v>0.26</v>
          </cell>
          <cell r="BT954">
            <v>0.24069868904167691</v>
          </cell>
          <cell r="BX954">
            <v>0.24069868904167691</v>
          </cell>
          <cell r="CB954">
            <v>0.24069868904167691</v>
          </cell>
          <cell r="CE954" t="str">
            <v>12LOCAL</v>
          </cell>
          <cell r="CF954" t="str">
            <v>12LOCAL</v>
          </cell>
          <cell r="CG954" t="str">
            <v>12LOCAL</v>
          </cell>
        </row>
        <row r="955">
          <cell r="O955">
            <v>12</v>
          </cell>
          <cell r="AN955">
            <v>0.47213973619713545</v>
          </cell>
          <cell r="AO955">
            <v>0.47213973619713545</v>
          </cell>
          <cell r="AP955">
            <v>0.47213973619713545</v>
          </cell>
          <cell r="AZ955">
            <v>0.51</v>
          </cell>
          <cell r="BT955">
            <v>0.47213973619713545</v>
          </cell>
          <cell r="BX955">
            <v>0.47213973619713545</v>
          </cell>
          <cell r="CB955">
            <v>0.47213973619713545</v>
          </cell>
          <cell r="CE955" t="str">
            <v>12LOCAL</v>
          </cell>
          <cell r="CF955" t="str">
            <v>12LOCAL</v>
          </cell>
          <cell r="CG955" t="str">
            <v>12LOCAL</v>
          </cell>
        </row>
        <row r="956">
          <cell r="O956">
            <v>12</v>
          </cell>
          <cell r="AN956">
            <v>0</v>
          </cell>
          <cell r="AO956">
            <v>0</v>
          </cell>
          <cell r="AP956">
            <v>0</v>
          </cell>
          <cell r="AZ956">
            <v>0</v>
          </cell>
          <cell r="BT956">
            <v>0</v>
          </cell>
          <cell r="BX956">
            <v>0</v>
          </cell>
          <cell r="CB956">
            <v>0</v>
          </cell>
          <cell r="CE956" t="str">
            <v>12LOCAL</v>
          </cell>
          <cell r="CF956" t="str">
            <v>12LOCAL</v>
          </cell>
          <cell r="CG956" t="str">
            <v>12LOCAL</v>
          </cell>
        </row>
        <row r="957">
          <cell r="O957">
            <v>12</v>
          </cell>
          <cell r="AN957">
            <v>0.56934497600242806</v>
          </cell>
          <cell r="AO957">
            <v>0.56934497600242806</v>
          </cell>
          <cell r="AP957">
            <v>0.56934497600242806</v>
          </cell>
          <cell r="AZ957">
            <v>0.61499999999999999</v>
          </cell>
          <cell r="BT957">
            <v>0.56934497600242806</v>
          </cell>
          <cell r="BX957">
            <v>0.56934497600242806</v>
          </cell>
          <cell r="CB957">
            <v>0.56934497600242806</v>
          </cell>
          <cell r="CE957" t="str">
            <v>12LOCAL</v>
          </cell>
          <cell r="CF957" t="str">
            <v>12LOCAL</v>
          </cell>
          <cell r="CG957" t="str">
            <v>12LOCAL</v>
          </cell>
        </row>
        <row r="958">
          <cell r="O958">
            <v>12</v>
          </cell>
          <cell r="AN958">
            <v>0.50917030374200889</v>
          </cell>
          <cell r="AO958">
            <v>0.50917030374200889</v>
          </cell>
          <cell r="AP958">
            <v>0.50917030374200889</v>
          </cell>
          <cell r="AZ958">
            <v>0.55000000000000004</v>
          </cell>
          <cell r="BT958">
            <v>0.50917030374200889</v>
          </cell>
          <cell r="BX958">
            <v>0.50917030374200889</v>
          </cell>
          <cell r="CB958">
            <v>0.50917030374200889</v>
          </cell>
          <cell r="CE958" t="str">
            <v>12LOCAL</v>
          </cell>
          <cell r="CF958" t="str">
            <v>12LOCAL</v>
          </cell>
          <cell r="CG958" t="str">
            <v>12LOCAL</v>
          </cell>
        </row>
        <row r="959">
          <cell r="O959">
            <v>12</v>
          </cell>
          <cell r="AN959">
            <v>0.31475982413142367</v>
          </cell>
          <cell r="AO959">
            <v>0.31475982413142367</v>
          </cell>
          <cell r="AP959">
            <v>0.31475982413142367</v>
          </cell>
          <cell r="AZ959">
            <v>0.34</v>
          </cell>
          <cell r="BT959">
            <v>0.31707423460297823</v>
          </cell>
          <cell r="BX959">
            <v>0.31707423460297823</v>
          </cell>
          <cell r="CB959">
            <v>0.31707423460297823</v>
          </cell>
          <cell r="CE959" t="str">
            <v>12LOCAL</v>
          </cell>
          <cell r="CF959" t="str">
            <v>12LOCAL</v>
          </cell>
          <cell r="CG959" t="str">
            <v>12LOCAL</v>
          </cell>
        </row>
        <row r="960">
          <cell r="O960">
            <v>12</v>
          </cell>
          <cell r="AN960">
            <v>0.19441047961058516</v>
          </cell>
          <cell r="AO960">
            <v>0.19441047961058516</v>
          </cell>
          <cell r="AP960">
            <v>0.19441047961058516</v>
          </cell>
          <cell r="AZ960">
            <v>0.21</v>
          </cell>
          <cell r="BT960">
            <v>0.19441047961058519</v>
          </cell>
          <cell r="BX960">
            <v>0.19441047961058519</v>
          </cell>
          <cell r="CB960">
            <v>0.19441047961058519</v>
          </cell>
          <cell r="CE960" t="str">
            <v>12LOCAL</v>
          </cell>
          <cell r="CF960" t="str">
            <v>12LOCAL</v>
          </cell>
          <cell r="CG960" t="str">
            <v>12LOCAL</v>
          </cell>
        </row>
        <row r="961">
          <cell r="O961">
            <v>12</v>
          </cell>
          <cell r="AN961">
            <v>0</v>
          </cell>
          <cell r="AO961">
            <v>0</v>
          </cell>
          <cell r="AP961">
            <v>0</v>
          </cell>
          <cell r="AZ961">
            <v>0</v>
          </cell>
          <cell r="BT961">
            <v>43.305603400886866</v>
          </cell>
          <cell r="BX961">
            <v>0</v>
          </cell>
          <cell r="CB961">
            <v>43.305603400886866</v>
          </cell>
          <cell r="CE961" t="str">
            <v>12LOCAL</v>
          </cell>
          <cell r="CF961" t="str">
            <v>12LOCAL</v>
          </cell>
          <cell r="CG961" t="str">
            <v>12LOCAL</v>
          </cell>
        </row>
        <row r="962">
          <cell r="O962">
            <v>12</v>
          </cell>
          <cell r="AN962">
            <v>0</v>
          </cell>
          <cell r="AO962">
            <v>0</v>
          </cell>
          <cell r="AP962">
            <v>0</v>
          </cell>
          <cell r="AZ962">
            <v>0</v>
          </cell>
          <cell r="BT962">
            <v>0</v>
          </cell>
          <cell r="BX962">
            <v>0</v>
          </cell>
          <cell r="CB962">
            <v>0</v>
          </cell>
          <cell r="CE962" t="str">
            <v>12EU</v>
          </cell>
          <cell r="CF962" t="str">
            <v>12EU</v>
          </cell>
          <cell r="CG962" t="str">
            <v>12EU</v>
          </cell>
        </row>
        <row r="963">
          <cell r="O963">
            <v>12</v>
          </cell>
          <cell r="AN963">
            <v>1.0060742319847782</v>
          </cell>
          <cell r="AO963">
            <v>0</v>
          </cell>
          <cell r="AP963">
            <v>1.0060742319847782</v>
          </cell>
          <cell r="AZ963">
            <v>0</v>
          </cell>
          <cell r="BT963">
            <v>1.0060742319847782</v>
          </cell>
          <cell r="BX963">
            <v>0</v>
          </cell>
          <cell r="CB963">
            <v>1.0060742319847782</v>
          </cell>
          <cell r="CE963" t="str">
            <v>12LOCAL</v>
          </cell>
          <cell r="CF963" t="str">
            <v>12LOCAL</v>
          </cell>
          <cell r="CG963" t="str">
            <v>12LOCAL</v>
          </cell>
        </row>
        <row r="964">
          <cell r="O964">
            <v>12</v>
          </cell>
          <cell r="AN964">
            <v>0.14812227017949348</v>
          </cell>
          <cell r="AO964">
            <v>0</v>
          </cell>
          <cell r="AP964">
            <v>0.14812227017949348</v>
          </cell>
          <cell r="AZ964">
            <v>0</v>
          </cell>
          <cell r="BT964">
            <v>0.14812227017949348</v>
          </cell>
          <cell r="BX964">
            <v>0</v>
          </cell>
          <cell r="CB964">
            <v>0.14812227017949348</v>
          </cell>
          <cell r="CE964" t="str">
            <v>12LOCAL</v>
          </cell>
          <cell r="CF964" t="str">
            <v>12LOCAL</v>
          </cell>
          <cell r="CG964" t="str">
            <v>12LOCAL</v>
          </cell>
        </row>
        <row r="965">
          <cell r="O965">
            <v>12</v>
          </cell>
          <cell r="AN965">
            <v>24.680410386563789</v>
          </cell>
          <cell r="AO965">
            <v>0</v>
          </cell>
          <cell r="AP965">
            <v>24.680410386563789</v>
          </cell>
          <cell r="AZ965">
            <v>0</v>
          </cell>
          <cell r="BT965">
            <v>24.680410386563789</v>
          </cell>
          <cell r="BX965">
            <v>0</v>
          </cell>
          <cell r="CB965">
            <v>24.680410386563789</v>
          </cell>
          <cell r="CE965" t="str">
            <v>12LOCAL</v>
          </cell>
          <cell r="CF965" t="str">
            <v>12LOCAL</v>
          </cell>
          <cell r="CG965" t="str">
            <v>12LOCAL</v>
          </cell>
        </row>
        <row r="966">
          <cell r="O966">
            <v>12</v>
          </cell>
          <cell r="AN966">
            <v>2.0459388568542534</v>
          </cell>
          <cell r="AO966">
            <v>0</v>
          </cell>
          <cell r="AP966">
            <v>2.0459388568542534</v>
          </cell>
          <cell r="AZ966">
            <v>0</v>
          </cell>
          <cell r="BT966">
            <v>2.0459388568542534</v>
          </cell>
          <cell r="BX966">
            <v>0</v>
          </cell>
          <cell r="CB966">
            <v>2.0459388568542534</v>
          </cell>
          <cell r="CE966" t="str">
            <v>12LOCAL</v>
          </cell>
          <cell r="CF966" t="str">
            <v>12LOCAL</v>
          </cell>
          <cell r="CG966" t="str">
            <v>12LOCAL</v>
          </cell>
        </row>
        <row r="967">
          <cell r="O967">
            <v>12</v>
          </cell>
          <cell r="AN967">
            <v>0</v>
          </cell>
          <cell r="AO967">
            <v>0</v>
          </cell>
          <cell r="AP967">
            <v>0</v>
          </cell>
          <cell r="AZ967">
            <v>0</v>
          </cell>
          <cell r="BT967">
            <v>0</v>
          </cell>
          <cell r="BX967">
            <v>0</v>
          </cell>
          <cell r="CB967">
            <v>0</v>
          </cell>
          <cell r="CE967" t="str">
            <v>12LOCAL</v>
          </cell>
          <cell r="CF967" t="str">
            <v>12LOCAL</v>
          </cell>
          <cell r="CG967" t="str">
            <v>12LOCAL</v>
          </cell>
        </row>
        <row r="968">
          <cell r="O968">
            <v>12</v>
          </cell>
          <cell r="AN968">
            <v>0</v>
          </cell>
          <cell r="AO968">
            <v>0</v>
          </cell>
          <cell r="AP968">
            <v>0</v>
          </cell>
          <cell r="AZ968">
            <v>0</v>
          </cell>
          <cell r="BT968">
            <v>0</v>
          </cell>
          <cell r="BX968">
            <v>0</v>
          </cell>
          <cell r="CB968">
            <v>0</v>
          </cell>
          <cell r="CE968" t="str">
            <v>12LOCAL</v>
          </cell>
          <cell r="CF968" t="str">
            <v>12LOCAL</v>
          </cell>
          <cell r="CG968" t="str">
            <v>12LOCAL</v>
          </cell>
        </row>
        <row r="969">
          <cell r="O969">
            <v>12</v>
          </cell>
          <cell r="AN969">
            <v>0</v>
          </cell>
          <cell r="AO969">
            <v>0.84244541164586917</v>
          </cell>
          <cell r="AP969">
            <v>0</v>
          </cell>
          <cell r="AZ969">
            <v>0.91</v>
          </cell>
          <cell r="BT969">
            <v>0</v>
          </cell>
          <cell r="BX969">
            <v>0.84244541164586917</v>
          </cell>
          <cell r="CB969">
            <v>0</v>
          </cell>
          <cell r="CE969" t="str">
            <v>12LOCAL</v>
          </cell>
          <cell r="CF969" t="str">
            <v>12LOCAL</v>
          </cell>
          <cell r="CG969" t="str">
            <v>12LOCAL</v>
          </cell>
        </row>
        <row r="970">
          <cell r="O970">
            <v>12</v>
          </cell>
          <cell r="AN970">
            <v>0</v>
          </cell>
          <cell r="AO970">
            <v>0</v>
          </cell>
          <cell r="AP970">
            <v>0</v>
          </cell>
          <cell r="AZ970">
            <v>0</v>
          </cell>
          <cell r="BT970">
            <v>0</v>
          </cell>
          <cell r="BX970">
            <v>0</v>
          </cell>
          <cell r="CB970">
            <v>0</v>
          </cell>
          <cell r="CE970" t="str">
            <v>12LOCAL</v>
          </cell>
          <cell r="CF970" t="str">
            <v>12LOCAL</v>
          </cell>
          <cell r="CG970" t="str">
            <v>12LOCAL</v>
          </cell>
        </row>
        <row r="971">
          <cell r="O971">
            <v>12</v>
          </cell>
          <cell r="AN971">
            <v>0.71746724618192148</v>
          </cell>
          <cell r="AO971">
            <v>0.71746724618192148</v>
          </cell>
          <cell r="AP971">
            <v>0.71746724618192148</v>
          </cell>
          <cell r="AZ971">
            <v>0.77500000000000002</v>
          </cell>
          <cell r="BT971">
            <v>2.8731630446732876</v>
          </cell>
          <cell r="BX971">
            <v>2.8731630446732876</v>
          </cell>
          <cell r="CB971">
            <v>2.8731630446732876</v>
          </cell>
          <cell r="CE971" t="str">
            <v>12LOCAL</v>
          </cell>
          <cell r="CF971" t="str">
            <v>12LOCAL</v>
          </cell>
          <cell r="CG971" t="str">
            <v>12LOCAL</v>
          </cell>
        </row>
        <row r="972">
          <cell r="O972">
            <v>12</v>
          </cell>
          <cell r="AN972">
            <v>1.1942358033221661</v>
          </cell>
          <cell r="AO972">
            <v>1.1942358033221661</v>
          </cell>
          <cell r="AP972">
            <v>1.1942358033221661</v>
          </cell>
          <cell r="AZ972">
            <v>1.29</v>
          </cell>
          <cell r="BT972">
            <v>1.1942358033221661</v>
          </cell>
          <cell r="BX972">
            <v>1.1942358033221661</v>
          </cell>
          <cell r="CB972">
            <v>1.1942358033221661</v>
          </cell>
          <cell r="CE972" t="str">
            <v>12LOCAL</v>
          </cell>
          <cell r="CF972" t="str">
            <v>12LOCAL</v>
          </cell>
          <cell r="CG972" t="str">
            <v>12LOCAL</v>
          </cell>
        </row>
        <row r="973">
          <cell r="O973">
            <v>12</v>
          </cell>
          <cell r="AN973">
            <v>0.85170305353208753</v>
          </cell>
          <cell r="AO973">
            <v>0.85170305353208753</v>
          </cell>
          <cell r="AP973">
            <v>0.85170305353208753</v>
          </cell>
          <cell r="AZ973">
            <v>0.92</v>
          </cell>
          <cell r="BT973">
            <v>0.85170305353208753</v>
          </cell>
          <cell r="BX973">
            <v>0.85170305353208753</v>
          </cell>
          <cell r="CB973">
            <v>0.85170305353208753</v>
          </cell>
          <cell r="CE973" t="str">
            <v>12LOCAL</v>
          </cell>
          <cell r="CF973" t="str">
            <v>12LOCAL</v>
          </cell>
          <cell r="CG973" t="str">
            <v>12LOCAL</v>
          </cell>
        </row>
        <row r="974">
          <cell r="O974">
            <v>12</v>
          </cell>
          <cell r="AN974">
            <v>0</v>
          </cell>
          <cell r="AO974">
            <v>0</v>
          </cell>
          <cell r="AP974">
            <v>0</v>
          </cell>
          <cell r="AZ974">
            <v>0</v>
          </cell>
          <cell r="BT974">
            <v>0</v>
          </cell>
          <cell r="BX974">
            <v>0</v>
          </cell>
          <cell r="CB974">
            <v>0</v>
          </cell>
          <cell r="CE974" t="str">
            <v>12LOCAL</v>
          </cell>
          <cell r="CF974" t="str">
            <v>12LOCAL</v>
          </cell>
          <cell r="CG974" t="str">
            <v>12LOCAL</v>
          </cell>
        </row>
        <row r="975">
          <cell r="O975">
            <v>12</v>
          </cell>
          <cell r="AN975">
            <v>1.2960698640705677</v>
          </cell>
          <cell r="AO975">
            <v>1.2960698640705677</v>
          </cell>
          <cell r="AP975">
            <v>1.2960698640705677</v>
          </cell>
          <cell r="AZ975">
            <v>1.4</v>
          </cell>
          <cell r="BT975">
            <v>4.9019679700956491</v>
          </cell>
          <cell r="BX975">
            <v>4.9019679700956491</v>
          </cell>
          <cell r="CB975">
            <v>4.9019679700956491</v>
          </cell>
          <cell r="CE975" t="str">
            <v>12LOCAL</v>
          </cell>
          <cell r="CF975" t="str">
            <v>12LOCAL</v>
          </cell>
          <cell r="CG975" t="str">
            <v>12LOCAL</v>
          </cell>
        </row>
        <row r="976">
          <cell r="O976">
            <v>12</v>
          </cell>
          <cell r="AN976">
            <v>0.72209606712503072</v>
          </cell>
          <cell r="AO976">
            <v>0.72209606712503072</v>
          </cell>
          <cell r="AP976">
            <v>0.72209606712503072</v>
          </cell>
          <cell r="AZ976">
            <v>0.78</v>
          </cell>
          <cell r="BT976">
            <v>0.72209606712503072</v>
          </cell>
          <cell r="BX976">
            <v>0.72209606712503072</v>
          </cell>
          <cell r="CB976">
            <v>0.72209606712503072</v>
          </cell>
          <cell r="CE976" t="str">
            <v>12LOCAL</v>
          </cell>
          <cell r="CF976" t="str">
            <v>12LOCAL</v>
          </cell>
          <cell r="CG976" t="str">
            <v>12LOCAL</v>
          </cell>
        </row>
        <row r="977">
          <cell r="O977">
            <v>12</v>
          </cell>
          <cell r="AN977">
            <v>1.4951091646242622</v>
          </cell>
          <cell r="AO977">
            <v>1.4951091646242622</v>
          </cell>
          <cell r="AP977">
            <v>1.4951091646242622</v>
          </cell>
          <cell r="AZ977">
            <v>1.615</v>
          </cell>
          <cell r="BT977">
            <v>1.4951091646242622</v>
          </cell>
          <cell r="BX977">
            <v>1.4951091646242622</v>
          </cell>
          <cell r="CB977">
            <v>1.4951091646242622</v>
          </cell>
          <cell r="CE977" t="str">
            <v>12LOCAL</v>
          </cell>
          <cell r="CF977" t="str">
            <v>12LOCAL</v>
          </cell>
          <cell r="CG977" t="str">
            <v>12LOCAL</v>
          </cell>
        </row>
        <row r="978">
          <cell r="O978">
            <v>12</v>
          </cell>
          <cell r="AN978">
            <v>0.75912663466990393</v>
          </cell>
          <cell r="AO978">
            <v>0.75912663466990393</v>
          </cell>
          <cell r="AP978">
            <v>0.75912663466990393</v>
          </cell>
          <cell r="AZ978">
            <v>0.82</v>
          </cell>
          <cell r="BT978">
            <v>0.75912663466990393</v>
          </cell>
          <cell r="BX978">
            <v>0.75912663466990393</v>
          </cell>
          <cell r="CB978">
            <v>0.75912663466990393</v>
          </cell>
          <cell r="CE978" t="str">
            <v>12LOCAL</v>
          </cell>
          <cell r="CF978" t="str">
            <v>12LOCAL</v>
          </cell>
          <cell r="CG978" t="str">
            <v>12LOCAL</v>
          </cell>
        </row>
        <row r="979">
          <cell r="O979">
            <v>12</v>
          </cell>
          <cell r="AN979">
            <v>0</v>
          </cell>
          <cell r="AO979">
            <v>0</v>
          </cell>
          <cell r="AP979">
            <v>0</v>
          </cell>
          <cell r="AZ979">
            <v>0</v>
          </cell>
          <cell r="BT979">
            <v>0</v>
          </cell>
          <cell r="BX979">
            <v>0</v>
          </cell>
          <cell r="CB979">
            <v>0</v>
          </cell>
          <cell r="CE979" t="str">
            <v>12LOCAL</v>
          </cell>
          <cell r="CF979" t="str">
            <v>12LOCAL</v>
          </cell>
          <cell r="CG979" t="str">
            <v>12LOCAL</v>
          </cell>
        </row>
        <row r="980">
          <cell r="O980">
            <v>12</v>
          </cell>
          <cell r="AN980">
            <v>8.5124017143777664</v>
          </cell>
          <cell r="AO980">
            <v>8.5124017143777664</v>
          </cell>
          <cell r="AP980">
            <v>8.5124017143777664</v>
          </cell>
          <cell r="AZ980">
            <v>9.1950000000000003</v>
          </cell>
          <cell r="BT980">
            <v>8.5124017143777664</v>
          </cell>
          <cell r="BX980">
            <v>8.5124017143777664</v>
          </cell>
          <cell r="CB980">
            <v>8.5124017143777664</v>
          </cell>
          <cell r="CE980" t="str">
            <v>12LOCAL</v>
          </cell>
          <cell r="CF980" t="str">
            <v>12LOCAL</v>
          </cell>
          <cell r="CG980" t="str">
            <v>12LOCAL</v>
          </cell>
        </row>
        <row r="981">
          <cell r="O981">
            <v>12</v>
          </cell>
          <cell r="AN981">
            <v>0</v>
          </cell>
          <cell r="AO981">
            <v>0.15737991206571184</v>
          </cell>
          <cell r="AP981">
            <v>0</v>
          </cell>
          <cell r="AZ981">
            <v>0.17</v>
          </cell>
          <cell r="BT981">
            <v>0</v>
          </cell>
          <cell r="BX981">
            <v>0.15275109112260263</v>
          </cell>
          <cell r="CB981">
            <v>0</v>
          </cell>
          <cell r="CE981" t="str">
            <v>12LOCAL</v>
          </cell>
          <cell r="CF981" t="str">
            <v>12LOCAL</v>
          </cell>
          <cell r="CG981" t="str">
            <v>12LOCAL</v>
          </cell>
        </row>
        <row r="982">
          <cell r="O982">
            <v>12</v>
          </cell>
          <cell r="AN982">
            <v>0</v>
          </cell>
          <cell r="AO982">
            <v>3.1059388528262537</v>
          </cell>
          <cell r="AP982">
            <v>0</v>
          </cell>
          <cell r="AZ982">
            <v>3.355</v>
          </cell>
          <cell r="BT982">
            <v>0</v>
          </cell>
          <cell r="BX982">
            <v>3.1059388528262537</v>
          </cell>
          <cell r="CB982">
            <v>0</v>
          </cell>
          <cell r="CE982" t="str">
            <v>12LOCAL</v>
          </cell>
          <cell r="CF982" t="str">
            <v>12LOCAL</v>
          </cell>
          <cell r="CG982" t="str">
            <v>12LOCAL</v>
          </cell>
        </row>
        <row r="983">
          <cell r="O983">
            <v>12</v>
          </cell>
          <cell r="AN983">
            <v>0</v>
          </cell>
          <cell r="AO983">
            <v>1.3377292525585505</v>
          </cell>
          <cell r="AP983">
            <v>0</v>
          </cell>
          <cell r="AZ983">
            <v>1.4450000000000001</v>
          </cell>
          <cell r="BT983">
            <v>0</v>
          </cell>
          <cell r="BX983">
            <v>1.3377292525585505</v>
          </cell>
          <cell r="CB983">
            <v>0</v>
          </cell>
          <cell r="CE983" t="str">
            <v>12LOCAL</v>
          </cell>
          <cell r="CF983" t="str">
            <v>12LOCAL</v>
          </cell>
          <cell r="CG983" t="str">
            <v>12LOCAL</v>
          </cell>
        </row>
        <row r="984">
          <cell r="O984">
            <v>12</v>
          </cell>
          <cell r="AN984">
            <v>0</v>
          </cell>
          <cell r="AO984">
            <v>0.86096069541830589</v>
          </cell>
          <cell r="AP984">
            <v>0</v>
          </cell>
          <cell r="AZ984">
            <v>0.93</v>
          </cell>
          <cell r="BT984">
            <v>0</v>
          </cell>
          <cell r="BX984">
            <v>0.86096069541830589</v>
          </cell>
          <cell r="CB984">
            <v>0</v>
          </cell>
          <cell r="CE984" t="str">
            <v>12LOCAL</v>
          </cell>
          <cell r="CF984" t="str">
            <v>12LOCAL</v>
          </cell>
          <cell r="CG984" t="str">
            <v>12LOCAL</v>
          </cell>
        </row>
        <row r="985">
          <cell r="O985">
            <v>12</v>
          </cell>
          <cell r="AN985">
            <v>0</v>
          </cell>
          <cell r="AO985">
            <v>4.6936244363126995</v>
          </cell>
          <cell r="AP985">
            <v>0</v>
          </cell>
          <cell r="AZ985">
            <v>5.07</v>
          </cell>
          <cell r="BT985">
            <v>0</v>
          </cell>
          <cell r="BX985">
            <v>4.6936244363126995</v>
          </cell>
          <cell r="CB985">
            <v>0</v>
          </cell>
          <cell r="CE985" t="str">
            <v>12LOCAL</v>
          </cell>
          <cell r="CF985" t="str">
            <v>12LOCAL</v>
          </cell>
          <cell r="CG985" t="str">
            <v>12LOCAL</v>
          </cell>
        </row>
        <row r="986">
          <cell r="O986">
            <v>12</v>
          </cell>
          <cell r="AN986">
            <v>0</v>
          </cell>
          <cell r="AO986">
            <v>0</v>
          </cell>
          <cell r="AP986">
            <v>0</v>
          </cell>
          <cell r="AZ986">
            <v>0</v>
          </cell>
          <cell r="BT986">
            <v>0</v>
          </cell>
          <cell r="BX986">
            <v>0</v>
          </cell>
          <cell r="CB986">
            <v>0</v>
          </cell>
          <cell r="CE986" t="str">
            <v>12LOCAL</v>
          </cell>
          <cell r="CF986" t="str">
            <v>12LOCAL</v>
          </cell>
          <cell r="CG986" t="str">
            <v>12LOCAL</v>
          </cell>
        </row>
        <row r="987">
          <cell r="O987">
            <v>12</v>
          </cell>
          <cell r="AN987">
            <v>0</v>
          </cell>
          <cell r="AO987">
            <v>0</v>
          </cell>
          <cell r="AP987">
            <v>0</v>
          </cell>
          <cell r="AZ987">
            <v>0</v>
          </cell>
          <cell r="BT987">
            <v>0</v>
          </cell>
          <cell r="BX987">
            <v>0</v>
          </cell>
          <cell r="CB987">
            <v>0</v>
          </cell>
          <cell r="CE987" t="str">
            <v>12LOCAL</v>
          </cell>
          <cell r="CF987" t="str">
            <v>12LOCAL</v>
          </cell>
          <cell r="CG987" t="str">
            <v>12LOCAL</v>
          </cell>
        </row>
        <row r="988">
          <cell r="O988">
            <v>12</v>
          </cell>
          <cell r="AN988">
            <v>0</v>
          </cell>
          <cell r="AO988">
            <v>0.54620087128688211</v>
          </cell>
          <cell r="AP988">
            <v>0</v>
          </cell>
          <cell r="AZ988">
            <v>0.59</v>
          </cell>
          <cell r="BT988">
            <v>0</v>
          </cell>
          <cell r="BX988">
            <v>0.54620087128688211</v>
          </cell>
          <cell r="CB988">
            <v>0</v>
          </cell>
          <cell r="CE988" t="str">
            <v>12LOCAL</v>
          </cell>
          <cell r="CF988" t="str">
            <v>12LOCAL</v>
          </cell>
          <cell r="CG988" t="str">
            <v>12LOCAL</v>
          </cell>
        </row>
        <row r="989">
          <cell r="O989">
            <v>12</v>
          </cell>
          <cell r="AN989">
            <v>0</v>
          </cell>
          <cell r="AO989">
            <v>0</v>
          </cell>
          <cell r="AP989">
            <v>0</v>
          </cell>
          <cell r="AZ989">
            <v>0</v>
          </cell>
          <cell r="BT989">
            <v>0</v>
          </cell>
          <cell r="BX989">
            <v>0</v>
          </cell>
          <cell r="CB989">
            <v>0</v>
          </cell>
          <cell r="CE989" t="str">
            <v>12EU</v>
          </cell>
          <cell r="CF989" t="str">
            <v>12EU</v>
          </cell>
          <cell r="CG989" t="str">
            <v>12EU</v>
          </cell>
        </row>
        <row r="990">
          <cell r="O990">
            <v>12</v>
          </cell>
          <cell r="AN990">
            <v>0</v>
          </cell>
          <cell r="AO990">
            <v>0</v>
          </cell>
          <cell r="AP990">
            <v>0</v>
          </cell>
          <cell r="AZ990">
            <v>0</v>
          </cell>
          <cell r="BT990">
            <v>0</v>
          </cell>
          <cell r="BX990">
            <v>0</v>
          </cell>
          <cell r="CB990">
            <v>0</v>
          </cell>
          <cell r="CE990" t="str">
            <v>12LOCAL</v>
          </cell>
          <cell r="CF990" t="str">
            <v>12LOCAL</v>
          </cell>
          <cell r="CG990" t="str">
            <v>12LOCAL</v>
          </cell>
        </row>
        <row r="991">
          <cell r="O991">
            <v>12</v>
          </cell>
          <cell r="AN991">
            <v>0</v>
          </cell>
          <cell r="AO991">
            <v>0</v>
          </cell>
          <cell r="AP991">
            <v>0</v>
          </cell>
          <cell r="AZ991">
            <v>0</v>
          </cell>
          <cell r="BT991">
            <v>15.509216843185399</v>
          </cell>
          <cell r="BX991">
            <v>0</v>
          </cell>
          <cell r="CB991">
            <v>15.509216843185399</v>
          </cell>
          <cell r="CE991" t="str">
            <v>12LOCAL</v>
          </cell>
          <cell r="CF991" t="str">
            <v>12LOCAL</v>
          </cell>
          <cell r="CG991" t="str">
            <v>12LOCAL</v>
          </cell>
        </row>
        <row r="992">
          <cell r="O992">
            <v>12</v>
          </cell>
          <cell r="AN992">
            <v>0</v>
          </cell>
          <cell r="AO992">
            <v>0</v>
          </cell>
          <cell r="AP992">
            <v>0</v>
          </cell>
          <cell r="AZ992">
            <v>0</v>
          </cell>
          <cell r="BT992">
            <v>0</v>
          </cell>
          <cell r="BX992">
            <v>0</v>
          </cell>
          <cell r="CB992">
            <v>0</v>
          </cell>
          <cell r="CE992" t="str">
            <v>12LOCAL</v>
          </cell>
          <cell r="CF992" t="str">
            <v>12LOCAL</v>
          </cell>
          <cell r="CG992" t="str">
            <v>12LOCAL</v>
          </cell>
        </row>
        <row r="993">
          <cell r="O993">
            <v>12</v>
          </cell>
          <cell r="AN993">
            <v>7.7995632891389537</v>
          </cell>
          <cell r="AO993">
            <v>0</v>
          </cell>
          <cell r="AP993">
            <v>7.7995632891389537</v>
          </cell>
          <cell r="AZ993">
            <v>0</v>
          </cell>
          <cell r="BT993">
            <v>7.7995632891389537</v>
          </cell>
          <cell r="BX993">
            <v>0</v>
          </cell>
          <cell r="CB993">
            <v>7.7995632891389537</v>
          </cell>
          <cell r="CE993" t="str">
            <v>12LOCAL</v>
          </cell>
          <cell r="CF993" t="str">
            <v>12LOCAL</v>
          </cell>
          <cell r="CG993" t="str">
            <v>12LOCAL</v>
          </cell>
        </row>
        <row r="994">
          <cell r="O994">
            <v>12</v>
          </cell>
          <cell r="AN994">
            <v>1.2544104755825853</v>
          </cell>
          <cell r="AO994">
            <v>0</v>
          </cell>
          <cell r="AP994">
            <v>1.2544104755825853</v>
          </cell>
          <cell r="AZ994">
            <v>0</v>
          </cell>
          <cell r="BT994">
            <v>1.2544104755825853</v>
          </cell>
          <cell r="BX994">
            <v>0</v>
          </cell>
          <cell r="CB994">
            <v>1.2544104755825853</v>
          </cell>
          <cell r="CE994" t="str">
            <v>12LOCAL</v>
          </cell>
          <cell r="CF994" t="str">
            <v>12LOCAL</v>
          </cell>
          <cell r="CG994" t="str">
            <v>12LOCAL</v>
          </cell>
        </row>
        <row r="995">
          <cell r="O995">
            <v>12</v>
          </cell>
          <cell r="AN995">
            <v>1.3377292525585505</v>
          </cell>
          <cell r="AO995">
            <v>0</v>
          </cell>
          <cell r="AP995">
            <v>1.3377292525585505</v>
          </cell>
          <cell r="AZ995">
            <v>0</v>
          </cell>
          <cell r="BT995">
            <v>1.3377292525585505</v>
          </cell>
          <cell r="BX995">
            <v>0</v>
          </cell>
          <cell r="CB995">
            <v>1.3377292525585505</v>
          </cell>
          <cell r="CE995" t="str">
            <v>12LOCAL</v>
          </cell>
          <cell r="CF995" t="str">
            <v>12LOCAL</v>
          </cell>
          <cell r="CG995" t="str">
            <v>12LOCAL</v>
          </cell>
        </row>
        <row r="996">
          <cell r="O996">
            <v>12</v>
          </cell>
          <cell r="AN996">
            <v>0</v>
          </cell>
          <cell r="AO996">
            <v>0</v>
          </cell>
          <cell r="AP996">
            <v>0</v>
          </cell>
          <cell r="AZ996">
            <v>0</v>
          </cell>
          <cell r="BT996">
            <v>0</v>
          </cell>
          <cell r="BX996">
            <v>0</v>
          </cell>
          <cell r="CB996">
            <v>0</v>
          </cell>
          <cell r="CE996" t="str">
            <v>12LOCAL</v>
          </cell>
          <cell r="CF996" t="str">
            <v>12LOCAL</v>
          </cell>
          <cell r="CG996" t="str">
            <v>12LOCAL</v>
          </cell>
        </row>
        <row r="997">
          <cell r="O997">
            <v>12</v>
          </cell>
          <cell r="AN997">
            <v>1.7126637489503933</v>
          </cell>
          <cell r="AO997">
            <v>0</v>
          </cell>
          <cell r="AP997">
            <v>1.7126637489503933</v>
          </cell>
          <cell r="AZ997">
            <v>0</v>
          </cell>
          <cell r="BT997">
            <v>1.7126637489503933</v>
          </cell>
          <cell r="BX997">
            <v>0</v>
          </cell>
          <cell r="CB997">
            <v>1.7126637489503933</v>
          </cell>
          <cell r="CE997" t="str">
            <v>12LOCAL</v>
          </cell>
          <cell r="CF997" t="str">
            <v>12LOCAL</v>
          </cell>
          <cell r="CG997" t="str">
            <v>12LOCAL</v>
          </cell>
        </row>
        <row r="998">
          <cell r="O998">
            <v>12</v>
          </cell>
          <cell r="AN998">
            <v>1.2590392965256947</v>
          </cell>
          <cell r="AO998">
            <v>0</v>
          </cell>
          <cell r="AP998">
            <v>1.2590392965256947</v>
          </cell>
          <cell r="AZ998">
            <v>0</v>
          </cell>
          <cell r="BT998">
            <v>1.2590392965256947</v>
          </cell>
          <cell r="BX998">
            <v>0</v>
          </cell>
          <cell r="CB998">
            <v>1.2590392965256947</v>
          </cell>
          <cell r="CE998" t="str">
            <v>12LOCAL</v>
          </cell>
          <cell r="CF998" t="str">
            <v>12LOCAL</v>
          </cell>
          <cell r="CG998" t="str">
            <v>12LOCAL</v>
          </cell>
        </row>
        <row r="999">
          <cell r="O999">
            <v>12</v>
          </cell>
          <cell r="AN999">
            <v>0.19441047961058516</v>
          </cell>
          <cell r="AO999">
            <v>0.19441047961058516</v>
          </cell>
          <cell r="AP999">
            <v>0.19441047961058516</v>
          </cell>
          <cell r="AZ999">
            <v>0.21</v>
          </cell>
          <cell r="BT999">
            <v>0.19441047961058519</v>
          </cell>
          <cell r="BX999">
            <v>0.19441047961058519</v>
          </cell>
          <cell r="CB999">
            <v>0.19441047961058519</v>
          </cell>
          <cell r="CE999" t="str">
            <v>12LOCAL</v>
          </cell>
          <cell r="CF999" t="str">
            <v>12LOCAL</v>
          </cell>
          <cell r="CG999" t="str">
            <v>12LOCAL</v>
          </cell>
        </row>
        <row r="1000">
          <cell r="O1000">
            <v>12</v>
          </cell>
          <cell r="AN1000">
            <v>0</v>
          </cell>
          <cell r="AO1000">
            <v>0</v>
          </cell>
          <cell r="AP1000">
            <v>0</v>
          </cell>
          <cell r="AZ1000">
            <v>0</v>
          </cell>
          <cell r="BT1000">
            <v>0</v>
          </cell>
          <cell r="BX1000">
            <v>0</v>
          </cell>
          <cell r="CB1000">
            <v>0</v>
          </cell>
          <cell r="CE1000" t="str">
            <v>12EU</v>
          </cell>
          <cell r="CF1000" t="str">
            <v>12EU</v>
          </cell>
          <cell r="CG1000" t="str">
            <v>12EU</v>
          </cell>
        </row>
        <row r="1001">
          <cell r="O1001">
            <v>12</v>
          </cell>
          <cell r="AN1001">
            <v>0</v>
          </cell>
          <cell r="AO1001">
            <v>0</v>
          </cell>
          <cell r="AP1001">
            <v>0</v>
          </cell>
          <cell r="AZ1001">
            <v>0</v>
          </cell>
          <cell r="BT1001">
            <v>0</v>
          </cell>
          <cell r="BX1001">
            <v>0</v>
          </cell>
          <cell r="CB1001">
            <v>0</v>
          </cell>
          <cell r="CE1001" t="str">
            <v>12LOCAL</v>
          </cell>
          <cell r="CF1001" t="str">
            <v>12LOCAL</v>
          </cell>
          <cell r="CG1001" t="str">
            <v>12LOCAL</v>
          </cell>
        </row>
        <row r="1002">
          <cell r="O1002">
            <v>12</v>
          </cell>
          <cell r="AN1002">
            <v>0</v>
          </cell>
          <cell r="AO1002">
            <v>10.757379871785712</v>
          </cell>
          <cell r="AP1002">
            <v>0</v>
          </cell>
          <cell r="AZ1002">
            <v>11.62</v>
          </cell>
          <cell r="BT1002">
            <v>0</v>
          </cell>
          <cell r="BX1002">
            <v>10.757379871785712</v>
          </cell>
          <cell r="CB1002">
            <v>0</v>
          </cell>
          <cell r="CE1002" t="str">
            <v>12LOCAL</v>
          </cell>
          <cell r="CF1002" t="str">
            <v>12LOCAL</v>
          </cell>
          <cell r="CG1002" t="str">
            <v>12LOCAL</v>
          </cell>
        </row>
        <row r="1003">
          <cell r="O1003">
            <v>12</v>
          </cell>
          <cell r="AN1003">
            <v>0</v>
          </cell>
          <cell r="AO1003">
            <v>0</v>
          </cell>
          <cell r="AP1003">
            <v>0</v>
          </cell>
          <cell r="AZ1003">
            <v>0</v>
          </cell>
          <cell r="BT1003">
            <v>1.5773078755451313</v>
          </cell>
          <cell r="BX1003">
            <v>1.5773078755451313</v>
          </cell>
          <cell r="CB1003">
            <v>1.5773078755451313</v>
          </cell>
          <cell r="CE1003" t="str">
            <v>12LOCAL</v>
          </cell>
          <cell r="CF1003" t="str">
            <v>12LOCAL</v>
          </cell>
          <cell r="CG1003" t="str">
            <v>12LOCAL</v>
          </cell>
        </row>
        <row r="1004">
          <cell r="O1004">
            <v>12</v>
          </cell>
          <cell r="AN1004">
            <v>0.71283842523881236</v>
          </cell>
          <cell r="AO1004">
            <v>0.71283842523881236</v>
          </cell>
          <cell r="AP1004">
            <v>0.71283842523881236</v>
          </cell>
          <cell r="AZ1004">
            <v>0.77</v>
          </cell>
          <cell r="BT1004">
            <v>0.71283842523881236</v>
          </cell>
          <cell r="BX1004">
            <v>0.71283842523881236</v>
          </cell>
          <cell r="CB1004">
            <v>0.71283842523881236</v>
          </cell>
          <cell r="CE1004" t="str">
            <v>12LOCAL</v>
          </cell>
          <cell r="CF1004" t="str">
            <v>12LOCAL</v>
          </cell>
          <cell r="CG1004" t="str">
            <v>12LOCAL</v>
          </cell>
        </row>
        <row r="1005">
          <cell r="O1005">
            <v>12</v>
          </cell>
          <cell r="AN1005">
            <v>0</v>
          </cell>
          <cell r="AO1005">
            <v>0.26847161470033187</v>
          </cell>
          <cell r="AP1005">
            <v>0</v>
          </cell>
          <cell r="AZ1005">
            <v>0.28999999999999998</v>
          </cell>
          <cell r="BT1005">
            <v>0</v>
          </cell>
          <cell r="BX1005">
            <v>1.2960698640705679E-2</v>
          </cell>
          <cell r="CB1005">
            <v>0</v>
          </cell>
          <cell r="CE1005" t="str">
            <v>12LOCAL</v>
          </cell>
          <cell r="CF1005" t="str">
            <v>12LOCAL</v>
          </cell>
          <cell r="CG1005" t="str">
            <v>12LOCAL</v>
          </cell>
        </row>
        <row r="1006">
          <cell r="O1006">
            <v>12</v>
          </cell>
          <cell r="AN1006">
            <v>0.49991266185579047</v>
          </cell>
          <cell r="AO1006">
            <v>0.49991266185579047</v>
          </cell>
          <cell r="AP1006">
            <v>0.49991266185579047</v>
          </cell>
          <cell r="AZ1006">
            <v>0.54</v>
          </cell>
          <cell r="BT1006">
            <v>1.1258108256679005</v>
          </cell>
          <cell r="BX1006">
            <v>1.1258108256679005</v>
          </cell>
          <cell r="CB1006">
            <v>1.1258108256679005</v>
          </cell>
          <cell r="CE1006" t="str">
            <v>12LOCAL</v>
          </cell>
          <cell r="CF1006" t="str">
            <v>12LOCAL</v>
          </cell>
          <cell r="CG1006" t="str">
            <v>12LOCAL</v>
          </cell>
        </row>
        <row r="1007">
          <cell r="O1007">
            <v>12</v>
          </cell>
          <cell r="AN1007">
            <v>0</v>
          </cell>
          <cell r="AO1007">
            <v>0</v>
          </cell>
          <cell r="AP1007">
            <v>0</v>
          </cell>
          <cell r="AZ1007">
            <v>0</v>
          </cell>
          <cell r="BT1007">
            <v>0</v>
          </cell>
          <cell r="BX1007">
            <v>1.7486656896190202E-2</v>
          </cell>
          <cell r="CB1007">
            <v>0</v>
          </cell>
          <cell r="CE1007" t="str">
            <v>12LOCAL</v>
          </cell>
          <cell r="CF1007" t="str">
            <v>12LOCAL</v>
          </cell>
          <cell r="CG1007" t="str">
            <v>12LOCAL</v>
          </cell>
        </row>
        <row r="1008">
          <cell r="O1008">
            <v>12</v>
          </cell>
          <cell r="AN1008">
            <v>0</v>
          </cell>
          <cell r="AO1008">
            <v>2.8050654915241573</v>
          </cell>
          <cell r="AP1008">
            <v>0</v>
          </cell>
          <cell r="AZ1008">
            <v>3.03</v>
          </cell>
          <cell r="BT1008">
            <v>0</v>
          </cell>
          <cell r="BX1008">
            <v>2.8050654915241573</v>
          </cell>
          <cell r="CB1008">
            <v>0</v>
          </cell>
          <cell r="CE1008" t="str">
            <v>12LOCAL</v>
          </cell>
          <cell r="CF1008" t="str">
            <v>12LOCAL</v>
          </cell>
          <cell r="CG1008" t="str">
            <v>12LOCAL</v>
          </cell>
        </row>
        <row r="1009">
          <cell r="O1009">
            <v>12</v>
          </cell>
          <cell r="AN1009">
            <v>0</v>
          </cell>
          <cell r="AO1009">
            <v>1.5830567625433365</v>
          </cell>
          <cell r="AP1009">
            <v>0</v>
          </cell>
          <cell r="AZ1009">
            <v>1.71</v>
          </cell>
          <cell r="BT1009">
            <v>0</v>
          </cell>
          <cell r="BX1009">
            <v>1.5830567625433363</v>
          </cell>
          <cell r="CB1009">
            <v>0</v>
          </cell>
          <cell r="CE1009" t="str">
            <v>12LOCAL</v>
          </cell>
          <cell r="CF1009" t="str">
            <v>12LOCAL</v>
          </cell>
          <cell r="CG1009" t="str">
            <v>12LOCAL</v>
          </cell>
        </row>
        <row r="1010">
          <cell r="O1010">
            <v>12</v>
          </cell>
          <cell r="AN1010">
            <v>0</v>
          </cell>
          <cell r="AO1010">
            <v>0.83318776975965081</v>
          </cell>
          <cell r="AP1010">
            <v>0</v>
          </cell>
          <cell r="AZ1010">
            <v>0.9</v>
          </cell>
          <cell r="BT1010">
            <v>0</v>
          </cell>
          <cell r="BX1010">
            <v>0.83318776975965081</v>
          </cell>
          <cell r="CB1010">
            <v>0</v>
          </cell>
          <cell r="CE1010" t="str">
            <v>12LOCAL</v>
          </cell>
          <cell r="CF1010" t="str">
            <v>12LOCAL</v>
          </cell>
          <cell r="CG1010" t="str">
            <v>12LOCAL</v>
          </cell>
        </row>
        <row r="1011">
          <cell r="O1011">
            <v>12</v>
          </cell>
          <cell r="AN1011">
            <v>0</v>
          </cell>
          <cell r="AO1011">
            <v>0.83318776975965081</v>
          </cell>
          <cell r="AP1011">
            <v>0</v>
          </cell>
          <cell r="AZ1011">
            <v>0.9</v>
          </cell>
          <cell r="BT1011">
            <v>0</v>
          </cell>
          <cell r="BX1011">
            <v>0.83318776975965081</v>
          </cell>
          <cell r="CB1011">
            <v>0</v>
          </cell>
          <cell r="CE1011" t="str">
            <v>12LOCAL</v>
          </cell>
          <cell r="CF1011" t="str">
            <v>12LOCAL</v>
          </cell>
          <cell r="CG1011" t="str">
            <v>12LOCAL</v>
          </cell>
        </row>
        <row r="1012">
          <cell r="O1012">
            <v>12</v>
          </cell>
          <cell r="AN1012">
            <v>0</v>
          </cell>
          <cell r="AO1012">
            <v>0.51842794562822714</v>
          </cell>
          <cell r="AP1012">
            <v>0</v>
          </cell>
          <cell r="AZ1012">
            <v>0.56000000000000005</v>
          </cell>
          <cell r="BT1012">
            <v>0</v>
          </cell>
          <cell r="BX1012">
            <v>0.51842794562822725</v>
          </cell>
          <cell r="CB1012">
            <v>0</v>
          </cell>
          <cell r="CE1012" t="str">
            <v>12LOCAL</v>
          </cell>
          <cell r="CF1012" t="str">
            <v>12LOCAL</v>
          </cell>
          <cell r="CG1012" t="str">
            <v>12LOCAL</v>
          </cell>
        </row>
        <row r="1013">
          <cell r="O1013">
            <v>12</v>
          </cell>
          <cell r="AN1013">
            <v>0</v>
          </cell>
          <cell r="AO1013">
            <v>0</v>
          </cell>
          <cell r="AP1013">
            <v>0</v>
          </cell>
          <cell r="AZ1013">
            <v>0</v>
          </cell>
          <cell r="BT1013">
            <v>0</v>
          </cell>
          <cell r="BX1013">
            <v>0</v>
          </cell>
          <cell r="CB1013">
            <v>0</v>
          </cell>
          <cell r="CE1013" t="str">
            <v>12LOCAL</v>
          </cell>
          <cell r="CF1013" t="str">
            <v>12LOCAL</v>
          </cell>
          <cell r="CG1013" t="str">
            <v>12LOCAL</v>
          </cell>
        </row>
        <row r="1014">
          <cell r="O1014">
            <v>12</v>
          </cell>
          <cell r="AN1014">
            <v>0</v>
          </cell>
          <cell r="AO1014">
            <v>0</v>
          </cell>
          <cell r="AP1014">
            <v>0</v>
          </cell>
          <cell r="AZ1014">
            <v>0</v>
          </cell>
          <cell r="BT1014">
            <v>0</v>
          </cell>
          <cell r="BX1014">
            <v>0</v>
          </cell>
          <cell r="CB1014">
            <v>0</v>
          </cell>
          <cell r="CE1014" t="str">
            <v>12LOCAL</v>
          </cell>
          <cell r="CF1014" t="str">
            <v>12LOCAL</v>
          </cell>
          <cell r="CG1014" t="str">
            <v>12LOCAL</v>
          </cell>
        </row>
        <row r="1015">
          <cell r="O1015">
            <v>12</v>
          </cell>
          <cell r="AN1015">
            <v>0</v>
          </cell>
          <cell r="AO1015">
            <v>0</v>
          </cell>
          <cell r="AP1015">
            <v>0</v>
          </cell>
          <cell r="AZ1015">
            <v>0</v>
          </cell>
          <cell r="BT1015">
            <v>0</v>
          </cell>
          <cell r="BX1015">
            <v>0</v>
          </cell>
          <cell r="CB1015">
            <v>0</v>
          </cell>
          <cell r="CE1015" t="str">
            <v>12LOCAL</v>
          </cell>
          <cell r="CF1015" t="str">
            <v>12LOCAL</v>
          </cell>
          <cell r="CG1015" t="str">
            <v>12LOCAL</v>
          </cell>
        </row>
        <row r="1016">
          <cell r="O1016">
            <v>12</v>
          </cell>
          <cell r="AN1016">
            <v>0.34253274979007864</v>
          </cell>
          <cell r="AO1016">
            <v>0.34253274979007864</v>
          </cell>
          <cell r="AP1016">
            <v>0.34253274979007864</v>
          </cell>
          <cell r="AZ1016">
            <v>0.37</v>
          </cell>
          <cell r="BT1016">
            <v>0.34253274979007864</v>
          </cell>
          <cell r="BX1016">
            <v>0.34253274979007864</v>
          </cell>
          <cell r="CB1016">
            <v>0.34253274979007864</v>
          </cell>
          <cell r="CE1016" t="str">
            <v>12LOCAL</v>
          </cell>
          <cell r="CF1016" t="str">
            <v>12LOCAL</v>
          </cell>
          <cell r="CG1016" t="str">
            <v>12LOCAL</v>
          </cell>
        </row>
        <row r="1017">
          <cell r="O1017">
            <v>12</v>
          </cell>
          <cell r="AN1017">
            <v>0.19441047961058516</v>
          </cell>
          <cell r="AO1017">
            <v>0.19441047961058516</v>
          </cell>
          <cell r="AP1017">
            <v>0.19441047961058516</v>
          </cell>
          <cell r="AZ1017">
            <v>0.21</v>
          </cell>
          <cell r="BT1017">
            <v>0.19441047961058519</v>
          </cell>
          <cell r="BX1017">
            <v>0.19441047961058519</v>
          </cell>
          <cell r="CB1017">
            <v>0.19441047961058519</v>
          </cell>
          <cell r="CE1017" t="str">
            <v>12LOCAL</v>
          </cell>
          <cell r="CF1017" t="str">
            <v>12LOCAL</v>
          </cell>
          <cell r="CG1017" t="str">
            <v>12LOCAL</v>
          </cell>
        </row>
        <row r="1018">
          <cell r="O1018">
            <v>12</v>
          </cell>
          <cell r="AN1018">
            <v>0</v>
          </cell>
          <cell r="AO1018">
            <v>0</v>
          </cell>
          <cell r="AP1018">
            <v>0</v>
          </cell>
          <cell r="AZ1018">
            <v>0</v>
          </cell>
          <cell r="BT1018">
            <v>24.773701762744164</v>
          </cell>
          <cell r="BX1018">
            <v>0</v>
          </cell>
          <cell r="CB1018">
            <v>24.773701762744164</v>
          </cell>
          <cell r="CE1018" t="str">
            <v>12LOCAL</v>
          </cell>
          <cell r="CF1018" t="str">
            <v>12LOCAL</v>
          </cell>
          <cell r="CG1018" t="str">
            <v>12LOCAL</v>
          </cell>
        </row>
        <row r="1019">
          <cell r="O1019">
            <v>12</v>
          </cell>
          <cell r="AN1019">
            <v>0</v>
          </cell>
          <cell r="AO1019">
            <v>0</v>
          </cell>
          <cell r="AP1019">
            <v>0</v>
          </cell>
          <cell r="AZ1019">
            <v>0</v>
          </cell>
          <cell r="BT1019">
            <v>1.5773078755451313</v>
          </cell>
          <cell r="BX1019">
            <v>1.5773078755451313</v>
          </cell>
          <cell r="CB1019">
            <v>1.5773078755451313</v>
          </cell>
          <cell r="CE1019" t="str">
            <v>12LOCAL</v>
          </cell>
          <cell r="CF1019" t="str">
            <v>12LOCAL</v>
          </cell>
          <cell r="CG1019" t="str">
            <v>12LOCAL</v>
          </cell>
        </row>
        <row r="1020">
          <cell r="O1020">
            <v>12</v>
          </cell>
          <cell r="AN1020">
            <v>0</v>
          </cell>
          <cell r="AO1020">
            <v>0</v>
          </cell>
          <cell r="AP1020">
            <v>0</v>
          </cell>
          <cell r="AZ1020">
            <v>0</v>
          </cell>
          <cell r="BT1020">
            <v>0</v>
          </cell>
          <cell r="BX1020">
            <v>0</v>
          </cell>
          <cell r="CB1020">
            <v>0</v>
          </cell>
          <cell r="CE1020" t="str">
            <v>12LOCAL</v>
          </cell>
          <cell r="CF1020" t="str">
            <v>12LOCAL</v>
          </cell>
          <cell r="CG1020" t="str">
            <v>12LOCAL</v>
          </cell>
        </row>
        <row r="1021">
          <cell r="O1021">
            <v>12</v>
          </cell>
          <cell r="AN1021">
            <v>10.757379871785712</v>
          </cell>
          <cell r="AO1021">
            <v>0</v>
          </cell>
          <cell r="AP1021">
            <v>10.757379871785712</v>
          </cell>
          <cell r="AZ1021">
            <v>0</v>
          </cell>
          <cell r="BT1021">
            <v>10.757379871785712</v>
          </cell>
          <cell r="BX1021">
            <v>0</v>
          </cell>
          <cell r="CB1021">
            <v>10.757379871785712</v>
          </cell>
          <cell r="CE1021" t="str">
            <v>12LOCAL</v>
          </cell>
          <cell r="CF1021" t="str">
            <v>12LOCAL</v>
          </cell>
          <cell r="CG1021" t="str">
            <v>12LOCAL</v>
          </cell>
        </row>
        <row r="1022">
          <cell r="O1022">
            <v>12</v>
          </cell>
          <cell r="AN1022">
            <v>0</v>
          </cell>
          <cell r="AO1022">
            <v>0</v>
          </cell>
          <cell r="AP1022">
            <v>0</v>
          </cell>
          <cell r="AZ1022">
            <v>0</v>
          </cell>
          <cell r="BT1022">
            <v>0</v>
          </cell>
          <cell r="BX1022">
            <v>0</v>
          </cell>
          <cell r="CB1022">
            <v>0</v>
          </cell>
          <cell r="CE1022" t="str">
            <v>12LOCAL</v>
          </cell>
          <cell r="CF1022" t="str">
            <v>12LOCAL</v>
          </cell>
          <cell r="CG1022" t="str">
            <v>12LOCAL</v>
          </cell>
        </row>
        <row r="1023">
          <cell r="O1023">
            <v>12</v>
          </cell>
          <cell r="AN1023">
            <v>0</v>
          </cell>
          <cell r="AO1023">
            <v>0</v>
          </cell>
          <cell r="AP1023">
            <v>0</v>
          </cell>
          <cell r="AZ1023">
            <v>0</v>
          </cell>
          <cell r="BT1023">
            <v>0</v>
          </cell>
          <cell r="BX1023">
            <v>0</v>
          </cell>
          <cell r="CB1023">
            <v>0</v>
          </cell>
          <cell r="CE1023" t="str">
            <v>12LOCAL</v>
          </cell>
          <cell r="CF1023" t="str">
            <v>12LOCAL</v>
          </cell>
          <cell r="CG1023" t="str">
            <v>12LOCAL</v>
          </cell>
        </row>
        <row r="1024">
          <cell r="O1024">
            <v>12</v>
          </cell>
          <cell r="AN1024">
            <v>0</v>
          </cell>
          <cell r="AO1024">
            <v>0</v>
          </cell>
          <cell r="AP1024">
            <v>0</v>
          </cell>
          <cell r="AZ1024">
            <v>0</v>
          </cell>
          <cell r="BT1024">
            <v>0</v>
          </cell>
          <cell r="BX1024">
            <v>0</v>
          </cell>
          <cell r="CB1024">
            <v>0</v>
          </cell>
          <cell r="CE1024" t="str">
            <v>12LOCAL</v>
          </cell>
          <cell r="CF1024" t="str">
            <v>12LOCAL</v>
          </cell>
          <cell r="CG1024" t="str">
            <v>12LOCAL</v>
          </cell>
        </row>
        <row r="1025">
          <cell r="O1025">
            <v>12</v>
          </cell>
          <cell r="AN1025">
            <v>0</v>
          </cell>
          <cell r="AO1025">
            <v>0</v>
          </cell>
          <cell r="AP1025">
            <v>0</v>
          </cell>
          <cell r="AZ1025">
            <v>0</v>
          </cell>
          <cell r="BT1025">
            <v>0</v>
          </cell>
          <cell r="BX1025">
            <v>0</v>
          </cell>
          <cell r="CB1025">
            <v>0</v>
          </cell>
          <cell r="CE1025" t="str">
            <v>12LOCAL</v>
          </cell>
          <cell r="CF1025" t="str">
            <v>12LOCAL</v>
          </cell>
          <cell r="CG1025" t="str">
            <v>12LOCAL</v>
          </cell>
        </row>
        <row r="1026">
          <cell r="O1026">
            <v>12</v>
          </cell>
          <cell r="AN1026">
            <v>0</v>
          </cell>
          <cell r="AO1026">
            <v>0</v>
          </cell>
          <cell r="AP1026">
            <v>0</v>
          </cell>
          <cell r="AZ1026">
            <v>0</v>
          </cell>
          <cell r="BT1026">
            <v>0</v>
          </cell>
          <cell r="BX1026">
            <v>0</v>
          </cell>
          <cell r="CB1026">
            <v>0</v>
          </cell>
          <cell r="CE1026" t="str">
            <v>12LOCAL</v>
          </cell>
          <cell r="CF1026" t="str">
            <v>12LOCAL</v>
          </cell>
          <cell r="CG1026" t="str">
            <v>12LOCAL</v>
          </cell>
        </row>
        <row r="1027">
          <cell r="O1027">
            <v>12</v>
          </cell>
          <cell r="AN1027">
            <v>0.51842794562822714</v>
          </cell>
          <cell r="AO1027">
            <v>0</v>
          </cell>
          <cell r="AP1027">
            <v>0.51842794562822714</v>
          </cell>
          <cell r="AZ1027">
            <v>0</v>
          </cell>
          <cell r="BT1027">
            <v>0.51842794562822714</v>
          </cell>
          <cell r="BX1027">
            <v>0</v>
          </cell>
          <cell r="CB1027">
            <v>0.51842794562822714</v>
          </cell>
          <cell r="CE1027" t="str">
            <v>12LOCAL</v>
          </cell>
          <cell r="CF1027" t="str">
            <v>12LOCAL</v>
          </cell>
          <cell r="CG1027" t="str">
            <v>12LOCAL</v>
          </cell>
        </row>
        <row r="1028">
          <cell r="O1028">
            <v>12</v>
          </cell>
          <cell r="AN1028">
            <v>0</v>
          </cell>
          <cell r="AO1028">
            <v>0</v>
          </cell>
          <cell r="AP1028">
            <v>0</v>
          </cell>
          <cell r="AZ1028">
            <v>0</v>
          </cell>
          <cell r="BT1028">
            <v>0</v>
          </cell>
          <cell r="BX1028">
            <v>0</v>
          </cell>
          <cell r="CB1028">
            <v>0</v>
          </cell>
          <cell r="CE1028" t="str">
            <v>12EU</v>
          </cell>
          <cell r="CF1028" t="str">
            <v>12EU</v>
          </cell>
          <cell r="CG1028" t="str">
            <v>12EU</v>
          </cell>
        </row>
        <row r="1029">
          <cell r="O1029">
            <v>12</v>
          </cell>
          <cell r="AN1029">
            <v>0.48139737808335381</v>
          </cell>
          <cell r="AO1029">
            <v>0</v>
          </cell>
          <cell r="AP1029">
            <v>0.48139737808335381</v>
          </cell>
          <cell r="AZ1029">
            <v>0</v>
          </cell>
          <cell r="BT1029">
            <v>0.48139737808335381</v>
          </cell>
          <cell r="BX1029">
            <v>0</v>
          </cell>
          <cell r="CB1029">
            <v>0.48139737808335381</v>
          </cell>
          <cell r="CE1029" t="str">
            <v>12LOCAL</v>
          </cell>
          <cell r="CF1029" t="str">
            <v>12LOCAL</v>
          </cell>
          <cell r="CG1029" t="str">
            <v>12LOCAL</v>
          </cell>
        </row>
        <row r="1030">
          <cell r="O1030">
            <v>12</v>
          </cell>
          <cell r="AN1030">
            <v>0.51842794562822714</v>
          </cell>
          <cell r="AO1030">
            <v>0</v>
          </cell>
          <cell r="AP1030">
            <v>0.51842794562822714</v>
          </cell>
          <cell r="AZ1030">
            <v>0</v>
          </cell>
          <cell r="BT1030">
            <v>0.51842794562822714</v>
          </cell>
          <cell r="BX1030">
            <v>0</v>
          </cell>
          <cell r="CB1030">
            <v>0.51842794562822714</v>
          </cell>
          <cell r="CE1030" t="str">
            <v>12LOCAL</v>
          </cell>
          <cell r="CF1030" t="str">
            <v>12LOCAL</v>
          </cell>
          <cell r="CG1030" t="str">
            <v>12LOCAL</v>
          </cell>
        </row>
        <row r="1031">
          <cell r="O1031">
            <v>12</v>
          </cell>
          <cell r="AN1031">
            <v>0</v>
          </cell>
          <cell r="AO1031">
            <v>0</v>
          </cell>
          <cell r="AP1031">
            <v>0</v>
          </cell>
          <cell r="AZ1031">
            <v>0</v>
          </cell>
          <cell r="BT1031">
            <v>8.2090372704951076</v>
          </cell>
          <cell r="BX1031">
            <v>0</v>
          </cell>
          <cell r="CB1031">
            <v>8.2090372704951076</v>
          </cell>
          <cell r="CE1031" t="str">
            <v>12LOCAL</v>
          </cell>
          <cell r="CF1031" t="str">
            <v>12LOCAL</v>
          </cell>
          <cell r="CG1031" t="str">
            <v>12LOCAL</v>
          </cell>
        </row>
        <row r="1032">
          <cell r="O1032">
            <v>12</v>
          </cell>
          <cell r="AN1032">
            <v>1.3608733572740963</v>
          </cell>
          <cell r="AO1032">
            <v>0</v>
          </cell>
          <cell r="AP1032">
            <v>1.3608733572740963</v>
          </cell>
          <cell r="AZ1032">
            <v>0</v>
          </cell>
          <cell r="BT1032">
            <v>1.3608733572740963</v>
          </cell>
          <cell r="BX1032">
            <v>0</v>
          </cell>
          <cell r="CB1032">
            <v>1.3608733572740963</v>
          </cell>
          <cell r="CE1032" t="str">
            <v>12LOCAL</v>
          </cell>
          <cell r="CF1032" t="str">
            <v>12LOCAL</v>
          </cell>
          <cell r="CG1032" t="str">
            <v>12LOCAL</v>
          </cell>
        </row>
        <row r="1033">
          <cell r="O1033">
            <v>12</v>
          </cell>
          <cell r="AN1033">
            <v>1.9996506474231619</v>
          </cell>
          <cell r="AO1033">
            <v>0</v>
          </cell>
          <cell r="AP1033">
            <v>1.9996506474231619</v>
          </cell>
          <cell r="AZ1033">
            <v>0</v>
          </cell>
          <cell r="BT1033">
            <v>1.9996506474231619</v>
          </cell>
          <cell r="BX1033">
            <v>0</v>
          </cell>
          <cell r="CB1033">
            <v>1.9996506474231619</v>
          </cell>
          <cell r="CE1033" t="str">
            <v>12LOCAL</v>
          </cell>
          <cell r="CF1033" t="str">
            <v>12LOCAL</v>
          </cell>
          <cell r="CG1033" t="str">
            <v>12LOCAL</v>
          </cell>
        </row>
        <row r="1034">
          <cell r="O1034">
            <v>12</v>
          </cell>
          <cell r="AN1034">
            <v>1.3608733572740963</v>
          </cell>
          <cell r="AO1034">
            <v>0</v>
          </cell>
          <cell r="AP1034">
            <v>1.3608733572740963</v>
          </cell>
          <cell r="AZ1034">
            <v>0</v>
          </cell>
          <cell r="BT1034">
            <v>1.3608733572740963</v>
          </cell>
          <cell r="BX1034">
            <v>0</v>
          </cell>
          <cell r="CB1034">
            <v>1.3608733572740963</v>
          </cell>
          <cell r="CE1034" t="str">
            <v>12LOCAL</v>
          </cell>
          <cell r="CF1034" t="str">
            <v>12LOCAL</v>
          </cell>
          <cell r="CG1034" t="str">
            <v>12LOCAL</v>
          </cell>
        </row>
        <row r="1035">
          <cell r="O1035">
            <v>12</v>
          </cell>
          <cell r="AN1035">
            <v>0</v>
          </cell>
          <cell r="AO1035">
            <v>0</v>
          </cell>
          <cell r="AP1035">
            <v>0</v>
          </cell>
          <cell r="AZ1035">
            <v>0</v>
          </cell>
          <cell r="BT1035">
            <v>0</v>
          </cell>
          <cell r="BX1035">
            <v>0</v>
          </cell>
          <cell r="CB1035">
            <v>0</v>
          </cell>
          <cell r="CE1035" t="str">
            <v>12EU</v>
          </cell>
          <cell r="CF1035" t="str">
            <v>12EU</v>
          </cell>
          <cell r="CG1035" t="str">
            <v>12EU</v>
          </cell>
        </row>
        <row r="1036">
          <cell r="O1036">
            <v>12</v>
          </cell>
          <cell r="AN1036">
            <v>4.0733624299360711</v>
          </cell>
          <cell r="AO1036">
            <v>4.0733624299360711</v>
          </cell>
          <cell r="AP1036">
            <v>4.0733624299360711</v>
          </cell>
          <cell r="AZ1036">
            <v>4.4000000000000004</v>
          </cell>
          <cell r="BT1036">
            <v>10.085388646608274</v>
          </cell>
          <cell r="BX1036">
            <v>10.085388646608274</v>
          </cell>
          <cell r="CB1036">
            <v>10.085388646608274</v>
          </cell>
          <cell r="CE1036" t="str">
            <v>12LOCAL</v>
          </cell>
          <cell r="CF1036" t="str">
            <v>12LOCAL</v>
          </cell>
          <cell r="CG1036" t="str">
            <v>12LOCAL</v>
          </cell>
        </row>
        <row r="1037">
          <cell r="O1037">
            <v>12</v>
          </cell>
          <cell r="AN1037">
            <v>0</v>
          </cell>
          <cell r="AO1037">
            <v>0</v>
          </cell>
          <cell r="AP1037">
            <v>0</v>
          </cell>
          <cell r="AZ1037">
            <v>0</v>
          </cell>
          <cell r="BT1037">
            <v>0</v>
          </cell>
          <cell r="BX1037">
            <v>0</v>
          </cell>
          <cell r="CB1037">
            <v>0</v>
          </cell>
          <cell r="CE1037" t="str">
            <v>12LOCAL</v>
          </cell>
          <cell r="CF1037" t="str">
            <v>12LOCAL</v>
          </cell>
          <cell r="CG1037" t="str">
            <v>12LOCAL</v>
          </cell>
        </row>
        <row r="1038">
          <cell r="O1038">
            <v>12</v>
          </cell>
          <cell r="AN1038">
            <v>2.8420960590690307</v>
          </cell>
          <cell r="AO1038">
            <v>2.8420960590690307</v>
          </cell>
          <cell r="AP1038">
            <v>2.8420960590690307</v>
          </cell>
          <cell r="AZ1038">
            <v>3.07</v>
          </cell>
          <cell r="BT1038">
            <v>2.8420960590690307</v>
          </cell>
          <cell r="BX1038">
            <v>2.8420960590690307</v>
          </cell>
          <cell r="CB1038">
            <v>2.8420960590690307</v>
          </cell>
          <cell r="CE1038" t="str">
            <v>12LOCAL</v>
          </cell>
          <cell r="CF1038" t="str">
            <v>12LOCAL</v>
          </cell>
          <cell r="CG1038" t="str">
            <v>12LOCAL</v>
          </cell>
        </row>
        <row r="1039">
          <cell r="O1039">
            <v>12</v>
          </cell>
          <cell r="AN1039">
            <v>0.6572925739215022</v>
          </cell>
          <cell r="AO1039">
            <v>0.6572925739215022</v>
          </cell>
          <cell r="AP1039">
            <v>0.6572925739215022</v>
          </cell>
          <cell r="AZ1039">
            <v>0.71</v>
          </cell>
          <cell r="BT1039">
            <v>0.6572925739215022</v>
          </cell>
          <cell r="BX1039">
            <v>0.6572925739215022</v>
          </cell>
          <cell r="CB1039">
            <v>0.6572925739215022</v>
          </cell>
          <cell r="CE1039" t="str">
            <v>12LOCAL</v>
          </cell>
          <cell r="CF1039" t="str">
            <v>12LOCAL</v>
          </cell>
          <cell r="CG1039" t="str">
            <v>12LOCAL</v>
          </cell>
        </row>
        <row r="1040">
          <cell r="O1040">
            <v>12</v>
          </cell>
          <cell r="AN1040">
            <v>0.39807860110738869</v>
          </cell>
          <cell r="AO1040">
            <v>0.39807860110738869</v>
          </cell>
          <cell r="AP1040">
            <v>0.39807860110738869</v>
          </cell>
          <cell r="AZ1040">
            <v>0.43</v>
          </cell>
          <cell r="BT1040">
            <v>0.39807860110738869</v>
          </cell>
          <cell r="BX1040">
            <v>0.39807860110738869</v>
          </cell>
          <cell r="CB1040">
            <v>0.39807860110738869</v>
          </cell>
          <cell r="CE1040" t="str">
            <v>12LOCAL</v>
          </cell>
          <cell r="CF1040" t="str">
            <v>12LOCAL</v>
          </cell>
          <cell r="CG1040" t="str">
            <v>12LOCAL</v>
          </cell>
        </row>
        <row r="1041">
          <cell r="O1041">
            <v>12</v>
          </cell>
          <cell r="AN1041">
            <v>0.22218340526924019</v>
          </cell>
          <cell r="AO1041">
            <v>0.22218340526924019</v>
          </cell>
          <cell r="AP1041">
            <v>0.22218340526924019</v>
          </cell>
          <cell r="AZ1041">
            <v>0.24</v>
          </cell>
          <cell r="BT1041">
            <v>0.22218340526924019</v>
          </cell>
          <cell r="BX1041">
            <v>0.22218340526924019</v>
          </cell>
          <cell r="CB1041">
            <v>0.22218340526924019</v>
          </cell>
          <cell r="CE1041" t="str">
            <v>12LOCAL</v>
          </cell>
          <cell r="CF1041" t="str">
            <v>12LOCAL</v>
          </cell>
          <cell r="CG1041" t="str">
            <v>12LOCAL</v>
          </cell>
        </row>
        <row r="1042">
          <cell r="O1042">
            <v>12</v>
          </cell>
          <cell r="AN1042">
            <v>0.28698689847276859</v>
          </cell>
          <cell r="AO1042">
            <v>0.28698689847276859</v>
          </cell>
          <cell r="AP1042">
            <v>0.28698689847276859</v>
          </cell>
          <cell r="AZ1042">
            <v>0.31</v>
          </cell>
          <cell r="BT1042">
            <v>0.28698689847276859</v>
          </cell>
          <cell r="BX1042">
            <v>0.28698689847276859</v>
          </cell>
          <cell r="CB1042">
            <v>0.28698689847276859</v>
          </cell>
          <cell r="CE1042" t="str">
            <v>12LOCAL</v>
          </cell>
          <cell r="CF1042" t="str">
            <v>12LOCAL</v>
          </cell>
          <cell r="CG1042" t="str">
            <v>12LOCAL</v>
          </cell>
        </row>
        <row r="1043">
          <cell r="O1043">
            <v>12</v>
          </cell>
          <cell r="AN1043">
            <v>0</v>
          </cell>
          <cell r="AO1043">
            <v>0</v>
          </cell>
          <cell r="AP1043">
            <v>0</v>
          </cell>
          <cell r="AZ1043">
            <v>0</v>
          </cell>
          <cell r="BT1043">
            <v>0</v>
          </cell>
          <cell r="BX1043">
            <v>0</v>
          </cell>
          <cell r="CB1043">
            <v>0</v>
          </cell>
          <cell r="CE1043" t="str">
            <v>12EU</v>
          </cell>
          <cell r="CF1043" t="str">
            <v>12EU</v>
          </cell>
          <cell r="CG1043" t="str">
            <v>12EU</v>
          </cell>
        </row>
        <row r="1044">
          <cell r="O1044">
            <v>12</v>
          </cell>
          <cell r="AN1044">
            <v>0</v>
          </cell>
          <cell r="AO1044">
            <v>0</v>
          </cell>
          <cell r="AP1044">
            <v>0</v>
          </cell>
          <cell r="AZ1044">
            <v>0</v>
          </cell>
          <cell r="BT1044">
            <v>0</v>
          </cell>
          <cell r="BX1044">
            <v>0</v>
          </cell>
          <cell r="CB1044">
            <v>0</v>
          </cell>
          <cell r="CE1044" t="str">
            <v>12LOCAL</v>
          </cell>
          <cell r="CF1044" t="str">
            <v>12LOCAL</v>
          </cell>
          <cell r="CG1044" t="str">
            <v>12LOCAL</v>
          </cell>
        </row>
        <row r="1045">
          <cell r="O1045">
            <v>12</v>
          </cell>
          <cell r="AN1045">
            <v>0</v>
          </cell>
          <cell r="AO1045">
            <v>0</v>
          </cell>
          <cell r="AP1045">
            <v>0</v>
          </cell>
          <cell r="AZ1045">
            <v>0</v>
          </cell>
          <cell r="BT1045">
            <v>0</v>
          </cell>
          <cell r="BX1045">
            <v>0</v>
          </cell>
          <cell r="CB1045">
            <v>0</v>
          </cell>
          <cell r="CE1045" t="str">
            <v>12LOCAL</v>
          </cell>
          <cell r="CF1045" t="str">
            <v>12LOCAL</v>
          </cell>
          <cell r="CG1045" t="str">
            <v>12LOCAL</v>
          </cell>
        </row>
        <row r="1046">
          <cell r="O1046">
            <v>12</v>
          </cell>
          <cell r="AN1046">
            <v>0</v>
          </cell>
          <cell r="AO1046">
            <v>0</v>
          </cell>
          <cell r="AP1046">
            <v>0</v>
          </cell>
          <cell r="AZ1046">
            <v>0</v>
          </cell>
          <cell r="BT1046">
            <v>0</v>
          </cell>
          <cell r="BX1046">
            <v>0</v>
          </cell>
          <cell r="CB1046">
            <v>0</v>
          </cell>
          <cell r="CE1046" t="str">
            <v>12LOCAL</v>
          </cell>
          <cell r="CF1046" t="str">
            <v>12LOCAL</v>
          </cell>
          <cell r="CG1046" t="str">
            <v>12LOCAL</v>
          </cell>
        </row>
        <row r="1047">
          <cell r="O1047">
            <v>12</v>
          </cell>
          <cell r="AN1047">
            <v>0</v>
          </cell>
          <cell r="AO1047">
            <v>0</v>
          </cell>
          <cell r="AP1047">
            <v>0</v>
          </cell>
          <cell r="AZ1047">
            <v>0</v>
          </cell>
          <cell r="BT1047">
            <v>0</v>
          </cell>
          <cell r="BX1047">
            <v>0</v>
          </cell>
          <cell r="CB1047">
            <v>0</v>
          </cell>
          <cell r="CE1047" t="str">
            <v>12LOCAL</v>
          </cell>
          <cell r="CF1047" t="str">
            <v>12LOCAL</v>
          </cell>
          <cell r="CG1047" t="str">
            <v>12LOCAL</v>
          </cell>
        </row>
        <row r="1048">
          <cell r="O1048">
            <v>12</v>
          </cell>
          <cell r="AN1048">
            <v>0</v>
          </cell>
          <cell r="AO1048">
            <v>0</v>
          </cell>
          <cell r="AP1048">
            <v>0</v>
          </cell>
          <cell r="AZ1048">
            <v>0</v>
          </cell>
          <cell r="BT1048">
            <v>0</v>
          </cell>
          <cell r="BX1048">
            <v>0</v>
          </cell>
          <cell r="CB1048">
            <v>0</v>
          </cell>
          <cell r="CE1048" t="str">
            <v>12EU</v>
          </cell>
          <cell r="CF1048" t="str">
            <v>12EU</v>
          </cell>
          <cell r="CG1048" t="str">
            <v>12EU</v>
          </cell>
        </row>
        <row r="1049">
          <cell r="O1049">
            <v>12</v>
          </cell>
          <cell r="AN1049">
            <v>0</v>
          </cell>
          <cell r="AO1049">
            <v>0</v>
          </cell>
          <cell r="AP1049">
            <v>0</v>
          </cell>
          <cell r="AZ1049">
            <v>0</v>
          </cell>
          <cell r="BT1049">
            <v>4.0781324440209623</v>
          </cell>
          <cell r="BX1049">
            <v>4.0781324440209623</v>
          </cell>
          <cell r="CB1049">
            <v>4.0781324440209623</v>
          </cell>
          <cell r="CE1049" t="str">
            <v>12LOCAL</v>
          </cell>
          <cell r="CF1049" t="str">
            <v>12LOCAL</v>
          </cell>
          <cell r="CG1049" t="str">
            <v>12LOCAL</v>
          </cell>
        </row>
        <row r="1050">
          <cell r="O1050">
            <v>12</v>
          </cell>
          <cell r="AN1050">
            <v>9.2576418862183429E-2</v>
          </cell>
          <cell r="AO1050">
            <v>9.2576418862183429E-2</v>
          </cell>
          <cell r="AP1050">
            <v>9.2576418862183429E-2</v>
          </cell>
          <cell r="AZ1050">
            <v>0.1</v>
          </cell>
          <cell r="BT1050">
            <v>9.2576418862183429E-2</v>
          </cell>
          <cell r="BX1050">
            <v>9.2576418862183429E-2</v>
          </cell>
          <cell r="CB1050">
            <v>9.2576418862183429E-2</v>
          </cell>
          <cell r="CE1050" t="str">
            <v>12LOCAL</v>
          </cell>
          <cell r="CF1050" t="str">
            <v>12LOCAL</v>
          </cell>
          <cell r="CG1050" t="str">
            <v>12LOCAL</v>
          </cell>
        </row>
        <row r="1051">
          <cell r="O1051">
            <v>12</v>
          </cell>
          <cell r="AN1051">
            <v>2.1385152757164372</v>
          </cell>
          <cell r="AO1051">
            <v>2.1385152757164372</v>
          </cell>
          <cell r="AP1051">
            <v>2.1385152757164372</v>
          </cell>
          <cell r="AZ1051">
            <v>2.31</v>
          </cell>
          <cell r="BT1051">
            <v>2.1385152757164372</v>
          </cell>
          <cell r="BX1051">
            <v>2.1385152757164372</v>
          </cell>
          <cell r="CB1051">
            <v>2.1385152757164372</v>
          </cell>
          <cell r="CE1051" t="str">
            <v>12LOCAL</v>
          </cell>
          <cell r="CF1051" t="str">
            <v>12LOCAL</v>
          </cell>
          <cell r="CG1051" t="str">
            <v>12LOCAL</v>
          </cell>
        </row>
        <row r="1052">
          <cell r="O1052">
            <v>12</v>
          </cell>
          <cell r="AN1052">
            <v>9.2576418862183429E-2</v>
          </cell>
          <cell r="AO1052">
            <v>9.2576418862183429E-2</v>
          </cell>
          <cell r="AP1052">
            <v>9.2576418862183429E-2</v>
          </cell>
          <cell r="AZ1052">
            <v>0.1</v>
          </cell>
          <cell r="BT1052">
            <v>9.2576418862183429E-2</v>
          </cell>
          <cell r="BX1052">
            <v>9.2576418862183429E-2</v>
          </cell>
          <cell r="CB1052">
            <v>9.2576418862183429E-2</v>
          </cell>
          <cell r="CE1052" t="str">
            <v>12LOCAL</v>
          </cell>
          <cell r="CF1052" t="str">
            <v>12LOCAL</v>
          </cell>
          <cell r="CG1052" t="str">
            <v>12LOCAL</v>
          </cell>
        </row>
        <row r="1053">
          <cell r="O1053">
            <v>12</v>
          </cell>
          <cell r="AN1053">
            <v>0</v>
          </cell>
          <cell r="AO1053">
            <v>0</v>
          </cell>
          <cell r="AP1053">
            <v>0</v>
          </cell>
          <cell r="AZ1053">
            <v>0</v>
          </cell>
          <cell r="BT1053">
            <v>0</v>
          </cell>
          <cell r="BX1053">
            <v>0</v>
          </cell>
          <cell r="CB1053">
            <v>0</v>
          </cell>
          <cell r="CE1053" t="str">
            <v>12EU</v>
          </cell>
          <cell r="CF1053" t="str">
            <v>12EU</v>
          </cell>
          <cell r="CG1053" t="str">
            <v>12EU</v>
          </cell>
        </row>
        <row r="1054">
          <cell r="O1054">
            <v>12</v>
          </cell>
          <cell r="AN1054">
            <v>0</v>
          </cell>
          <cell r="AO1054">
            <v>0</v>
          </cell>
          <cell r="AP1054">
            <v>0</v>
          </cell>
          <cell r="AZ1054">
            <v>0</v>
          </cell>
          <cell r="BT1054">
            <v>4.1133140323230846</v>
          </cell>
          <cell r="BX1054">
            <v>4.1133140323230846</v>
          </cell>
          <cell r="CB1054">
            <v>4.1133140323230846</v>
          </cell>
          <cell r="CE1054" t="str">
            <v>12LOCAL</v>
          </cell>
          <cell r="CF1054" t="str">
            <v>12LOCAL</v>
          </cell>
          <cell r="CG1054" t="str">
            <v>12LOCAL</v>
          </cell>
        </row>
        <row r="1055">
          <cell r="O1055">
            <v>12</v>
          </cell>
          <cell r="AN1055">
            <v>9.2576418862183429E-2</v>
          </cell>
          <cell r="AO1055">
            <v>9.2576418862183429E-2</v>
          </cell>
          <cell r="AP1055">
            <v>9.2576418862183429E-2</v>
          </cell>
          <cell r="AZ1055">
            <v>0.1</v>
          </cell>
          <cell r="BT1055">
            <v>9.2576418862183429E-2</v>
          </cell>
          <cell r="BX1055">
            <v>9.2576418862183429E-2</v>
          </cell>
          <cell r="CB1055">
            <v>9.2576418862183429E-2</v>
          </cell>
          <cell r="CE1055" t="str">
            <v>12LOCAL</v>
          </cell>
          <cell r="CF1055" t="str">
            <v>12LOCAL</v>
          </cell>
          <cell r="CG1055" t="str">
            <v>12LOCAL</v>
          </cell>
        </row>
        <row r="1056">
          <cell r="O1056">
            <v>12</v>
          </cell>
          <cell r="AN1056">
            <v>2.1385152757164372</v>
          </cell>
          <cell r="AO1056">
            <v>2.1385152757164372</v>
          </cell>
          <cell r="AP1056">
            <v>2.1385152757164372</v>
          </cell>
          <cell r="AZ1056">
            <v>2.31</v>
          </cell>
          <cell r="BT1056">
            <v>2.1385152757164372</v>
          </cell>
          <cell r="BX1056">
            <v>2.1385152757164372</v>
          </cell>
          <cell r="CB1056">
            <v>2.1385152757164372</v>
          </cell>
          <cell r="CE1056" t="str">
            <v>12LOCAL</v>
          </cell>
          <cell r="CF1056" t="str">
            <v>12LOCAL</v>
          </cell>
          <cell r="CG1056" t="str">
            <v>12LOCAL</v>
          </cell>
        </row>
        <row r="1057">
          <cell r="O1057">
            <v>12</v>
          </cell>
          <cell r="AN1057">
            <v>9.2576418862183429E-2</v>
          </cell>
          <cell r="AO1057">
            <v>9.2576418862183429E-2</v>
          </cell>
          <cell r="AP1057">
            <v>9.2576418862183429E-2</v>
          </cell>
          <cell r="AZ1057">
            <v>0.1</v>
          </cell>
          <cell r="BT1057">
            <v>9.2576418862183429E-2</v>
          </cell>
          <cell r="BX1057">
            <v>9.2576418862183429E-2</v>
          </cell>
          <cell r="CB1057">
            <v>9.2576418862183429E-2</v>
          </cell>
          <cell r="CE1057" t="str">
            <v>12LOCAL</v>
          </cell>
          <cell r="CF1057" t="str">
            <v>12LOCAL</v>
          </cell>
          <cell r="CG1057" t="str">
            <v>12LOCAL</v>
          </cell>
        </row>
        <row r="1058">
          <cell r="O1058">
            <v>12</v>
          </cell>
          <cell r="AN1058">
            <v>0</v>
          </cell>
          <cell r="AO1058">
            <v>0</v>
          </cell>
          <cell r="AP1058">
            <v>0</v>
          </cell>
          <cell r="AZ1058">
            <v>0</v>
          </cell>
          <cell r="BT1058">
            <v>0</v>
          </cell>
          <cell r="BX1058">
            <v>0</v>
          </cell>
          <cell r="CB1058">
            <v>0</v>
          </cell>
          <cell r="CE1058" t="str">
            <v>12EU</v>
          </cell>
          <cell r="CF1058" t="str">
            <v>12EU</v>
          </cell>
          <cell r="CG1058" t="str">
            <v>12EU</v>
          </cell>
        </row>
        <row r="1059">
          <cell r="O1059">
            <v>12</v>
          </cell>
          <cell r="AN1059">
            <v>18.543056698095342</v>
          </cell>
          <cell r="AO1059">
            <v>18.543056698095342</v>
          </cell>
          <cell r="AP1059">
            <v>18.543056698095342</v>
          </cell>
          <cell r="AZ1059">
            <v>20.03</v>
          </cell>
          <cell r="BT1059">
            <v>18.543056698095342</v>
          </cell>
          <cell r="BX1059">
            <v>18.539399929550278</v>
          </cell>
          <cell r="CB1059">
            <v>18.543056698095342</v>
          </cell>
          <cell r="CE1059" t="str">
            <v>12LOCAL</v>
          </cell>
          <cell r="CF1059" t="str">
            <v>12LOCAL</v>
          </cell>
          <cell r="CG1059" t="str">
            <v>12LOCAL</v>
          </cell>
        </row>
        <row r="1060">
          <cell r="O1060">
            <v>12</v>
          </cell>
          <cell r="AN1060">
            <v>0</v>
          </cell>
          <cell r="AO1060">
            <v>0</v>
          </cell>
          <cell r="AP1060">
            <v>0</v>
          </cell>
          <cell r="BT1060">
            <v>-224.52</v>
          </cell>
          <cell r="BX1060">
            <v>0</v>
          </cell>
          <cell r="CB1060">
            <v>-224.52</v>
          </cell>
          <cell r="CE1060" t="str">
            <v>12LOCAL</v>
          </cell>
          <cell r="CF1060" t="str">
            <v>12LOCAL</v>
          </cell>
          <cell r="CG1060" t="str">
            <v>12LOCAL</v>
          </cell>
        </row>
        <row r="1061">
          <cell r="O1061">
            <v>12</v>
          </cell>
          <cell r="AN1061">
            <v>0</v>
          </cell>
          <cell r="AO1061">
            <v>0</v>
          </cell>
          <cell r="AP1061">
            <v>0</v>
          </cell>
          <cell r="BT1061">
            <v>0</v>
          </cell>
          <cell r="BX1061">
            <v>-76.900000000000006</v>
          </cell>
          <cell r="CB1061">
            <v>0</v>
          </cell>
          <cell r="CE1061" t="str">
            <v>12LOCAL</v>
          </cell>
          <cell r="CF1061" t="str">
            <v>12LOCAL</v>
          </cell>
          <cell r="CG1061" t="str">
            <v>12LOCAL</v>
          </cell>
        </row>
        <row r="1062">
          <cell r="O1062">
            <v>12</v>
          </cell>
          <cell r="AN1062">
            <v>0</v>
          </cell>
          <cell r="AO1062">
            <v>0</v>
          </cell>
          <cell r="AP1062">
            <v>0</v>
          </cell>
          <cell r="AZ1062">
            <v>0</v>
          </cell>
          <cell r="BT1062">
            <v>0</v>
          </cell>
          <cell r="BX1062">
            <v>10</v>
          </cell>
          <cell r="CB1062">
            <v>0</v>
          </cell>
          <cell r="CE1062" t="str">
            <v>12LOCAL</v>
          </cell>
          <cell r="CF1062" t="str">
            <v>12LOCAL</v>
          </cell>
          <cell r="CG1062" t="str">
            <v>12LOCAL</v>
          </cell>
        </row>
        <row r="1063">
          <cell r="AN1063">
            <v>0</v>
          </cell>
          <cell r="AO1063">
            <v>0</v>
          </cell>
          <cell r="AP1063">
            <v>0</v>
          </cell>
          <cell r="AZ1063">
            <v>0</v>
          </cell>
          <cell r="BT1063">
            <v>0</v>
          </cell>
          <cell r="BX1063">
            <v>0</v>
          </cell>
          <cell r="CB1063">
            <v>0</v>
          </cell>
          <cell r="CE1063" t="str">
            <v>EU</v>
          </cell>
          <cell r="CF1063" t="str">
            <v>EU</v>
          </cell>
          <cell r="CG1063" t="str">
            <v>EU</v>
          </cell>
        </row>
        <row r="1064">
          <cell r="AN1064">
            <v>0</v>
          </cell>
          <cell r="AO1064">
            <v>0</v>
          </cell>
          <cell r="AP1064">
            <v>0</v>
          </cell>
          <cell r="AZ1064">
            <v>0</v>
          </cell>
          <cell r="BT1064">
            <v>0</v>
          </cell>
          <cell r="BX1064">
            <v>0</v>
          </cell>
          <cell r="CB1064">
            <v>0</v>
          </cell>
          <cell r="CE1064" t="str">
            <v>EU</v>
          </cell>
          <cell r="CF1064" t="str">
            <v>EU</v>
          </cell>
          <cell r="CG1064" t="str">
            <v>EU</v>
          </cell>
        </row>
        <row r="1065">
          <cell r="O1065">
            <v>13</v>
          </cell>
          <cell r="AN1065">
            <v>27.048978063152752</v>
          </cell>
          <cell r="AO1065">
            <v>27.048978063152752</v>
          </cell>
          <cell r="AP1065">
            <v>27.048978063152752</v>
          </cell>
          <cell r="AZ1065">
            <v>29.218</v>
          </cell>
          <cell r="BT1065">
            <v>27.048978063152752</v>
          </cell>
          <cell r="BX1065">
            <v>27.048978063152752</v>
          </cell>
          <cell r="CB1065">
            <v>27.048978063152752</v>
          </cell>
          <cell r="CE1065" t="str">
            <v>13EU</v>
          </cell>
          <cell r="CF1065" t="str">
            <v>13EU</v>
          </cell>
          <cell r="CG1065" t="str">
            <v>13EU</v>
          </cell>
        </row>
        <row r="1066">
          <cell r="O1066">
            <v>13</v>
          </cell>
          <cell r="AN1066">
            <v>7.2950218063400536</v>
          </cell>
          <cell r="AO1066">
            <v>7.2950218063400536</v>
          </cell>
          <cell r="AP1066">
            <v>7.2950218063400536</v>
          </cell>
          <cell r="AZ1066">
            <v>7.88</v>
          </cell>
          <cell r="BT1066">
            <v>7.2950218063400536</v>
          </cell>
          <cell r="BX1066">
            <v>7.2950218063400536</v>
          </cell>
          <cell r="CB1066">
            <v>7.2950218063400536</v>
          </cell>
          <cell r="CE1066" t="str">
            <v>13EU</v>
          </cell>
          <cell r="CF1066" t="str">
            <v>13EU</v>
          </cell>
          <cell r="CG1066" t="str">
            <v>13EU</v>
          </cell>
        </row>
        <row r="1067">
          <cell r="O1067">
            <v>13</v>
          </cell>
          <cell r="AN1067">
            <v>9.5</v>
          </cell>
          <cell r="AO1067">
            <v>0</v>
          </cell>
          <cell r="AP1067">
            <v>0</v>
          </cell>
          <cell r="AZ1067">
            <v>0</v>
          </cell>
          <cell r="BT1067">
            <v>9.5</v>
          </cell>
          <cell r="BX1067">
            <v>0</v>
          </cell>
          <cell r="CB1067">
            <v>0</v>
          </cell>
          <cell r="CE1067" t="str">
            <v>13EU</v>
          </cell>
          <cell r="CF1067" t="str">
            <v>13EU</v>
          </cell>
          <cell r="CG1067" t="str">
            <v>13EU</v>
          </cell>
        </row>
        <row r="1068">
          <cell r="O1068">
            <v>13</v>
          </cell>
          <cell r="AN1068">
            <v>0</v>
          </cell>
          <cell r="AO1068">
            <v>0</v>
          </cell>
          <cell r="AP1068">
            <v>2</v>
          </cell>
          <cell r="AZ1068">
            <v>0</v>
          </cell>
          <cell r="BT1068">
            <v>0</v>
          </cell>
          <cell r="BX1068">
            <v>0</v>
          </cell>
          <cell r="CB1068">
            <v>2</v>
          </cell>
          <cell r="CE1068" t="str">
            <v>13EU</v>
          </cell>
          <cell r="CF1068" t="str">
            <v>13EU</v>
          </cell>
          <cell r="CG1068" t="str">
            <v>13EU</v>
          </cell>
        </row>
        <row r="1069">
          <cell r="O1069">
            <v>13</v>
          </cell>
          <cell r="AN1069">
            <v>0</v>
          </cell>
          <cell r="AO1069">
            <v>7.6653274817887862</v>
          </cell>
          <cell r="AP1069">
            <v>0</v>
          </cell>
          <cell r="AZ1069">
            <v>8.2799999999999994</v>
          </cell>
          <cell r="BT1069">
            <v>0</v>
          </cell>
          <cell r="BX1069">
            <v>7.6653274817887862</v>
          </cell>
          <cell r="CB1069">
            <v>0</v>
          </cell>
          <cell r="CE1069" t="str">
            <v>13EU</v>
          </cell>
          <cell r="CF1069" t="str">
            <v>13EU</v>
          </cell>
          <cell r="CG1069" t="str">
            <v>13EU</v>
          </cell>
        </row>
        <row r="1070">
          <cell r="O1070">
            <v>13</v>
          </cell>
          <cell r="AN1070">
            <v>0</v>
          </cell>
          <cell r="AO1070">
            <v>0</v>
          </cell>
          <cell r="AP1070">
            <v>0</v>
          </cell>
          <cell r="AZ1070">
            <v>0</v>
          </cell>
          <cell r="BT1070">
            <v>0</v>
          </cell>
          <cell r="BX1070">
            <v>0</v>
          </cell>
          <cell r="CB1070">
            <v>0</v>
          </cell>
          <cell r="CE1070" t="str">
            <v>13EU</v>
          </cell>
          <cell r="CF1070" t="str">
            <v>13EU</v>
          </cell>
          <cell r="CG1070" t="str">
            <v>13EU</v>
          </cell>
        </row>
        <row r="1071">
          <cell r="O1071">
            <v>13</v>
          </cell>
          <cell r="AN1071">
            <v>0</v>
          </cell>
          <cell r="AO1071">
            <v>0</v>
          </cell>
          <cell r="AP1071">
            <v>0</v>
          </cell>
          <cell r="AZ1071">
            <v>0</v>
          </cell>
          <cell r="BT1071">
            <v>0</v>
          </cell>
          <cell r="BX1071">
            <v>0</v>
          </cell>
          <cell r="CB1071">
            <v>0</v>
          </cell>
          <cell r="CE1071" t="str">
            <v>13EU</v>
          </cell>
          <cell r="CF1071" t="str">
            <v>13EU</v>
          </cell>
          <cell r="CG1071" t="str">
            <v>13EU</v>
          </cell>
        </row>
        <row r="1072">
          <cell r="O1072">
            <v>13</v>
          </cell>
          <cell r="AN1072">
            <v>-2.7772925658655025</v>
          </cell>
          <cell r="AO1072">
            <v>-2.7772925658655025</v>
          </cell>
          <cell r="AP1072">
            <v>-2.7772925658655025</v>
          </cell>
          <cell r="AZ1072">
            <v>-3</v>
          </cell>
          <cell r="BT1072">
            <v>-2.7772925658655025</v>
          </cell>
          <cell r="BX1072">
            <v>-2.7772925658655025</v>
          </cell>
          <cell r="CB1072">
            <v>-2.7772925658655025</v>
          </cell>
          <cell r="CE1072" t="str">
            <v>13EU</v>
          </cell>
          <cell r="CF1072" t="str">
            <v>13EU</v>
          </cell>
          <cell r="CG1072" t="str">
            <v>13EU</v>
          </cell>
        </row>
        <row r="1073">
          <cell r="O1073">
            <v>13</v>
          </cell>
          <cell r="AN1073">
            <v>0</v>
          </cell>
          <cell r="AO1073">
            <v>9.9957999620159619</v>
          </cell>
          <cell r="AP1073">
            <v>0</v>
          </cell>
          <cell r="AZ1073">
            <v>10.79735</v>
          </cell>
          <cell r="BT1073">
            <v>0</v>
          </cell>
          <cell r="BX1073">
            <v>9.9957999620159619</v>
          </cell>
          <cell r="CB1073">
            <v>0</v>
          </cell>
          <cell r="CE1073" t="str">
            <v>13EU</v>
          </cell>
          <cell r="CF1073" t="str">
            <v>13EU</v>
          </cell>
          <cell r="CG1073" t="str">
            <v>13EU</v>
          </cell>
        </row>
        <row r="1074">
          <cell r="O1074">
            <v>13</v>
          </cell>
          <cell r="AN1074">
            <v>0</v>
          </cell>
          <cell r="AO1074">
            <v>9.9957999620159619</v>
          </cell>
          <cell r="AP1074">
            <v>0</v>
          </cell>
          <cell r="AZ1074">
            <v>10.79735</v>
          </cell>
          <cell r="BT1074">
            <v>0</v>
          </cell>
          <cell r="BX1074">
            <v>9.9957999620159619</v>
          </cell>
          <cell r="CB1074">
            <v>0</v>
          </cell>
          <cell r="CE1074" t="str">
            <v>13EU</v>
          </cell>
          <cell r="CF1074" t="str">
            <v>13EU</v>
          </cell>
          <cell r="CG1074" t="str">
            <v>13EU</v>
          </cell>
        </row>
        <row r="1075">
          <cell r="O1075">
            <v>13</v>
          </cell>
          <cell r="AN1075">
            <v>11.49039995633648</v>
          </cell>
          <cell r="AO1075">
            <v>0</v>
          </cell>
          <cell r="AP1075">
            <v>11.49039995633648</v>
          </cell>
          <cell r="AZ1075">
            <v>0</v>
          </cell>
          <cell r="BT1075">
            <v>9.3231209000623014</v>
          </cell>
          <cell r="BX1075">
            <v>0</v>
          </cell>
          <cell r="CB1075">
            <v>9.3231209000623014</v>
          </cell>
          <cell r="CE1075" t="str">
            <v>13LOCAL</v>
          </cell>
          <cell r="CF1075" t="str">
            <v>13EU</v>
          </cell>
          <cell r="CG1075" t="str">
            <v>13LOCAL</v>
          </cell>
        </row>
        <row r="1076">
          <cell r="O1076">
            <v>13</v>
          </cell>
          <cell r="AN1076">
            <v>11.49039995633648</v>
          </cell>
          <cell r="AO1076">
            <v>0</v>
          </cell>
          <cell r="AP1076">
            <v>11.49039995633648</v>
          </cell>
          <cell r="AZ1076">
            <v>0</v>
          </cell>
          <cell r="BT1076">
            <v>9.3231209000623014</v>
          </cell>
          <cell r="BX1076">
            <v>0</v>
          </cell>
          <cell r="CB1076">
            <v>9.3231209000623014</v>
          </cell>
          <cell r="CE1076" t="str">
            <v>13LOCAL</v>
          </cell>
          <cell r="CF1076" t="str">
            <v>13EU</v>
          </cell>
          <cell r="CG1076" t="str">
            <v>13LOCAL</v>
          </cell>
        </row>
        <row r="1077">
          <cell r="O1077">
            <v>13</v>
          </cell>
          <cell r="AN1077">
            <v>0</v>
          </cell>
          <cell r="AO1077">
            <v>4.3141999836060414</v>
          </cell>
          <cell r="AP1077">
            <v>0</v>
          </cell>
          <cell r="AZ1077">
            <v>4.6601500000000007</v>
          </cell>
          <cell r="BT1077">
            <v>0</v>
          </cell>
          <cell r="BX1077">
            <v>4.3141999836060414</v>
          </cell>
          <cell r="CB1077">
            <v>0</v>
          </cell>
          <cell r="CE1077" t="str">
            <v>13EU</v>
          </cell>
          <cell r="CF1077" t="str">
            <v>13EU</v>
          </cell>
          <cell r="CG1077" t="str">
            <v>13EU</v>
          </cell>
        </row>
        <row r="1078">
          <cell r="O1078">
            <v>13</v>
          </cell>
          <cell r="AN1078">
            <v>0</v>
          </cell>
          <cell r="AO1078">
            <v>4.3141999836060414</v>
          </cell>
          <cell r="AP1078">
            <v>0</v>
          </cell>
          <cell r="AZ1078">
            <v>4.6601500000000007</v>
          </cell>
          <cell r="BT1078">
            <v>0</v>
          </cell>
          <cell r="BX1078">
            <v>4.3141999836060414</v>
          </cell>
          <cell r="CB1078">
            <v>0</v>
          </cell>
          <cell r="CE1078" t="str">
            <v>13EU</v>
          </cell>
          <cell r="CF1078" t="str">
            <v>13EU</v>
          </cell>
          <cell r="CG1078" t="str">
            <v>13EU</v>
          </cell>
        </row>
        <row r="1079">
          <cell r="O1079">
            <v>13</v>
          </cell>
          <cell r="AN1079">
            <v>0</v>
          </cell>
          <cell r="AO1079">
            <v>3.1375999880771208</v>
          </cell>
          <cell r="AP1079">
            <v>0</v>
          </cell>
          <cell r="AZ1079">
            <v>3.3892000000000002</v>
          </cell>
          <cell r="BT1079">
            <v>0</v>
          </cell>
          <cell r="BX1079">
            <v>3.1375999880771208</v>
          </cell>
          <cell r="CB1079">
            <v>0</v>
          </cell>
          <cell r="CE1079" t="str">
            <v>13EU</v>
          </cell>
          <cell r="CF1079" t="str">
            <v>13EU</v>
          </cell>
          <cell r="CG1079" t="str">
            <v>13EU</v>
          </cell>
        </row>
        <row r="1080">
          <cell r="O1080">
            <v>13</v>
          </cell>
          <cell r="AN1080">
            <v>2.6075999900911202</v>
          </cell>
          <cell r="AO1080">
            <v>0</v>
          </cell>
          <cell r="AP1080">
            <v>2.6075999900911202</v>
          </cell>
          <cell r="AZ1080">
            <v>0</v>
          </cell>
          <cell r="BT1080">
            <v>2.6075999900911202</v>
          </cell>
          <cell r="BX1080">
            <v>0</v>
          </cell>
          <cell r="CB1080">
            <v>2.6075999900911202</v>
          </cell>
          <cell r="CE1080" t="str">
            <v>13EU</v>
          </cell>
          <cell r="CF1080" t="str">
            <v>13EU</v>
          </cell>
          <cell r="CG1080" t="str">
            <v>13EU</v>
          </cell>
        </row>
        <row r="1081">
          <cell r="O1081">
            <v>13</v>
          </cell>
          <cell r="AN1081">
            <v>0.74199999718040011</v>
          </cell>
          <cell r="AO1081">
            <v>0.74199999718040011</v>
          </cell>
          <cell r="AP1081">
            <v>0.74199999718040011</v>
          </cell>
          <cell r="AZ1081">
            <v>0.80149999999999999</v>
          </cell>
          <cell r="BT1081">
            <v>0.74199999718040011</v>
          </cell>
          <cell r="BX1081">
            <v>0.74199999718040011</v>
          </cell>
          <cell r="CB1081">
            <v>0.74199999718040011</v>
          </cell>
          <cell r="CE1081" t="str">
            <v>13EU</v>
          </cell>
          <cell r="CF1081" t="str">
            <v>13EU</v>
          </cell>
          <cell r="CG1081" t="str">
            <v>13EU</v>
          </cell>
        </row>
        <row r="1082">
          <cell r="O1082">
            <v>13</v>
          </cell>
          <cell r="AN1082">
            <v>0</v>
          </cell>
          <cell r="AO1082">
            <v>0</v>
          </cell>
          <cell r="AP1082">
            <v>0</v>
          </cell>
          <cell r="AZ1082">
            <v>0</v>
          </cell>
          <cell r="BT1082">
            <v>0</v>
          </cell>
          <cell r="BX1082">
            <v>0</v>
          </cell>
          <cell r="CB1082">
            <v>0</v>
          </cell>
          <cell r="CE1082" t="str">
            <v>13EU</v>
          </cell>
          <cell r="CF1082" t="str">
            <v>13EU</v>
          </cell>
          <cell r="CG1082" t="str">
            <v>13EU</v>
          </cell>
        </row>
        <row r="1083">
          <cell r="O1083">
            <v>13</v>
          </cell>
          <cell r="AN1083">
            <v>29.489199887941044</v>
          </cell>
          <cell r="AO1083">
            <v>29.489199887941044</v>
          </cell>
          <cell r="AP1083">
            <v>29.489199887941044</v>
          </cell>
          <cell r="AZ1083">
            <v>31.853899999999999</v>
          </cell>
          <cell r="BT1083">
            <v>21.893795580312968</v>
          </cell>
          <cell r="BX1083">
            <v>21.893795580312968</v>
          </cell>
          <cell r="CB1083">
            <v>21.893795580312968</v>
          </cell>
          <cell r="CE1083" t="str">
            <v>13LOCAL</v>
          </cell>
          <cell r="CF1083" t="str">
            <v>13LOCAL</v>
          </cell>
          <cell r="CG1083" t="str">
            <v>13LOCAL</v>
          </cell>
        </row>
        <row r="1084">
          <cell r="O1084">
            <v>13</v>
          </cell>
          <cell r="AN1084">
            <v>0</v>
          </cell>
          <cell r="AO1084">
            <v>0</v>
          </cell>
          <cell r="AP1084">
            <v>0</v>
          </cell>
          <cell r="AZ1084">
            <v>0</v>
          </cell>
          <cell r="BT1084">
            <v>0</v>
          </cell>
          <cell r="BX1084">
            <v>0</v>
          </cell>
          <cell r="CB1084">
            <v>0</v>
          </cell>
          <cell r="CE1084" t="str">
            <v>13EU</v>
          </cell>
          <cell r="CF1084" t="str">
            <v>13EU</v>
          </cell>
          <cell r="CG1084" t="str">
            <v>13EU</v>
          </cell>
        </row>
        <row r="1085">
          <cell r="O1085">
            <v>13</v>
          </cell>
          <cell r="AN1085">
            <v>29.489199887941044</v>
          </cell>
          <cell r="AO1085">
            <v>29.489199887941044</v>
          </cell>
          <cell r="AP1085">
            <v>29.489199887941044</v>
          </cell>
          <cell r="AZ1085">
            <v>31.853899999999999</v>
          </cell>
          <cell r="BT1085">
            <v>21.893795580312968</v>
          </cell>
          <cell r="BX1085">
            <v>21.893795580312968</v>
          </cell>
          <cell r="CB1085">
            <v>21.893795580312968</v>
          </cell>
          <cell r="CE1085" t="str">
            <v>13LOCAL</v>
          </cell>
          <cell r="CF1085" t="str">
            <v>13LOCAL</v>
          </cell>
          <cell r="CG1085" t="str">
            <v>13LOCAL</v>
          </cell>
        </row>
        <row r="1086">
          <cell r="O1086">
            <v>13</v>
          </cell>
          <cell r="AN1086">
            <v>0</v>
          </cell>
          <cell r="AO1086">
            <v>0</v>
          </cell>
          <cell r="AP1086">
            <v>0</v>
          </cell>
          <cell r="AZ1086">
            <v>0</v>
          </cell>
          <cell r="BT1086">
            <v>0</v>
          </cell>
          <cell r="BX1086">
            <v>0</v>
          </cell>
          <cell r="CB1086">
            <v>0</v>
          </cell>
          <cell r="CE1086" t="str">
            <v>13EU</v>
          </cell>
          <cell r="CF1086" t="str">
            <v>13EU</v>
          </cell>
          <cell r="CG1086" t="str">
            <v>13EU</v>
          </cell>
        </row>
        <row r="1087">
          <cell r="O1087">
            <v>13</v>
          </cell>
          <cell r="AN1087">
            <v>0</v>
          </cell>
          <cell r="AO1087">
            <v>0</v>
          </cell>
          <cell r="AP1087">
            <v>0</v>
          </cell>
          <cell r="AZ1087">
            <v>0</v>
          </cell>
          <cell r="BT1087">
            <v>0</v>
          </cell>
          <cell r="BX1087">
            <v>0</v>
          </cell>
          <cell r="CB1087">
            <v>0</v>
          </cell>
          <cell r="CE1087" t="str">
            <v>13EU</v>
          </cell>
          <cell r="CF1087" t="str">
            <v>13EU</v>
          </cell>
          <cell r="CG1087" t="str">
            <v>13EU</v>
          </cell>
        </row>
        <row r="1088">
          <cell r="O1088">
            <v>13</v>
          </cell>
          <cell r="AN1088">
            <v>0.63877729014906559</v>
          </cell>
          <cell r="AO1088">
            <v>0.63877729014906559</v>
          </cell>
          <cell r="AP1088">
            <v>0.63877729014906559</v>
          </cell>
          <cell r="AZ1088">
            <v>0.69</v>
          </cell>
          <cell r="BT1088">
            <v>0.63877729014906559</v>
          </cell>
          <cell r="BX1088">
            <v>0.63877729014906559</v>
          </cell>
          <cell r="CB1088">
            <v>0.63877729014906559</v>
          </cell>
          <cell r="CE1088" t="str">
            <v>13EU</v>
          </cell>
          <cell r="CF1088" t="str">
            <v>13EU</v>
          </cell>
          <cell r="CG1088" t="str">
            <v>13EU</v>
          </cell>
        </row>
        <row r="1089">
          <cell r="O1089">
            <v>13</v>
          </cell>
          <cell r="AN1089">
            <v>-0.63877729014906559</v>
          </cell>
          <cell r="AO1089">
            <v>-0.63877729014906559</v>
          </cell>
          <cell r="AP1089">
            <v>-0.63877729014906559</v>
          </cell>
          <cell r="AZ1089">
            <v>-0.69</v>
          </cell>
          <cell r="BT1089">
            <v>-0.63877729014906559</v>
          </cell>
          <cell r="BX1089">
            <v>-0.63877729014906559</v>
          </cell>
          <cell r="CB1089">
            <v>-0.63877729014906559</v>
          </cell>
          <cell r="CE1089" t="str">
            <v>13EU</v>
          </cell>
          <cell r="CF1089" t="str">
            <v>13EU</v>
          </cell>
          <cell r="CG1089" t="str">
            <v>13EU</v>
          </cell>
        </row>
        <row r="1090">
          <cell r="O1090">
            <v>13</v>
          </cell>
          <cell r="AN1090">
            <v>42.686986737352775</v>
          </cell>
          <cell r="AO1090">
            <v>42.686986737352775</v>
          </cell>
          <cell r="AP1090">
            <v>42.686986737352775</v>
          </cell>
          <cell r="AZ1090">
            <v>46.11</v>
          </cell>
          <cell r="BT1090">
            <v>42.686986737352775</v>
          </cell>
          <cell r="BX1090">
            <v>42.686986737352775</v>
          </cell>
          <cell r="CB1090">
            <v>42.686986737352775</v>
          </cell>
          <cell r="CE1090" t="str">
            <v>13EU</v>
          </cell>
          <cell r="CF1090" t="str">
            <v>13EU</v>
          </cell>
          <cell r="CG1090" t="str">
            <v>13EU</v>
          </cell>
        </row>
        <row r="1091">
          <cell r="O1091">
            <v>13</v>
          </cell>
          <cell r="AN1091">
            <v>0</v>
          </cell>
          <cell r="AO1091">
            <v>1.9626200798782885</v>
          </cell>
          <cell r="AP1091">
            <v>0</v>
          </cell>
          <cell r="AZ1091">
            <v>2.12</v>
          </cell>
          <cell r="BT1091">
            <v>0</v>
          </cell>
          <cell r="BX1091">
            <v>1.9626200798782885</v>
          </cell>
          <cell r="CB1091">
            <v>0</v>
          </cell>
          <cell r="CE1091" t="str">
            <v>13EU</v>
          </cell>
          <cell r="CF1091" t="str">
            <v>13EU</v>
          </cell>
          <cell r="CG1091" t="str">
            <v>13EU</v>
          </cell>
        </row>
        <row r="1092">
          <cell r="O1092">
            <v>13</v>
          </cell>
          <cell r="AN1092">
            <v>15.058890794739852</v>
          </cell>
          <cell r="AO1092">
            <v>15.058890794739852</v>
          </cell>
          <cell r="AP1092">
            <v>15.058890794739852</v>
          </cell>
          <cell r="AZ1092">
            <v>17.527939</v>
          </cell>
          <cell r="BT1092">
            <v>15.058890794739852</v>
          </cell>
          <cell r="BX1092">
            <v>15.058890794739852</v>
          </cell>
          <cell r="CB1092">
            <v>15.058890794739852</v>
          </cell>
          <cell r="CE1092" t="str">
            <v>13EU</v>
          </cell>
          <cell r="CF1092" t="str">
            <v>13EU</v>
          </cell>
          <cell r="CG1092" t="str">
            <v>13EU</v>
          </cell>
        </row>
        <row r="1093">
          <cell r="O1093">
            <v>13</v>
          </cell>
          <cell r="AN1093">
            <v>-15.058890794739852</v>
          </cell>
          <cell r="AO1093">
            <v>-15.058890794739852</v>
          </cell>
          <cell r="AP1093">
            <v>0</v>
          </cell>
          <cell r="AZ1093">
            <v>-17.527939</v>
          </cell>
          <cell r="BT1093">
            <v>-15.058890794739852</v>
          </cell>
          <cell r="BX1093">
            <v>-15.058890794739852</v>
          </cell>
          <cell r="CB1093">
            <v>0</v>
          </cell>
          <cell r="CE1093" t="str">
            <v>13EU</v>
          </cell>
          <cell r="CF1093" t="str">
            <v>13EU</v>
          </cell>
          <cell r="CG1093" t="str">
            <v>13EU</v>
          </cell>
        </row>
        <row r="1094">
          <cell r="O1094">
            <v>13</v>
          </cell>
          <cell r="AN1094">
            <v>5</v>
          </cell>
          <cell r="AO1094">
            <v>5</v>
          </cell>
          <cell r="AP1094">
            <v>0</v>
          </cell>
          <cell r="AZ1094">
            <v>5</v>
          </cell>
          <cell r="BT1094">
            <v>5</v>
          </cell>
          <cell r="BX1094">
            <v>5</v>
          </cell>
          <cell r="CB1094">
            <v>0</v>
          </cell>
          <cell r="CE1094" t="str">
            <v>13EU</v>
          </cell>
          <cell r="CF1094" t="str">
            <v>13EU</v>
          </cell>
          <cell r="CG1094" t="str">
            <v>13EU</v>
          </cell>
        </row>
        <row r="1095">
          <cell r="O1095">
            <v>13</v>
          </cell>
          <cell r="AN1095">
            <v>0</v>
          </cell>
          <cell r="AO1095">
            <v>0</v>
          </cell>
          <cell r="AP1095">
            <v>0</v>
          </cell>
          <cell r="AZ1095">
            <v>0</v>
          </cell>
          <cell r="BT1095">
            <v>0</v>
          </cell>
          <cell r="BX1095">
            <v>0</v>
          </cell>
          <cell r="CB1095">
            <v>0</v>
          </cell>
          <cell r="CE1095" t="str">
            <v>13EU</v>
          </cell>
          <cell r="CF1095" t="str">
            <v>13EU</v>
          </cell>
          <cell r="CG1095" t="str">
            <v>13EU</v>
          </cell>
        </row>
        <row r="1096">
          <cell r="O1096">
            <v>13</v>
          </cell>
          <cell r="AN1096">
            <v>2.5365938768238259</v>
          </cell>
          <cell r="AO1096">
            <v>2.5365938768238259</v>
          </cell>
          <cell r="AP1096">
            <v>2.5365938768238259</v>
          </cell>
          <cell r="AZ1096">
            <v>2.74</v>
          </cell>
          <cell r="BT1096">
            <v>2.4920291714003007</v>
          </cell>
          <cell r="BX1096">
            <v>2.4920291714003007</v>
          </cell>
          <cell r="CB1096">
            <v>2.4920291714003007</v>
          </cell>
          <cell r="CE1096" t="str">
            <v>13LOCAL</v>
          </cell>
          <cell r="CF1096" t="str">
            <v>13LOCAL</v>
          </cell>
          <cell r="CG1096" t="str">
            <v>13LOCAL</v>
          </cell>
        </row>
        <row r="1097">
          <cell r="O1097">
            <v>13</v>
          </cell>
          <cell r="AN1097">
            <v>0</v>
          </cell>
          <cell r="AO1097">
            <v>7.5264628534955129</v>
          </cell>
          <cell r="AP1097">
            <v>0</v>
          </cell>
          <cell r="AZ1097">
            <v>8.1300000000000008</v>
          </cell>
          <cell r="BT1097">
            <v>0</v>
          </cell>
          <cell r="BX1097">
            <v>7.5264628534955129</v>
          </cell>
          <cell r="CB1097">
            <v>0</v>
          </cell>
          <cell r="CE1097" t="str">
            <v>13EU</v>
          </cell>
          <cell r="CF1097" t="str">
            <v>13EU</v>
          </cell>
          <cell r="CG1097" t="str">
            <v>13EU</v>
          </cell>
        </row>
        <row r="1098">
          <cell r="O1098">
            <v>13</v>
          </cell>
          <cell r="AN1098">
            <v>9.5611999636674412</v>
          </cell>
          <cell r="AO1098">
            <v>0</v>
          </cell>
          <cell r="AP1098">
            <v>9.5611999636674412</v>
          </cell>
          <cell r="AZ1098">
            <v>0</v>
          </cell>
          <cell r="BT1098">
            <v>9.5611999636674412</v>
          </cell>
          <cell r="BX1098">
            <v>0</v>
          </cell>
          <cell r="CB1098">
            <v>9.5611999636674412</v>
          </cell>
          <cell r="CE1098" t="str">
            <v>13EU</v>
          </cell>
          <cell r="CF1098" t="str">
            <v>13EU</v>
          </cell>
          <cell r="CG1098" t="str">
            <v>13EU</v>
          </cell>
        </row>
        <row r="1099">
          <cell r="O1099">
            <v>13</v>
          </cell>
          <cell r="AN1099">
            <v>0</v>
          </cell>
          <cell r="AO1099">
            <v>0</v>
          </cell>
          <cell r="AP1099">
            <v>0</v>
          </cell>
          <cell r="AZ1099">
            <v>0</v>
          </cell>
          <cell r="BT1099">
            <v>0</v>
          </cell>
          <cell r="BX1099">
            <v>0</v>
          </cell>
          <cell r="CB1099">
            <v>0</v>
          </cell>
          <cell r="CE1099" t="str">
            <v>13EU</v>
          </cell>
          <cell r="CF1099" t="str">
            <v>13EU</v>
          </cell>
          <cell r="CG1099" t="str">
            <v>13EU</v>
          </cell>
        </row>
        <row r="1100">
          <cell r="O1100">
            <v>13</v>
          </cell>
          <cell r="AN1100">
            <v>5.6101309830483146</v>
          </cell>
          <cell r="AO1100">
            <v>5.6101309830483146</v>
          </cell>
          <cell r="AP1100">
            <v>5.6101309830483146</v>
          </cell>
          <cell r="AZ1100">
            <v>6.06</v>
          </cell>
          <cell r="BT1100">
            <v>5.6101309830483146</v>
          </cell>
          <cell r="BX1100">
            <v>5.6101309830483146</v>
          </cell>
          <cell r="CB1100">
            <v>5.6101309830483146</v>
          </cell>
          <cell r="CE1100" t="str">
            <v>13EU</v>
          </cell>
          <cell r="CF1100" t="str">
            <v>13EU</v>
          </cell>
          <cell r="CG1100" t="str">
            <v>13EU</v>
          </cell>
        </row>
        <row r="1101">
          <cell r="O1101">
            <v>13</v>
          </cell>
          <cell r="AN1101">
            <v>3.7030567544873367</v>
          </cell>
          <cell r="AO1101">
            <v>0</v>
          </cell>
          <cell r="AP1101">
            <v>0</v>
          </cell>
          <cell r="AZ1101">
            <v>0</v>
          </cell>
          <cell r="BT1101">
            <v>3.7030567544873367</v>
          </cell>
          <cell r="BX1101">
            <v>0</v>
          </cell>
          <cell r="CB1101">
            <v>0</v>
          </cell>
          <cell r="CE1101" t="str">
            <v>13EU</v>
          </cell>
          <cell r="CF1101" t="str">
            <v>13EU</v>
          </cell>
          <cell r="CG1101" t="str">
            <v>13EU</v>
          </cell>
        </row>
        <row r="1102">
          <cell r="O1102">
            <v>13</v>
          </cell>
          <cell r="AN1102">
            <v>2.3329257553270222</v>
          </cell>
          <cell r="AO1102">
            <v>2.3329257553270222</v>
          </cell>
          <cell r="AP1102">
            <v>2.3329257553270222</v>
          </cell>
          <cell r="AZ1102">
            <v>2.52</v>
          </cell>
          <cell r="BT1102">
            <v>2.3329257553270222</v>
          </cell>
          <cell r="BX1102">
            <v>2.3329257553270222</v>
          </cell>
          <cell r="CB1102">
            <v>2.3329257553270222</v>
          </cell>
          <cell r="CE1102" t="str">
            <v>13EU</v>
          </cell>
          <cell r="CF1102" t="str">
            <v>13EU</v>
          </cell>
          <cell r="CG1102" t="str">
            <v>13EU</v>
          </cell>
        </row>
        <row r="1103">
          <cell r="O1103">
            <v>13</v>
          </cell>
          <cell r="AN1103">
            <v>0</v>
          </cell>
          <cell r="AO1103">
            <v>10.053799088433118</v>
          </cell>
          <cell r="AP1103">
            <v>0</v>
          </cell>
          <cell r="AZ1103">
            <v>10.86</v>
          </cell>
          <cell r="BT1103">
            <v>0</v>
          </cell>
          <cell r="BX1103">
            <v>10.053799088433118</v>
          </cell>
          <cell r="CB1103">
            <v>0</v>
          </cell>
          <cell r="CE1103" t="str">
            <v>13EU</v>
          </cell>
          <cell r="CF1103" t="str">
            <v>13EU</v>
          </cell>
          <cell r="CG1103" t="str">
            <v>13EU</v>
          </cell>
        </row>
        <row r="1104">
          <cell r="O1104">
            <v>13</v>
          </cell>
          <cell r="AN1104">
            <v>13.567999948441603</v>
          </cell>
          <cell r="AO1104">
            <v>0</v>
          </cell>
          <cell r="AP1104">
            <v>13.567999948441603</v>
          </cell>
          <cell r="AZ1104">
            <v>0</v>
          </cell>
          <cell r="BT1104">
            <v>13.567999948441603</v>
          </cell>
          <cell r="BX1104">
            <v>0</v>
          </cell>
          <cell r="CB1104">
            <v>13.567999948441603</v>
          </cell>
          <cell r="CE1104" t="str">
            <v>13EU</v>
          </cell>
          <cell r="CF1104" t="str">
            <v>13EU</v>
          </cell>
          <cell r="CG1104" t="str">
            <v>13EU</v>
          </cell>
        </row>
        <row r="1105">
          <cell r="O1105">
            <v>13</v>
          </cell>
          <cell r="AN1105">
            <v>5</v>
          </cell>
          <cell r="AO1105">
            <v>0</v>
          </cell>
          <cell r="AP1105">
            <v>0</v>
          </cell>
          <cell r="AZ1105">
            <v>0</v>
          </cell>
          <cell r="BT1105">
            <v>5</v>
          </cell>
          <cell r="BX1105">
            <v>0</v>
          </cell>
          <cell r="CB1105">
            <v>0</v>
          </cell>
          <cell r="CE1105" t="str">
            <v>13EU</v>
          </cell>
          <cell r="CF1105" t="str">
            <v>13EU</v>
          </cell>
          <cell r="CG1105" t="str">
            <v>13EU</v>
          </cell>
        </row>
        <row r="1106">
          <cell r="O1106">
            <v>13</v>
          </cell>
          <cell r="AN1106">
            <v>0</v>
          </cell>
          <cell r="AO1106">
            <v>2.5</v>
          </cell>
          <cell r="AP1106">
            <v>0</v>
          </cell>
          <cell r="AZ1106">
            <v>2.5</v>
          </cell>
          <cell r="BT1106">
            <v>0</v>
          </cell>
          <cell r="BX1106">
            <v>2.5</v>
          </cell>
          <cell r="CB1106">
            <v>0</v>
          </cell>
          <cell r="CE1106" t="str">
            <v>13EU</v>
          </cell>
          <cell r="CF1106" t="str">
            <v>13EU</v>
          </cell>
          <cell r="CG1106" t="str">
            <v>13EU</v>
          </cell>
        </row>
        <row r="1107">
          <cell r="O1107">
            <v>13</v>
          </cell>
          <cell r="AN1107">
            <v>21.061135291146726</v>
          </cell>
          <cell r="AO1107">
            <v>21.061135291146726</v>
          </cell>
          <cell r="AP1107">
            <v>21.061135291146726</v>
          </cell>
          <cell r="AZ1107">
            <v>22.75</v>
          </cell>
          <cell r="BT1107">
            <v>21.061135291146726</v>
          </cell>
          <cell r="BX1107">
            <v>21.061135291146726</v>
          </cell>
          <cell r="CB1107">
            <v>21.061135291146726</v>
          </cell>
          <cell r="CE1107" t="str">
            <v>13EU</v>
          </cell>
          <cell r="CF1107" t="str">
            <v>13EU</v>
          </cell>
          <cell r="CG1107" t="str">
            <v>13EU</v>
          </cell>
        </row>
        <row r="1108">
          <cell r="O1108">
            <v>13</v>
          </cell>
          <cell r="AN1108">
            <v>0</v>
          </cell>
          <cell r="AO1108">
            <v>0</v>
          </cell>
          <cell r="AP1108">
            <v>0</v>
          </cell>
          <cell r="AZ1108">
            <v>0</v>
          </cell>
          <cell r="BT1108">
            <v>0</v>
          </cell>
          <cell r="BX1108">
            <v>0</v>
          </cell>
          <cell r="CB1108">
            <v>0</v>
          </cell>
          <cell r="CE1108" t="str">
            <v>13EU</v>
          </cell>
          <cell r="CF1108" t="str">
            <v>13EU</v>
          </cell>
          <cell r="CG1108" t="str">
            <v>13EU</v>
          </cell>
        </row>
        <row r="1109">
          <cell r="O1109">
            <v>13</v>
          </cell>
          <cell r="AN1109">
            <v>0</v>
          </cell>
          <cell r="AO1109">
            <v>0</v>
          </cell>
          <cell r="AP1109">
            <v>0</v>
          </cell>
          <cell r="AZ1109">
            <v>0</v>
          </cell>
          <cell r="BT1109">
            <v>0</v>
          </cell>
          <cell r="BX1109">
            <v>0</v>
          </cell>
          <cell r="CB1109">
            <v>0</v>
          </cell>
          <cell r="CE1109" t="str">
            <v>13EU</v>
          </cell>
          <cell r="CF1109" t="str">
            <v>13EU</v>
          </cell>
          <cell r="CG1109" t="str">
            <v>13EU</v>
          </cell>
        </row>
        <row r="1110">
          <cell r="O1110">
            <v>13</v>
          </cell>
          <cell r="AN1110">
            <v>0</v>
          </cell>
          <cell r="AO1110">
            <v>11.081397337803356</v>
          </cell>
          <cell r="AP1110">
            <v>0</v>
          </cell>
          <cell r="AZ1110">
            <v>11.97</v>
          </cell>
          <cell r="BT1110">
            <v>0</v>
          </cell>
          <cell r="BX1110">
            <v>11.081397337803356</v>
          </cell>
          <cell r="CB1110">
            <v>0</v>
          </cell>
          <cell r="CE1110" t="str">
            <v>13EU</v>
          </cell>
          <cell r="CF1110" t="str">
            <v>13EU</v>
          </cell>
          <cell r="CG1110" t="str">
            <v>13EU</v>
          </cell>
        </row>
        <row r="1111">
          <cell r="O1111">
            <v>13</v>
          </cell>
          <cell r="AN1111">
            <v>2.9902183292485245</v>
          </cell>
          <cell r="AO1111">
            <v>0</v>
          </cell>
          <cell r="AP1111">
            <v>2.9902183292485245</v>
          </cell>
          <cell r="AZ1111">
            <v>0</v>
          </cell>
          <cell r="BT1111">
            <v>2.9902183292485245</v>
          </cell>
          <cell r="BX1111">
            <v>0</v>
          </cell>
          <cell r="CB1111">
            <v>2.9902183292485245</v>
          </cell>
          <cell r="CE1111" t="str">
            <v>13EU</v>
          </cell>
          <cell r="CF1111" t="str">
            <v>13EU</v>
          </cell>
          <cell r="CG1111" t="str">
            <v>13EU</v>
          </cell>
        </row>
        <row r="1112">
          <cell r="O1112">
            <v>13</v>
          </cell>
          <cell r="AN1112">
            <v>44.265599831790723</v>
          </cell>
          <cell r="AO1112">
            <v>44.265599831790723</v>
          </cell>
          <cell r="AP1112">
            <v>44.265599831790723</v>
          </cell>
          <cell r="AZ1112">
            <v>47.815199999999997</v>
          </cell>
          <cell r="BT1112">
            <v>32.249789276945066</v>
          </cell>
          <cell r="BX1112">
            <v>34.72</v>
          </cell>
          <cell r="CB1112">
            <v>38.251693203795597</v>
          </cell>
          <cell r="CE1112" t="str">
            <v>13LOCAL</v>
          </cell>
          <cell r="CF1112" t="str">
            <v>13LOCAL</v>
          </cell>
          <cell r="CG1112" t="str">
            <v>13LOCAL</v>
          </cell>
        </row>
        <row r="1113">
          <cell r="O1113">
            <v>13</v>
          </cell>
          <cell r="AN1113">
            <v>0</v>
          </cell>
          <cell r="AO1113">
            <v>21.931399916660684</v>
          </cell>
          <cell r="AP1113">
            <v>0</v>
          </cell>
          <cell r="AZ1113">
            <v>23.690050000000003</v>
          </cell>
          <cell r="BT1113">
            <v>0</v>
          </cell>
          <cell r="BX1113">
            <v>12.55</v>
          </cell>
          <cell r="CB1113">
            <v>0</v>
          </cell>
          <cell r="CE1113" t="str">
            <v>13LOCAL</v>
          </cell>
          <cell r="CF1113" t="str">
            <v>13LOCAL</v>
          </cell>
          <cell r="CG1113" t="str">
            <v>13LOCAL</v>
          </cell>
        </row>
        <row r="1114">
          <cell r="O1114">
            <v>13</v>
          </cell>
          <cell r="AN1114">
            <v>21.931399916660684</v>
          </cell>
          <cell r="AO1114">
            <v>0</v>
          </cell>
          <cell r="AP1114">
            <v>21.931399916660684</v>
          </cell>
          <cell r="AZ1114">
            <v>0</v>
          </cell>
          <cell r="BT1114">
            <v>21.931399916660684</v>
          </cell>
          <cell r="BX1114">
            <v>0</v>
          </cell>
          <cell r="CB1114">
            <v>21.931399916660684</v>
          </cell>
          <cell r="CE1114" t="str">
            <v>13EU</v>
          </cell>
          <cell r="CF1114" t="str">
            <v>13EU</v>
          </cell>
          <cell r="CG1114" t="str">
            <v>13EU</v>
          </cell>
        </row>
        <row r="1115">
          <cell r="O1115">
            <v>13</v>
          </cell>
          <cell r="AN1115">
            <v>0</v>
          </cell>
          <cell r="AO1115">
            <v>5.9571999773626407</v>
          </cell>
          <cell r="AP1115">
            <v>0</v>
          </cell>
          <cell r="AZ1115">
            <v>6.4348999999999998</v>
          </cell>
          <cell r="BT1115">
            <v>0</v>
          </cell>
          <cell r="BX1115">
            <v>5.9571999773626407</v>
          </cell>
          <cell r="CB1115">
            <v>0</v>
          </cell>
          <cell r="CE1115" t="str">
            <v>13EU</v>
          </cell>
          <cell r="CF1115" t="str">
            <v>13EU</v>
          </cell>
          <cell r="CG1115" t="str">
            <v>13EU</v>
          </cell>
        </row>
        <row r="1116">
          <cell r="O1116">
            <v>13</v>
          </cell>
          <cell r="AN1116">
            <v>0</v>
          </cell>
          <cell r="AO1116">
            <v>5.9571999773626407</v>
          </cell>
          <cell r="AP1116">
            <v>0</v>
          </cell>
          <cell r="AZ1116">
            <v>6.4348999999999998</v>
          </cell>
          <cell r="BT1116">
            <v>0</v>
          </cell>
          <cell r="BX1116">
            <v>5.9571999773626407</v>
          </cell>
          <cell r="CB1116">
            <v>0</v>
          </cell>
          <cell r="CE1116" t="str">
            <v>13EU</v>
          </cell>
          <cell r="CF1116" t="str">
            <v>13EU</v>
          </cell>
          <cell r="CG1116" t="str">
            <v>13EU</v>
          </cell>
        </row>
        <row r="1117">
          <cell r="O1117">
            <v>13</v>
          </cell>
          <cell r="AN1117">
            <v>5.9571999773626407</v>
          </cell>
          <cell r="AO1117">
            <v>0</v>
          </cell>
          <cell r="AP1117">
            <v>5.9571999773626407</v>
          </cell>
          <cell r="AZ1117">
            <v>0</v>
          </cell>
          <cell r="BT1117">
            <v>5.9222340308571848</v>
          </cell>
          <cell r="BX1117">
            <v>0</v>
          </cell>
          <cell r="CB1117">
            <v>5.9571999773626407</v>
          </cell>
          <cell r="CE1117" t="str">
            <v>13LOCAL</v>
          </cell>
          <cell r="CF1117" t="str">
            <v>13LOCAL</v>
          </cell>
          <cell r="CG1117" t="str">
            <v>13EU</v>
          </cell>
        </row>
        <row r="1118">
          <cell r="O1118">
            <v>13</v>
          </cell>
          <cell r="AN1118">
            <v>5.9571999773626407</v>
          </cell>
          <cell r="AO1118">
            <v>0</v>
          </cell>
          <cell r="AP1118">
            <v>5.9571999773626407</v>
          </cell>
          <cell r="AZ1118">
            <v>0</v>
          </cell>
          <cell r="BT1118">
            <v>5.9222340308571848</v>
          </cell>
          <cell r="BX1118">
            <v>0</v>
          </cell>
          <cell r="CB1118">
            <v>5.9571999773626407</v>
          </cell>
          <cell r="CE1118" t="str">
            <v>13LOCAL</v>
          </cell>
          <cell r="CF1118" t="str">
            <v>13LOCAL</v>
          </cell>
          <cell r="CG1118" t="str">
            <v>13EU</v>
          </cell>
        </row>
        <row r="1119">
          <cell r="O1119">
            <v>13</v>
          </cell>
          <cell r="AN1119">
            <v>0</v>
          </cell>
          <cell r="AO1119">
            <v>0</v>
          </cell>
          <cell r="AP1119">
            <v>0</v>
          </cell>
          <cell r="AZ1119">
            <v>0</v>
          </cell>
          <cell r="BT1119">
            <v>0</v>
          </cell>
          <cell r="BX1119">
            <v>0</v>
          </cell>
          <cell r="CB1119">
            <v>0</v>
          </cell>
          <cell r="CE1119" t="str">
            <v>13EU</v>
          </cell>
          <cell r="CF1119" t="str">
            <v>13EU</v>
          </cell>
          <cell r="CG1119" t="str">
            <v>13EU</v>
          </cell>
        </row>
        <row r="1120">
          <cell r="O1120">
            <v>13</v>
          </cell>
          <cell r="AN1120">
            <v>2.4</v>
          </cell>
          <cell r="AO1120">
            <v>0</v>
          </cell>
          <cell r="AP1120">
            <v>2.4</v>
          </cell>
          <cell r="AZ1120">
            <v>0</v>
          </cell>
          <cell r="BT1120">
            <v>2.4</v>
          </cell>
          <cell r="BX1120">
            <v>0</v>
          </cell>
          <cell r="CB1120">
            <v>2.4</v>
          </cell>
          <cell r="CE1120" t="str">
            <v>13EU</v>
          </cell>
          <cell r="CF1120" t="str">
            <v>13EU</v>
          </cell>
          <cell r="CG1120" t="str">
            <v>13EU</v>
          </cell>
        </row>
        <row r="1121">
          <cell r="O1121">
            <v>13</v>
          </cell>
          <cell r="AN1121">
            <v>3.7030567544873367</v>
          </cell>
          <cell r="AO1121">
            <v>0</v>
          </cell>
          <cell r="AP1121">
            <v>0</v>
          </cell>
          <cell r="AZ1121">
            <v>0</v>
          </cell>
          <cell r="BT1121">
            <v>3.7030567544873367</v>
          </cell>
          <cell r="BX1121">
            <v>0</v>
          </cell>
          <cell r="CB1121">
            <v>0</v>
          </cell>
          <cell r="CE1121" t="str">
            <v>13EU</v>
          </cell>
          <cell r="CF1121" t="str">
            <v>13EU</v>
          </cell>
          <cell r="CG1121" t="str">
            <v>13EU</v>
          </cell>
        </row>
        <row r="1122">
          <cell r="O1122">
            <v>13</v>
          </cell>
          <cell r="AN1122">
            <v>0</v>
          </cell>
          <cell r="AO1122">
            <v>0</v>
          </cell>
          <cell r="AP1122">
            <v>0</v>
          </cell>
          <cell r="AZ1122">
            <v>0</v>
          </cell>
          <cell r="BT1122">
            <v>0</v>
          </cell>
          <cell r="BX1122">
            <v>0</v>
          </cell>
          <cell r="CB1122">
            <v>0</v>
          </cell>
          <cell r="CE1122" t="str">
            <v>13EU</v>
          </cell>
          <cell r="CF1122" t="str">
            <v>13EU</v>
          </cell>
          <cell r="CG1122" t="str">
            <v>13EU</v>
          </cell>
        </row>
        <row r="1123">
          <cell r="O1123">
            <v>13</v>
          </cell>
          <cell r="AN1123">
            <v>21.699912581295795</v>
          </cell>
          <cell r="AO1123">
            <v>21.699912581295795</v>
          </cell>
          <cell r="AP1123">
            <v>21.699912581295795</v>
          </cell>
          <cell r="AZ1123">
            <v>23.44</v>
          </cell>
          <cell r="BT1123">
            <v>17.237219188624621</v>
          </cell>
          <cell r="BX1123">
            <v>17.237219188624621</v>
          </cell>
          <cell r="CB1123">
            <v>24.946494005568145</v>
          </cell>
          <cell r="CE1123" t="str">
            <v>13LOCAL</v>
          </cell>
          <cell r="CF1123" t="str">
            <v>13LOCAL</v>
          </cell>
          <cell r="CG1123" t="str">
            <v>13LOCAL</v>
          </cell>
        </row>
        <row r="1124">
          <cell r="O1124">
            <v>13</v>
          </cell>
          <cell r="AN1124">
            <v>22.292401662013766</v>
          </cell>
          <cell r="AO1124">
            <v>22.292401662013766</v>
          </cell>
          <cell r="AP1124">
            <v>22.292401662013766</v>
          </cell>
          <cell r="AZ1124">
            <v>24.08</v>
          </cell>
          <cell r="BT1124">
            <v>18.017370909224169</v>
          </cell>
          <cell r="BX1124">
            <v>18.017370909224169</v>
          </cell>
          <cell r="CB1124">
            <v>25.636601872646931</v>
          </cell>
          <cell r="CE1124" t="str">
            <v>13LOCAL</v>
          </cell>
          <cell r="CF1124" t="str">
            <v>13LOCAL</v>
          </cell>
          <cell r="CG1124" t="str">
            <v>13LOCAL</v>
          </cell>
        </row>
        <row r="1125">
          <cell r="O1125">
            <v>13</v>
          </cell>
          <cell r="AN1125">
            <v>18.783199928623844</v>
          </cell>
          <cell r="AO1125">
            <v>0</v>
          </cell>
          <cell r="AP1125">
            <v>18.783199928623844</v>
          </cell>
          <cell r="AZ1125">
            <v>0</v>
          </cell>
          <cell r="BT1125">
            <v>20.786455088503683</v>
          </cell>
          <cell r="BX1125">
            <v>0</v>
          </cell>
          <cell r="CB1125">
            <v>18.783199928623844</v>
          </cell>
          <cell r="CE1125" t="str">
            <v>13LOCAL</v>
          </cell>
          <cell r="CF1125" t="str">
            <v>13LOCAL</v>
          </cell>
          <cell r="CG1125" t="str">
            <v>13EU</v>
          </cell>
        </row>
        <row r="1126">
          <cell r="O1126">
            <v>13</v>
          </cell>
          <cell r="AN1126">
            <v>10.896799958592162</v>
          </cell>
          <cell r="AO1126">
            <v>0</v>
          </cell>
          <cell r="AP1126">
            <v>10.896799958592162</v>
          </cell>
          <cell r="AZ1126">
            <v>0</v>
          </cell>
          <cell r="BT1126">
            <v>3.6794077765969142</v>
          </cell>
          <cell r="BX1126">
            <v>0</v>
          </cell>
          <cell r="CB1126">
            <v>10.896799958592162</v>
          </cell>
          <cell r="CE1126" t="str">
            <v>13LOCAL</v>
          </cell>
          <cell r="CF1126" t="str">
            <v>13LOCAL</v>
          </cell>
          <cell r="CG1126" t="str">
            <v>13EU</v>
          </cell>
        </row>
        <row r="1127">
          <cell r="O1127">
            <v>13</v>
          </cell>
          <cell r="AN1127">
            <v>1.1553999956094803</v>
          </cell>
          <cell r="AO1127">
            <v>1.1553999956094803</v>
          </cell>
          <cell r="AP1127">
            <v>1.1553999956094803</v>
          </cell>
          <cell r="AZ1127">
            <v>1.2480500000000001</v>
          </cell>
          <cell r="BT1127">
            <v>1.6711254443507897</v>
          </cell>
          <cell r="BX1127">
            <v>1.6941614959446012E-3</v>
          </cell>
          <cell r="CB1127">
            <v>1.1553999956094803</v>
          </cell>
          <cell r="CE1127" t="str">
            <v>13LOCAL</v>
          </cell>
          <cell r="CF1127" t="str">
            <v>13LOCAL</v>
          </cell>
          <cell r="CG1127" t="str">
            <v>13EU</v>
          </cell>
        </row>
        <row r="1128">
          <cell r="O1128">
            <v>13</v>
          </cell>
          <cell r="AN1128">
            <v>3.7099999859020008</v>
          </cell>
          <cell r="AO1128">
            <v>3.7099999859020008</v>
          </cell>
          <cell r="AP1128">
            <v>3.7099999859020008</v>
          </cell>
          <cell r="AZ1128">
            <v>4.0075000000000003</v>
          </cell>
          <cell r="BT1128">
            <v>3.720159783046872</v>
          </cell>
          <cell r="BX1128">
            <v>1.6941614959446012E-3</v>
          </cell>
          <cell r="CB1128">
            <v>3.7099999859020008</v>
          </cell>
          <cell r="CE1128" t="str">
            <v>13LOCAL</v>
          </cell>
          <cell r="CF1128" t="str">
            <v>13LOCAL</v>
          </cell>
          <cell r="CG1128" t="str">
            <v>13EU</v>
          </cell>
        </row>
        <row r="1129">
          <cell r="O1129">
            <v>13</v>
          </cell>
          <cell r="AN1129">
            <v>0</v>
          </cell>
          <cell r="AO1129">
            <v>0</v>
          </cell>
          <cell r="AP1129">
            <v>0</v>
          </cell>
          <cell r="AZ1129">
            <v>0</v>
          </cell>
          <cell r="BT1129">
            <v>0</v>
          </cell>
          <cell r="BX1129">
            <v>42.163105398022068</v>
          </cell>
          <cell r="CB1129">
            <v>0</v>
          </cell>
          <cell r="CE1129" t="str">
            <v>13LOCAL</v>
          </cell>
          <cell r="CF1129" t="str">
            <v>13LOCAL</v>
          </cell>
          <cell r="CG1129" t="str">
            <v>13EU</v>
          </cell>
        </row>
        <row r="1130">
          <cell r="O1130">
            <v>13</v>
          </cell>
          <cell r="AN1130">
            <v>18.783199928623844</v>
          </cell>
          <cell r="AO1130">
            <v>0</v>
          </cell>
          <cell r="AP1130">
            <v>18.783199928623844</v>
          </cell>
          <cell r="AZ1130">
            <v>0</v>
          </cell>
          <cell r="BT1130">
            <v>20.112141312713014</v>
          </cell>
          <cell r="BX1130">
            <v>0</v>
          </cell>
          <cell r="CB1130">
            <v>18.783199928623844</v>
          </cell>
          <cell r="CE1130" t="str">
            <v>13LOCAL</v>
          </cell>
          <cell r="CF1130" t="str">
            <v>13LOCAL</v>
          </cell>
          <cell r="CG1130" t="str">
            <v>13EU</v>
          </cell>
        </row>
        <row r="1131">
          <cell r="O1131">
            <v>13</v>
          </cell>
          <cell r="AN1131">
            <v>-1.8515283772436684</v>
          </cell>
          <cell r="AO1131">
            <v>0</v>
          </cell>
          <cell r="AP1131">
            <v>0</v>
          </cell>
          <cell r="AZ1131">
            <v>0</v>
          </cell>
          <cell r="BT1131">
            <v>-2.1199999919440002</v>
          </cell>
          <cell r="BX1131">
            <v>0</v>
          </cell>
          <cell r="CB1131">
            <v>0</v>
          </cell>
          <cell r="CE1131" t="str">
            <v>13LOCAL</v>
          </cell>
          <cell r="CF1131" t="str">
            <v>13LOCAL</v>
          </cell>
          <cell r="CG1131" t="str">
            <v>13EU</v>
          </cell>
        </row>
        <row r="1132">
          <cell r="O1132">
            <v>13</v>
          </cell>
          <cell r="AN1132">
            <v>10.546999959921401</v>
          </cell>
          <cell r="AO1132">
            <v>0</v>
          </cell>
          <cell r="AP1132">
            <v>10.546999959921401</v>
          </cell>
          <cell r="AZ1132">
            <v>0</v>
          </cell>
          <cell r="BT1132">
            <v>3.2279107267196832</v>
          </cell>
          <cell r="BX1132">
            <v>0</v>
          </cell>
          <cell r="CB1132">
            <v>10.546999959921401</v>
          </cell>
          <cell r="CE1132" t="str">
            <v>13LOCAL</v>
          </cell>
          <cell r="CF1132" t="str">
            <v>13LOCAL</v>
          </cell>
          <cell r="CG1132" t="str">
            <v>13EU</v>
          </cell>
        </row>
        <row r="1133">
          <cell r="O1133">
            <v>13</v>
          </cell>
          <cell r="AN1133">
            <v>1.1129999957706003</v>
          </cell>
          <cell r="AO1133">
            <v>1.1129999957706003</v>
          </cell>
          <cell r="AP1133">
            <v>1.1129999957706003</v>
          </cell>
          <cell r="AZ1133">
            <v>1.20225</v>
          </cell>
          <cell r="BT1133">
            <v>1.7590794151060944</v>
          </cell>
          <cell r="BX1133">
            <v>1.6941614959446012E-3</v>
          </cell>
          <cell r="CB1133">
            <v>1.1129999957706003</v>
          </cell>
          <cell r="CE1133" t="str">
            <v>13LOCAL</v>
          </cell>
          <cell r="CF1133" t="str">
            <v>13LOCAL</v>
          </cell>
          <cell r="CG1133" t="str">
            <v>13EU</v>
          </cell>
        </row>
        <row r="1134">
          <cell r="O1134">
            <v>13</v>
          </cell>
          <cell r="AN1134">
            <v>3.7311999858214406</v>
          </cell>
          <cell r="AO1134">
            <v>3.7311999858214406</v>
          </cell>
          <cell r="AP1134">
            <v>3.7311999858214406</v>
          </cell>
          <cell r="AZ1134">
            <v>4.0304000000000002</v>
          </cell>
          <cell r="BT1134">
            <v>3.5087770733316233</v>
          </cell>
          <cell r="BX1134">
            <v>1.6941614959446012E-3</v>
          </cell>
          <cell r="CB1134">
            <v>3.7311999858214406</v>
          </cell>
          <cell r="CE1134" t="str">
            <v>13LOCAL</v>
          </cell>
          <cell r="CF1134" t="str">
            <v>13LOCAL</v>
          </cell>
          <cell r="CG1134" t="str">
            <v>13EU</v>
          </cell>
        </row>
        <row r="1135">
          <cell r="O1135">
            <v>13</v>
          </cell>
          <cell r="AN1135">
            <v>0</v>
          </cell>
          <cell r="AO1135">
            <v>0</v>
          </cell>
          <cell r="AP1135">
            <v>0</v>
          </cell>
          <cell r="AZ1135">
            <v>0</v>
          </cell>
          <cell r="BT1135">
            <v>0</v>
          </cell>
          <cell r="BX1135">
            <v>25.5903093962432</v>
          </cell>
          <cell r="CB1135">
            <v>0</v>
          </cell>
          <cell r="CE1135" t="str">
            <v>13LOCAL</v>
          </cell>
          <cell r="CF1135" t="str">
            <v>13LOCAL</v>
          </cell>
          <cell r="CG1135" t="str">
            <v>13EU</v>
          </cell>
        </row>
        <row r="1136">
          <cell r="O1136">
            <v>13</v>
          </cell>
          <cell r="AN1136">
            <v>0</v>
          </cell>
          <cell r="AO1136">
            <v>-1.8515283772436684</v>
          </cell>
          <cell r="AP1136">
            <v>0</v>
          </cell>
          <cell r="AZ1136">
            <v>-2</v>
          </cell>
          <cell r="BT1136">
            <v>0</v>
          </cell>
          <cell r="BX1136">
            <v>-2.1199999919440002</v>
          </cell>
          <cell r="CB1136">
            <v>0</v>
          </cell>
          <cell r="CE1136" t="str">
            <v>13LOCAL</v>
          </cell>
          <cell r="CF1136" t="str">
            <v>13LOCAL</v>
          </cell>
          <cell r="CG1136" t="str">
            <v>13EU</v>
          </cell>
        </row>
        <row r="1137">
          <cell r="O1137">
            <v>13</v>
          </cell>
          <cell r="AN1137">
            <v>0</v>
          </cell>
          <cell r="AO1137">
            <v>0</v>
          </cell>
          <cell r="AP1137">
            <v>0</v>
          </cell>
          <cell r="AZ1137">
            <v>0</v>
          </cell>
          <cell r="BT1137">
            <v>0</v>
          </cell>
          <cell r="BX1137">
            <v>0</v>
          </cell>
          <cell r="CB1137">
            <v>0</v>
          </cell>
          <cell r="CE1137" t="str">
            <v>13EU</v>
          </cell>
          <cell r="CF1137" t="str">
            <v>13EU</v>
          </cell>
          <cell r="CG1137" t="str">
            <v>13EU</v>
          </cell>
        </row>
        <row r="1138">
          <cell r="O1138">
            <v>13</v>
          </cell>
          <cell r="AN1138">
            <v>8.5262881772070944</v>
          </cell>
          <cell r="AO1138">
            <v>8.5262881772070944</v>
          </cell>
          <cell r="AP1138">
            <v>8.5262881772070944</v>
          </cell>
          <cell r="AZ1138">
            <v>9.2100000000000009</v>
          </cell>
          <cell r="BT1138">
            <v>8.5262881772070944</v>
          </cell>
          <cell r="BX1138">
            <v>8.5262881772070944</v>
          </cell>
          <cell r="CB1138">
            <v>8.5262881772070944</v>
          </cell>
          <cell r="CE1138" t="str">
            <v>13EU</v>
          </cell>
          <cell r="CF1138" t="str">
            <v>13EU</v>
          </cell>
          <cell r="CG1138" t="str">
            <v>13EU</v>
          </cell>
        </row>
        <row r="1139">
          <cell r="O1139">
            <v>13</v>
          </cell>
          <cell r="AN1139">
            <v>2.4347598160754238</v>
          </cell>
          <cell r="AO1139">
            <v>2.4347598160754238</v>
          </cell>
          <cell r="AP1139">
            <v>2.4347598160754238</v>
          </cell>
          <cell r="AZ1139">
            <v>2.63</v>
          </cell>
          <cell r="BT1139">
            <v>2.4347598160754238</v>
          </cell>
          <cell r="BX1139">
            <v>2.4347598160754238</v>
          </cell>
          <cell r="CB1139">
            <v>2.4347598160754238</v>
          </cell>
          <cell r="CE1139" t="str">
            <v>13EU</v>
          </cell>
          <cell r="CF1139" t="str">
            <v>13EU</v>
          </cell>
          <cell r="CG1139" t="str">
            <v>13EU</v>
          </cell>
        </row>
        <row r="1140">
          <cell r="O1140">
            <v>13</v>
          </cell>
          <cell r="AN1140">
            <v>10.627772885378656</v>
          </cell>
          <cell r="AO1140">
            <v>10.627772885378656</v>
          </cell>
          <cell r="AP1140">
            <v>10.627772885378656</v>
          </cell>
          <cell r="AZ1140">
            <v>11.48</v>
          </cell>
          <cell r="BT1140">
            <v>10.627772885378656</v>
          </cell>
          <cell r="BX1140">
            <v>10.627772885378656</v>
          </cell>
          <cell r="CB1140">
            <v>10.627772885378656</v>
          </cell>
          <cell r="CE1140" t="str">
            <v>13EU</v>
          </cell>
          <cell r="CF1140" t="str">
            <v>13EU</v>
          </cell>
          <cell r="CG1140" t="str">
            <v>13EU</v>
          </cell>
        </row>
        <row r="1141">
          <cell r="O1141">
            <v>13</v>
          </cell>
          <cell r="AN1141">
            <v>0</v>
          </cell>
          <cell r="AO1141">
            <v>0</v>
          </cell>
          <cell r="AP1141">
            <v>0</v>
          </cell>
          <cell r="AZ1141">
            <v>0</v>
          </cell>
          <cell r="BT1141">
            <v>0</v>
          </cell>
          <cell r="BX1141">
            <v>0</v>
          </cell>
          <cell r="CB1141">
            <v>0</v>
          </cell>
          <cell r="CE1141" t="str">
            <v>13EU</v>
          </cell>
          <cell r="CF1141" t="str">
            <v>13EU</v>
          </cell>
          <cell r="CG1141" t="str">
            <v>13EU</v>
          </cell>
        </row>
        <row r="1142">
          <cell r="O1142">
            <v>13</v>
          </cell>
          <cell r="AN1142">
            <v>1.1664628776635111</v>
          </cell>
          <cell r="AO1142">
            <v>1.1664628776635111</v>
          </cell>
          <cell r="AP1142">
            <v>1.1664628776635111</v>
          </cell>
          <cell r="AZ1142">
            <v>1.26</v>
          </cell>
          <cell r="BT1142">
            <v>1.1664628776635111</v>
          </cell>
          <cell r="BX1142">
            <v>1.1664628776635111</v>
          </cell>
          <cell r="CB1142">
            <v>1.1664628776635111</v>
          </cell>
          <cell r="CE1142" t="str">
            <v>13EU</v>
          </cell>
          <cell r="CF1142" t="str">
            <v>13EU</v>
          </cell>
          <cell r="CG1142" t="str">
            <v>13EU</v>
          </cell>
        </row>
        <row r="1143">
          <cell r="O1143">
            <v>13</v>
          </cell>
          <cell r="AN1143">
            <v>0</v>
          </cell>
          <cell r="AO1143">
            <v>0</v>
          </cell>
          <cell r="AP1143">
            <v>0</v>
          </cell>
          <cell r="AZ1143">
            <v>0</v>
          </cell>
          <cell r="BT1143">
            <v>0</v>
          </cell>
          <cell r="BX1143">
            <v>0</v>
          </cell>
          <cell r="CB1143">
            <v>0</v>
          </cell>
          <cell r="CE1143" t="str">
            <v>13EU</v>
          </cell>
          <cell r="CF1143" t="str">
            <v>13EU</v>
          </cell>
          <cell r="CG1143" t="str">
            <v>13EU</v>
          </cell>
        </row>
        <row r="1144">
          <cell r="O1144">
            <v>13</v>
          </cell>
          <cell r="AN1144">
            <v>0</v>
          </cell>
          <cell r="AO1144">
            <v>0</v>
          </cell>
          <cell r="AP1144">
            <v>0</v>
          </cell>
          <cell r="AZ1144">
            <v>0</v>
          </cell>
          <cell r="BT1144">
            <v>0</v>
          </cell>
          <cell r="BX1144">
            <v>0</v>
          </cell>
          <cell r="CB1144">
            <v>0</v>
          </cell>
          <cell r="CE1144" t="str">
            <v>13EU</v>
          </cell>
          <cell r="CF1144" t="str">
            <v>13EU</v>
          </cell>
          <cell r="CG1144" t="str">
            <v>13EU</v>
          </cell>
        </row>
        <row r="1145">
          <cell r="O1145">
            <v>13</v>
          </cell>
          <cell r="AN1145">
            <v>6.369257617718219</v>
          </cell>
          <cell r="AO1145">
            <v>6.369257617718219</v>
          </cell>
          <cell r="AP1145">
            <v>6.369257617718219</v>
          </cell>
          <cell r="AZ1145">
            <v>6.88</v>
          </cell>
          <cell r="BT1145">
            <v>6.369257617718219</v>
          </cell>
          <cell r="BX1145">
            <v>6.369257617718219</v>
          </cell>
          <cell r="CB1145">
            <v>6.369257617718219</v>
          </cell>
          <cell r="CE1145" t="str">
            <v>13EU</v>
          </cell>
          <cell r="CF1145" t="str">
            <v>13EU</v>
          </cell>
          <cell r="CG1145" t="str">
            <v>13EU</v>
          </cell>
        </row>
        <row r="1146">
          <cell r="O1146">
            <v>13</v>
          </cell>
          <cell r="AN1146">
            <v>8.4614846840035653</v>
          </cell>
          <cell r="AO1146">
            <v>8.4614846840035653</v>
          </cell>
          <cell r="AP1146">
            <v>8.4614846840035653</v>
          </cell>
          <cell r="AZ1146">
            <v>9.14</v>
          </cell>
          <cell r="BT1146">
            <v>8.4614846840035653</v>
          </cell>
          <cell r="BX1146">
            <v>8.4614846840035653</v>
          </cell>
          <cell r="CB1146">
            <v>8.4614846840035653</v>
          </cell>
          <cell r="CE1146" t="str">
            <v>13EU</v>
          </cell>
          <cell r="CF1146" t="str">
            <v>13EU</v>
          </cell>
          <cell r="CG1146" t="str">
            <v>13EU</v>
          </cell>
        </row>
        <row r="1147">
          <cell r="O1147">
            <v>13</v>
          </cell>
          <cell r="AN1147">
            <v>9.5816593522359828</v>
          </cell>
          <cell r="AO1147">
            <v>9.5816593522359828</v>
          </cell>
          <cell r="AP1147">
            <v>9.5816593522359828</v>
          </cell>
          <cell r="AZ1147">
            <v>10.35</v>
          </cell>
          <cell r="BT1147">
            <v>9.5816593522359828</v>
          </cell>
          <cell r="BX1147">
            <v>9.5816593522359828</v>
          </cell>
          <cell r="CB1147">
            <v>9.5816593522359828</v>
          </cell>
          <cell r="CE1147" t="str">
            <v>13EU</v>
          </cell>
          <cell r="CF1147" t="str">
            <v>13EU</v>
          </cell>
          <cell r="CG1147" t="str">
            <v>13EU</v>
          </cell>
        </row>
        <row r="1148">
          <cell r="O1148">
            <v>13</v>
          </cell>
          <cell r="AN1148">
            <v>-2.7310043564344109</v>
          </cell>
          <cell r="AO1148">
            <v>-2.7310043564344109</v>
          </cell>
          <cell r="AP1148">
            <v>-2.7310043564344109</v>
          </cell>
          <cell r="AZ1148">
            <v>-2.95</v>
          </cell>
          <cell r="BT1148">
            <v>-2.7310043564344109</v>
          </cell>
          <cell r="BX1148">
            <v>-2.7310043564344109</v>
          </cell>
          <cell r="CB1148">
            <v>-2.7310043564344109</v>
          </cell>
          <cell r="CE1148" t="str">
            <v>13EU</v>
          </cell>
          <cell r="CF1148" t="str">
            <v>13EU</v>
          </cell>
          <cell r="CG1148" t="str">
            <v>13EU</v>
          </cell>
        </row>
        <row r="1149">
          <cell r="O1149">
            <v>13</v>
          </cell>
          <cell r="AN1149">
            <v>0</v>
          </cell>
          <cell r="AO1149">
            <v>0</v>
          </cell>
          <cell r="AP1149">
            <v>0</v>
          </cell>
          <cell r="AZ1149">
            <v>0</v>
          </cell>
          <cell r="BT1149">
            <v>0</v>
          </cell>
          <cell r="BX1149">
            <v>0</v>
          </cell>
          <cell r="CB1149">
            <v>0</v>
          </cell>
          <cell r="CE1149" t="str">
            <v>13EU</v>
          </cell>
          <cell r="CF1149" t="str">
            <v>13EU</v>
          </cell>
          <cell r="CG1149" t="str">
            <v>13EU</v>
          </cell>
        </row>
        <row r="1150">
          <cell r="O1150">
            <v>13</v>
          </cell>
          <cell r="AN1150">
            <v>4.4714410310434589</v>
          </cell>
          <cell r="AO1150">
            <v>4.4714410310434589</v>
          </cell>
          <cell r="AP1150">
            <v>4.4714410310434589</v>
          </cell>
          <cell r="AZ1150">
            <v>4.83</v>
          </cell>
          <cell r="BT1150">
            <v>4.4714410310434589</v>
          </cell>
          <cell r="BX1150">
            <v>4.4714410310434589</v>
          </cell>
          <cell r="CB1150">
            <v>4.4714410310434589</v>
          </cell>
          <cell r="CE1150" t="str">
            <v>13EU</v>
          </cell>
          <cell r="CF1150" t="str">
            <v>13EU</v>
          </cell>
          <cell r="CG1150" t="str">
            <v>13EU</v>
          </cell>
        </row>
        <row r="1151">
          <cell r="O1151">
            <v>13</v>
          </cell>
          <cell r="AN1151">
            <v>0.73135370901124908</v>
          </cell>
          <cell r="AO1151">
            <v>0.73135370901124908</v>
          </cell>
          <cell r="AP1151">
            <v>0.73135370901124908</v>
          </cell>
          <cell r="AZ1151">
            <v>0.79</v>
          </cell>
          <cell r="BT1151">
            <v>0.73135370901124908</v>
          </cell>
          <cell r="BX1151">
            <v>0.73135370901124908</v>
          </cell>
          <cell r="CB1151">
            <v>0.73135370901124908</v>
          </cell>
          <cell r="CE1151" t="str">
            <v>13EU</v>
          </cell>
          <cell r="CF1151" t="str">
            <v>13EU</v>
          </cell>
          <cell r="CG1151" t="str">
            <v>13EU</v>
          </cell>
        </row>
        <row r="1152">
          <cell r="O1152">
            <v>13</v>
          </cell>
          <cell r="AN1152">
            <v>160.15720463157732</v>
          </cell>
          <cell r="AO1152">
            <v>0</v>
          </cell>
          <cell r="AP1152">
            <v>0</v>
          </cell>
          <cell r="AZ1152">
            <v>0</v>
          </cell>
          <cell r="BT1152">
            <v>160.15720463157732</v>
          </cell>
          <cell r="BX1152">
            <v>0</v>
          </cell>
          <cell r="CB1152">
            <v>0</v>
          </cell>
          <cell r="CE1152" t="str">
            <v>13EU</v>
          </cell>
          <cell r="CF1152" t="str">
            <v>13EU</v>
          </cell>
          <cell r="CG1152" t="str">
            <v>13EU</v>
          </cell>
        </row>
        <row r="1153">
          <cell r="O1153">
            <v>14</v>
          </cell>
          <cell r="AN1153">
            <v>7.2765065225676171</v>
          </cell>
          <cell r="AO1153">
            <v>7.2765065225676171</v>
          </cell>
          <cell r="AP1153">
            <v>7.2765065225676171</v>
          </cell>
          <cell r="AZ1153">
            <v>7.86</v>
          </cell>
          <cell r="BT1153">
            <v>9.7010297944075923</v>
          </cell>
          <cell r="BX1153">
            <v>9.7010297944075923</v>
          </cell>
          <cell r="CB1153">
            <v>9.7010297944075923</v>
          </cell>
          <cell r="CE1153" t="str">
            <v>14LOCAL</v>
          </cell>
          <cell r="CF1153" t="str">
            <v>14LOCAL</v>
          </cell>
          <cell r="CG1153" t="str">
            <v>14LOCAL</v>
          </cell>
        </row>
        <row r="1154">
          <cell r="O1154">
            <v>14</v>
          </cell>
          <cell r="AN1154">
            <v>3.6289956193975899</v>
          </cell>
          <cell r="AO1154">
            <v>3.6289956193975899</v>
          </cell>
          <cell r="AP1154">
            <v>3.6289956193975899</v>
          </cell>
          <cell r="AZ1154">
            <v>3.92</v>
          </cell>
          <cell r="BT1154">
            <v>3.6289956193975899</v>
          </cell>
          <cell r="BX1154">
            <v>3.6289956193975899</v>
          </cell>
          <cell r="CB1154">
            <v>3.6289956193975899</v>
          </cell>
          <cell r="CE1154" t="str">
            <v>14EU</v>
          </cell>
          <cell r="CF1154" t="str">
            <v>14EU</v>
          </cell>
          <cell r="CG1154" t="str">
            <v>14EU</v>
          </cell>
        </row>
        <row r="1155">
          <cell r="O1155">
            <v>14</v>
          </cell>
          <cell r="AN1155">
            <v>1.8607860191298866</v>
          </cell>
          <cell r="AO1155">
            <v>1.8607860191298866</v>
          </cell>
          <cell r="AP1155">
            <v>1.8607860191298866</v>
          </cell>
          <cell r="AZ1155">
            <v>2.0099999999999998</v>
          </cell>
          <cell r="BT1155">
            <v>1.8607860191298866</v>
          </cell>
          <cell r="BX1155">
            <v>1.8607860191298866</v>
          </cell>
          <cell r="CB1155">
            <v>1.8607860191298866</v>
          </cell>
          <cell r="CE1155" t="str">
            <v>14EU</v>
          </cell>
          <cell r="CF1155" t="str">
            <v>14EU</v>
          </cell>
          <cell r="CG1155" t="str">
            <v>14EU</v>
          </cell>
        </row>
        <row r="1156">
          <cell r="O1156">
            <v>14</v>
          </cell>
          <cell r="AN1156">
            <v>1.8607860191298866</v>
          </cell>
          <cell r="AO1156">
            <v>1.8607860191298866</v>
          </cell>
          <cell r="AP1156">
            <v>1.8607860191298866</v>
          </cell>
          <cell r="AZ1156">
            <v>2.0099999999999998</v>
          </cell>
          <cell r="BT1156">
            <v>1.8607860191298866</v>
          </cell>
          <cell r="BX1156">
            <v>1.8607860191298866</v>
          </cell>
          <cell r="CB1156">
            <v>1.8607860191298866</v>
          </cell>
          <cell r="CE1156" t="str">
            <v>14EU</v>
          </cell>
          <cell r="CF1156" t="str">
            <v>14EU</v>
          </cell>
          <cell r="CG1156" t="str">
            <v>14EU</v>
          </cell>
        </row>
        <row r="1157">
          <cell r="O1157">
            <v>14</v>
          </cell>
          <cell r="AN1157">
            <v>6.2766811988560356</v>
          </cell>
          <cell r="AO1157">
            <v>6.2766811988560356</v>
          </cell>
          <cell r="AP1157">
            <v>6.2766811988560356</v>
          </cell>
          <cell r="AZ1157">
            <v>6.78</v>
          </cell>
          <cell r="BT1157">
            <v>8.585187085425293</v>
          </cell>
          <cell r="BX1157">
            <v>8.585187085425293</v>
          </cell>
          <cell r="CB1157">
            <v>8.585187085425293</v>
          </cell>
          <cell r="CE1157" t="str">
            <v>14LOCAL</v>
          </cell>
          <cell r="CF1157" t="str">
            <v>14LOCAL</v>
          </cell>
          <cell r="CG1157" t="str">
            <v>14LOCAL</v>
          </cell>
        </row>
        <row r="1158">
          <cell r="O1158">
            <v>14</v>
          </cell>
          <cell r="AN1158">
            <v>0</v>
          </cell>
          <cell r="AO1158">
            <v>0</v>
          </cell>
          <cell r="AP1158">
            <v>0</v>
          </cell>
          <cell r="AZ1158">
            <v>0</v>
          </cell>
          <cell r="BT1158">
            <v>0</v>
          </cell>
          <cell r="BX1158">
            <v>0</v>
          </cell>
          <cell r="CB1158">
            <v>0</v>
          </cell>
          <cell r="CE1158" t="str">
            <v>14LOCAL</v>
          </cell>
          <cell r="CF1158" t="str">
            <v>14LOCAL</v>
          </cell>
          <cell r="CG1158" t="str">
            <v>14LOCAL</v>
          </cell>
        </row>
        <row r="1159">
          <cell r="O1159">
            <v>14</v>
          </cell>
          <cell r="AN1159">
            <v>0</v>
          </cell>
          <cell r="AO1159">
            <v>0</v>
          </cell>
          <cell r="AP1159">
            <v>8.8132750756798615</v>
          </cell>
          <cell r="AZ1159">
            <v>0</v>
          </cell>
          <cell r="BT1159">
            <v>0</v>
          </cell>
          <cell r="BX1159">
            <v>0</v>
          </cell>
          <cell r="CB1159">
            <v>8.091765309488034</v>
          </cell>
          <cell r="CE1159" t="str">
            <v>14LOCAL</v>
          </cell>
          <cell r="CF1159" t="str">
            <v>14LOCAL</v>
          </cell>
          <cell r="CG1159" t="str">
            <v>14LOCAL</v>
          </cell>
        </row>
        <row r="1160">
          <cell r="O1160">
            <v>14</v>
          </cell>
          <cell r="AN1160">
            <v>10.090829655977993</v>
          </cell>
          <cell r="AO1160">
            <v>10.090829655977993</v>
          </cell>
          <cell r="AP1160">
            <v>0</v>
          </cell>
          <cell r="AZ1160">
            <v>10.9</v>
          </cell>
          <cell r="BT1160">
            <v>10.759702422398945</v>
          </cell>
          <cell r="BX1160">
            <v>10.759702422398945</v>
          </cell>
          <cell r="CB1160">
            <v>0</v>
          </cell>
          <cell r="CE1160" t="str">
            <v>14LOCAL</v>
          </cell>
          <cell r="CF1160" t="str">
            <v>14LOCAL</v>
          </cell>
          <cell r="CG1160" t="str">
            <v>14LOCAL</v>
          </cell>
        </row>
        <row r="1161">
          <cell r="O1161">
            <v>14</v>
          </cell>
          <cell r="AN1161">
            <v>0</v>
          </cell>
          <cell r="AO1161">
            <v>0</v>
          </cell>
          <cell r="AP1161">
            <v>0</v>
          </cell>
          <cell r="AZ1161">
            <v>0</v>
          </cell>
          <cell r="BT1161">
            <v>0</v>
          </cell>
          <cell r="BX1161">
            <v>0</v>
          </cell>
          <cell r="CB1161">
            <v>0</v>
          </cell>
          <cell r="CE1161" t="str">
            <v>14LOCAL</v>
          </cell>
          <cell r="CF1161" t="str">
            <v>14LOCAL</v>
          </cell>
          <cell r="CG1161" t="str">
            <v>14LOCAL</v>
          </cell>
        </row>
        <row r="1162">
          <cell r="O1162">
            <v>14</v>
          </cell>
          <cell r="AN1162">
            <v>0</v>
          </cell>
          <cell r="AO1162">
            <v>0</v>
          </cell>
          <cell r="AP1162">
            <v>8.8132750756798615</v>
          </cell>
          <cell r="AZ1162">
            <v>0</v>
          </cell>
          <cell r="BT1162">
            <v>0</v>
          </cell>
          <cell r="BX1162">
            <v>0</v>
          </cell>
          <cell r="CB1162">
            <v>8.091765309488034</v>
          </cell>
          <cell r="CE1162" t="str">
            <v>14LOCAL</v>
          </cell>
          <cell r="CF1162" t="str">
            <v>14LOCAL</v>
          </cell>
          <cell r="CG1162" t="str">
            <v>14LOCAL</v>
          </cell>
        </row>
        <row r="1163">
          <cell r="O1163">
            <v>14</v>
          </cell>
          <cell r="AN1163">
            <v>10.090829655977993</v>
          </cell>
          <cell r="AO1163">
            <v>10.090829655977993</v>
          </cell>
          <cell r="AP1163">
            <v>0</v>
          </cell>
          <cell r="AZ1163">
            <v>10.9</v>
          </cell>
          <cell r="BT1163">
            <v>10.759702422398945</v>
          </cell>
          <cell r="BX1163">
            <v>10.759702422398945</v>
          </cell>
          <cell r="CB1163">
            <v>0</v>
          </cell>
          <cell r="CE1163" t="str">
            <v>14LOCAL</v>
          </cell>
          <cell r="CF1163" t="str">
            <v>14LOCAL</v>
          </cell>
          <cell r="CG1163" t="str">
            <v>14LOCAL</v>
          </cell>
        </row>
        <row r="1164">
          <cell r="O1164">
            <v>14</v>
          </cell>
          <cell r="AN1164">
            <v>4.5640174499056423</v>
          </cell>
          <cell r="AO1164">
            <v>4.5640174499056423</v>
          </cell>
          <cell r="AP1164">
            <v>4.5640174499056423</v>
          </cell>
          <cell r="AZ1164">
            <v>4.93</v>
          </cell>
          <cell r="BT1164">
            <v>6.0005130648294056</v>
          </cell>
          <cell r="BX1164">
            <v>6.0005130648294056</v>
          </cell>
          <cell r="CB1164">
            <v>6.0005130648294056</v>
          </cell>
          <cell r="CE1164" t="str">
            <v>14LOCAL</v>
          </cell>
          <cell r="CF1164" t="str">
            <v>14LOCAL</v>
          </cell>
          <cell r="CG1164" t="str">
            <v>14LOCAL</v>
          </cell>
        </row>
        <row r="1165">
          <cell r="O1165">
            <v>14</v>
          </cell>
          <cell r="AN1165">
            <v>4.5640174499056423</v>
          </cell>
          <cell r="AO1165">
            <v>4.5640174499056423</v>
          </cell>
          <cell r="AP1165">
            <v>4.5640174499056423</v>
          </cell>
          <cell r="AZ1165">
            <v>4.93</v>
          </cell>
          <cell r="BT1165">
            <v>6.0005130648294056</v>
          </cell>
          <cell r="BX1165">
            <v>6.0005130648294056</v>
          </cell>
          <cell r="CB1165">
            <v>6.0005130648294056</v>
          </cell>
          <cell r="CE1165" t="str">
            <v>14LOCAL</v>
          </cell>
          <cell r="CF1165" t="str">
            <v>14LOCAL</v>
          </cell>
          <cell r="CG1165" t="str">
            <v>14LOCAL</v>
          </cell>
        </row>
        <row r="1166">
          <cell r="O1166">
            <v>14</v>
          </cell>
          <cell r="AN1166">
            <v>8.1837554274170135</v>
          </cell>
          <cell r="AO1166">
            <v>8.1837554274170135</v>
          </cell>
          <cell r="AP1166">
            <v>8.1837554274170135</v>
          </cell>
          <cell r="AZ1166">
            <v>8.84</v>
          </cell>
          <cell r="BT1166">
            <v>10.042584380840694</v>
          </cell>
          <cell r="BX1166">
            <v>10.042584380840694</v>
          </cell>
          <cell r="CB1166">
            <v>10.042584380840694</v>
          </cell>
          <cell r="CE1166" t="str">
            <v>14LOCAL</v>
          </cell>
          <cell r="CF1166" t="str">
            <v>14LOCAL</v>
          </cell>
          <cell r="CG1166" t="str">
            <v>14LOCAL</v>
          </cell>
        </row>
        <row r="1167">
          <cell r="O1167">
            <v>14</v>
          </cell>
          <cell r="AN1167">
            <v>8.1837554274170135</v>
          </cell>
          <cell r="AO1167">
            <v>8.1837554274170135</v>
          </cell>
          <cell r="AP1167">
            <v>8.1837554274170135</v>
          </cell>
          <cell r="AZ1167">
            <v>8.84</v>
          </cell>
          <cell r="BT1167">
            <v>10.042584380840694</v>
          </cell>
          <cell r="BX1167">
            <v>10.042584380840694</v>
          </cell>
          <cell r="CB1167">
            <v>10.042584380840694</v>
          </cell>
          <cell r="CE1167" t="str">
            <v>14LOCAL</v>
          </cell>
          <cell r="CF1167" t="str">
            <v>14LOCAL</v>
          </cell>
          <cell r="CG1167" t="str">
            <v>14LOCAL</v>
          </cell>
        </row>
        <row r="1168">
          <cell r="O1168">
            <v>14</v>
          </cell>
          <cell r="AN1168">
            <v>9.7945851156190056</v>
          </cell>
          <cell r="AO1168">
            <v>9.7945851156190056</v>
          </cell>
          <cell r="AP1168">
            <v>9.7945851156190056</v>
          </cell>
          <cell r="AZ1168">
            <v>10.58</v>
          </cell>
          <cell r="BT1168">
            <v>8.7121669076637058</v>
          </cell>
          <cell r="BX1168">
            <v>8.7121669076637058</v>
          </cell>
          <cell r="CB1168">
            <v>8.7121669076637058</v>
          </cell>
          <cell r="CE1168" t="str">
            <v>14LOCAL</v>
          </cell>
          <cell r="CF1168" t="str">
            <v>14LOCAL</v>
          </cell>
          <cell r="CG1168" t="str">
            <v>14LOCAL</v>
          </cell>
        </row>
        <row r="1169">
          <cell r="O1169">
            <v>14</v>
          </cell>
          <cell r="AN1169">
            <v>1.9079999927496003</v>
          </cell>
          <cell r="AO1169">
            <v>1.9079999927496003</v>
          </cell>
          <cell r="AP1169">
            <v>1.9079999927496003</v>
          </cell>
          <cell r="AZ1169">
            <v>2.0609999999999999</v>
          </cell>
          <cell r="BT1169">
            <v>1.9079999927496003</v>
          </cell>
          <cell r="BX1169">
            <v>1.9079999927496003</v>
          </cell>
          <cell r="CB1169">
            <v>1.9079999927496003</v>
          </cell>
          <cell r="CE1169" t="str">
            <v>14EU</v>
          </cell>
          <cell r="CF1169" t="str">
            <v>14EU</v>
          </cell>
          <cell r="CG1169" t="str">
            <v>14EU</v>
          </cell>
        </row>
        <row r="1170">
          <cell r="O1170">
            <v>14</v>
          </cell>
          <cell r="AN1170">
            <v>1.9079999927496003</v>
          </cell>
          <cell r="AO1170">
            <v>1.9079999927496003</v>
          </cell>
          <cell r="AP1170">
            <v>1.9079999927496003</v>
          </cell>
          <cell r="AZ1170">
            <v>2.0609999999999999</v>
          </cell>
          <cell r="BT1170">
            <v>1.9079999927496003</v>
          </cell>
          <cell r="BX1170">
            <v>1.9079999927496003</v>
          </cell>
          <cell r="CB1170">
            <v>1.9079999927496003</v>
          </cell>
          <cell r="CE1170" t="str">
            <v>14EU</v>
          </cell>
          <cell r="CF1170" t="str">
            <v>14EU</v>
          </cell>
          <cell r="CG1170" t="str">
            <v>14EU</v>
          </cell>
        </row>
        <row r="1171">
          <cell r="O1171">
            <v>14</v>
          </cell>
          <cell r="AN1171">
            <v>1.434934492363843</v>
          </cell>
          <cell r="AO1171">
            <v>1.434934492363843</v>
          </cell>
          <cell r="AP1171">
            <v>1.434934492363843</v>
          </cell>
          <cell r="AZ1171">
            <v>1.55</v>
          </cell>
          <cell r="BT1171">
            <v>1.434934492363843</v>
          </cell>
          <cell r="BX1171">
            <v>1.434934492363843</v>
          </cell>
          <cell r="CB1171">
            <v>1.434934492363843</v>
          </cell>
          <cell r="CE1171" t="str">
            <v>14EU</v>
          </cell>
          <cell r="CF1171" t="str">
            <v>14EU</v>
          </cell>
          <cell r="CG1171" t="str">
            <v>14EU</v>
          </cell>
        </row>
        <row r="1172">
          <cell r="O1172">
            <v>14</v>
          </cell>
          <cell r="AN1172">
            <v>1.434934492363843</v>
          </cell>
          <cell r="AO1172">
            <v>1.434934492363843</v>
          </cell>
          <cell r="AP1172">
            <v>1.434934492363843</v>
          </cell>
          <cell r="AZ1172">
            <v>1.55</v>
          </cell>
          <cell r="BT1172">
            <v>1.434934492363843</v>
          </cell>
          <cell r="BX1172">
            <v>1.434934492363843</v>
          </cell>
          <cell r="CB1172">
            <v>1.434934492363843</v>
          </cell>
          <cell r="CE1172" t="str">
            <v>14EU</v>
          </cell>
          <cell r="CF1172" t="str">
            <v>14EU</v>
          </cell>
          <cell r="CG1172" t="str">
            <v>14EU</v>
          </cell>
        </row>
        <row r="1173">
          <cell r="O1173">
            <v>14</v>
          </cell>
          <cell r="AN1173">
            <v>3.5086462748767517</v>
          </cell>
          <cell r="AO1173">
            <v>3.5086462748767517</v>
          </cell>
          <cell r="AP1173">
            <v>3.5086462748767517</v>
          </cell>
          <cell r="AZ1173">
            <v>3.79</v>
          </cell>
          <cell r="BT1173">
            <v>3.1217930179714934</v>
          </cell>
          <cell r="BX1173">
            <v>3.1217930179714934</v>
          </cell>
          <cell r="CB1173">
            <v>3.1217930179714934</v>
          </cell>
          <cell r="CE1173" t="str">
            <v>14LOCAL</v>
          </cell>
          <cell r="CF1173" t="str">
            <v>14LOCAL</v>
          </cell>
          <cell r="CG1173" t="str">
            <v>14LOCAL</v>
          </cell>
        </row>
        <row r="1174">
          <cell r="O1174">
            <v>14</v>
          </cell>
          <cell r="AN1174">
            <v>3.5086462748767517</v>
          </cell>
          <cell r="AO1174">
            <v>3.5086462748767517</v>
          </cell>
          <cell r="AP1174">
            <v>3.5086462748767517</v>
          </cell>
          <cell r="AZ1174">
            <v>3.79</v>
          </cell>
          <cell r="BT1174">
            <v>3.1217930179714934</v>
          </cell>
          <cell r="BX1174">
            <v>3.1217930179714934</v>
          </cell>
          <cell r="CB1174">
            <v>3.1217930179714934</v>
          </cell>
          <cell r="CE1174" t="str">
            <v>14LOCAL</v>
          </cell>
          <cell r="CF1174" t="str">
            <v>14LOCAL</v>
          </cell>
          <cell r="CG1174" t="str">
            <v>14LOCAL</v>
          </cell>
        </row>
        <row r="1175">
          <cell r="O1175">
            <v>14</v>
          </cell>
          <cell r="AN1175">
            <v>1.6015720463157732</v>
          </cell>
          <cell r="AO1175">
            <v>1.6015720463157732</v>
          </cell>
          <cell r="AP1175">
            <v>1.6015720463157732</v>
          </cell>
          <cell r="AZ1175">
            <v>1.73</v>
          </cell>
          <cell r="BT1175">
            <v>1.6015720463157732</v>
          </cell>
          <cell r="BX1175">
            <v>1.6015720463157732</v>
          </cell>
          <cell r="CB1175">
            <v>1.6015720463157732</v>
          </cell>
          <cell r="CE1175" t="str">
            <v>14EU</v>
          </cell>
          <cell r="CF1175" t="str">
            <v>14EU</v>
          </cell>
          <cell r="CG1175" t="str">
            <v>14EU</v>
          </cell>
        </row>
        <row r="1176">
          <cell r="O1176">
            <v>14</v>
          </cell>
          <cell r="AN1176">
            <v>1.6015720463157732</v>
          </cell>
          <cell r="AO1176">
            <v>1.6015720463157732</v>
          </cell>
          <cell r="AP1176">
            <v>1.6015720463157732</v>
          </cell>
          <cell r="AZ1176">
            <v>1.73</v>
          </cell>
          <cell r="BT1176">
            <v>1.6015720463157732</v>
          </cell>
          <cell r="BX1176">
            <v>1.6015720463157732</v>
          </cell>
          <cell r="CB1176">
            <v>1.6015720463157732</v>
          </cell>
          <cell r="CE1176" t="str">
            <v>14EU</v>
          </cell>
          <cell r="CF1176" t="str">
            <v>14EU</v>
          </cell>
          <cell r="CG1176" t="str">
            <v>14EU</v>
          </cell>
        </row>
        <row r="1177">
          <cell r="O1177">
            <v>14</v>
          </cell>
          <cell r="AN1177">
            <v>0.12960698640705678</v>
          </cell>
          <cell r="AO1177">
            <v>0.12960698640705678</v>
          </cell>
          <cell r="AP1177">
            <v>0.12960698640705678</v>
          </cell>
          <cell r="AZ1177">
            <v>0.14000000000000001</v>
          </cell>
          <cell r="BT1177">
            <v>0.54472825887785381</v>
          </cell>
          <cell r="BX1177">
            <v>0.54472825887785381</v>
          </cell>
          <cell r="CB1177">
            <v>0.54472825887785381</v>
          </cell>
          <cell r="CE1177" t="str">
            <v>14LOCAL</v>
          </cell>
          <cell r="CF1177" t="str">
            <v>14LOCAL</v>
          </cell>
          <cell r="CG1177" t="str">
            <v>14LOCAL</v>
          </cell>
        </row>
        <row r="1178">
          <cell r="O1178">
            <v>14</v>
          </cell>
          <cell r="AN1178">
            <v>0.12960698640705678</v>
          </cell>
          <cell r="AO1178">
            <v>0.12960698640705678</v>
          </cell>
          <cell r="AP1178">
            <v>0.12960698640705678</v>
          </cell>
          <cell r="AZ1178">
            <v>0.14000000000000001</v>
          </cell>
          <cell r="BT1178">
            <v>0.54472825887785381</v>
          </cell>
          <cell r="BX1178">
            <v>0.54472825887785381</v>
          </cell>
          <cell r="CB1178">
            <v>0.54472825887785381</v>
          </cell>
          <cell r="CE1178" t="str">
            <v>14LOCAL</v>
          </cell>
          <cell r="CF1178" t="str">
            <v>14LOCAL</v>
          </cell>
          <cell r="CG1178" t="str">
            <v>14LOCAL</v>
          </cell>
        </row>
        <row r="1179">
          <cell r="O1179">
            <v>14</v>
          </cell>
          <cell r="AN1179">
            <v>3.1846288088591095</v>
          </cell>
          <cell r="AO1179">
            <v>3.1846288088591095</v>
          </cell>
          <cell r="AP1179">
            <v>3.1846288088591095</v>
          </cell>
          <cell r="AZ1179">
            <v>3.44</v>
          </cell>
          <cell r="BT1179">
            <v>3.1846288088591095</v>
          </cell>
          <cell r="BX1179">
            <v>3.1846288088591095</v>
          </cell>
          <cell r="CB1179">
            <v>3.1846288088591095</v>
          </cell>
          <cell r="CE1179" t="str">
            <v>14EU</v>
          </cell>
          <cell r="CF1179" t="str">
            <v>14EU</v>
          </cell>
          <cell r="CG1179" t="str">
            <v>14EU</v>
          </cell>
        </row>
        <row r="1180">
          <cell r="O1180">
            <v>14</v>
          </cell>
          <cell r="AN1180">
            <v>3.1846288088591095</v>
          </cell>
          <cell r="AO1180">
            <v>3.1846288088591095</v>
          </cell>
          <cell r="AP1180">
            <v>3.1846288088591095</v>
          </cell>
          <cell r="AZ1180">
            <v>3.44</v>
          </cell>
          <cell r="BT1180">
            <v>3.1846288088591095</v>
          </cell>
          <cell r="BX1180">
            <v>3.1846288088591095</v>
          </cell>
          <cell r="CB1180">
            <v>3.1846288088591095</v>
          </cell>
          <cell r="CE1180" t="str">
            <v>14EU</v>
          </cell>
          <cell r="CF1180" t="str">
            <v>14EU</v>
          </cell>
          <cell r="CG1180" t="str">
            <v>14EU</v>
          </cell>
        </row>
        <row r="1181">
          <cell r="O1181">
            <v>14</v>
          </cell>
          <cell r="AN1181">
            <v>6.1285589286765427</v>
          </cell>
          <cell r="AO1181">
            <v>6.1285589286765427</v>
          </cell>
          <cell r="AP1181">
            <v>6.1285589286765427</v>
          </cell>
          <cell r="AZ1181">
            <v>6.62</v>
          </cell>
          <cell r="BT1181">
            <v>4.2217905962546265</v>
          </cell>
          <cell r="BX1181">
            <v>4.63</v>
          </cell>
          <cell r="CB1181">
            <v>7.5187553914677112</v>
          </cell>
          <cell r="CE1181" t="str">
            <v>14LOCAL</v>
          </cell>
          <cell r="CF1181" t="str">
            <v>14LOCAL</v>
          </cell>
          <cell r="CG1181" t="str">
            <v>14LOCAL</v>
          </cell>
        </row>
        <row r="1182">
          <cell r="O1182">
            <v>14</v>
          </cell>
          <cell r="AN1182">
            <v>6.1285589286765427</v>
          </cell>
          <cell r="AO1182">
            <v>6.1285589286765427</v>
          </cell>
          <cell r="AP1182">
            <v>6.1285589286765427</v>
          </cell>
          <cell r="AZ1182">
            <v>6.62</v>
          </cell>
          <cell r="BT1182">
            <v>4.2217905962546265</v>
          </cell>
          <cell r="BX1182">
            <v>4.63</v>
          </cell>
          <cell r="CB1182">
            <v>7.5187553914677112</v>
          </cell>
          <cell r="CE1182" t="str">
            <v>14LOCAL</v>
          </cell>
          <cell r="CF1182" t="str">
            <v>14LOCAL</v>
          </cell>
          <cell r="CG1182" t="str">
            <v>14LOCAL</v>
          </cell>
        </row>
        <row r="1183">
          <cell r="O1183">
            <v>14</v>
          </cell>
          <cell r="AN1183">
            <v>5.9711790166108303</v>
          </cell>
          <cell r="AO1183">
            <v>5.9711790166108303</v>
          </cell>
          <cell r="AP1183">
            <v>5.9711790166108303</v>
          </cell>
          <cell r="AZ1183">
            <v>6.45</v>
          </cell>
          <cell r="BT1183">
            <v>5.9711790166108303</v>
          </cell>
          <cell r="BX1183">
            <v>5.9711790166108303</v>
          </cell>
          <cell r="CB1183">
            <v>5.9711790166108303</v>
          </cell>
          <cell r="CE1183" t="str">
            <v>14EU</v>
          </cell>
          <cell r="CF1183" t="str">
            <v>14EU</v>
          </cell>
          <cell r="CG1183" t="str">
            <v>14EU</v>
          </cell>
        </row>
        <row r="1184">
          <cell r="O1184">
            <v>14</v>
          </cell>
          <cell r="AN1184">
            <v>5.9711790166108303</v>
          </cell>
          <cell r="AO1184">
            <v>5.9711790166108303</v>
          </cell>
          <cell r="AP1184">
            <v>5.9711790166108303</v>
          </cell>
          <cell r="AZ1184">
            <v>6.45</v>
          </cell>
          <cell r="BT1184">
            <v>5.9711790166108303</v>
          </cell>
          <cell r="BX1184">
            <v>5.9711790166108303</v>
          </cell>
          <cell r="CB1184">
            <v>5.9711790166108303</v>
          </cell>
          <cell r="CE1184" t="str">
            <v>14EU</v>
          </cell>
          <cell r="CF1184" t="str">
            <v>14EU</v>
          </cell>
          <cell r="CG1184" t="str">
            <v>14EU</v>
          </cell>
        </row>
        <row r="1185">
          <cell r="O1185">
            <v>14</v>
          </cell>
          <cell r="AN1185">
            <v>10.016999961935401</v>
          </cell>
          <cell r="AO1185">
            <v>0</v>
          </cell>
          <cell r="AP1185">
            <v>0</v>
          </cell>
          <cell r="AZ1185">
            <v>0</v>
          </cell>
          <cell r="BT1185">
            <v>10.026009961901163</v>
          </cell>
          <cell r="BX1185">
            <v>0</v>
          </cell>
          <cell r="CB1185">
            <v>0</v>
          </cell>
          <cell r="CE1185" t="str">
            <v>14LOCAL</v>
          </cell>
          <cell r="CF1185" t="str">
            <v>14LOCAL</v>
          </cell>
          <cell r="CG1185" t="str">
            <v>14LOCAL</v>
          </cell>
        </row>
        <row r="1186">
          <cell r="O1186">
            <v>14</v>
          </cell>
          <cell r="AN1186">
            <v>0</v>
          </cell>
          <cell r="AO1186">
            <v>10.016999961935401</v>
          </cell>
          <cell r="AP1186">
            <v>10.016999961935401</v>
          </cell>
          <cell r="AZ1186">
            <v>10.82025</v>
          </cell>
          <cell r="BT1186">
            <v>0</v>
          </cell>
          <cell r="BX1186">
            <v>10.027599961895122</v>
          </cell>
          <cell r="CB1186">
            <v>10.027599961895122</v>
          </cell>
          <cell r="CE1186" t="str">
            <v>14LOCAL</v>
          </cell>
          <cell r="CF1186" t="str">
            <v>14LOCAL</v>
          </cell>
          <cell r="CG1186" t="str">
            <v>14LOCAL</v>
          </cell>
        </row>
        <row r="1187">
          <cell r="O1187">
            <v>14</v>
          </cell>
          <cell r="AN1187">
            <v>0</v>
          </cell>
          <cell r="AO1187">
            <v>10.016999961935401</v>
          </cell>
          <cell r="AP1187">
            <v>10.016999961935401</v>
          </cell>
          <cell r="AZ1187">
            <v>10.82025</v>
          </cell>
          <cell r="BT1187">
            <v>0</v>
          </cell>
          <cell r="BX1187">
            <v>10.026009961901163</v>
          </cell>
          <cell r="CB1187">
            <v>10.026009961901163</v>
          </cell>
          <cell r="CE1187" t="str">
            <v>14LOCAL</v>
          </cell>
          <cell r="CF1187" t="str">
            <v>14LOCAL</v>
          </cell>
          <cell r="CG1187" t="str">
            <v>14LOCAL</v>
          </cell>
        </row>
        <row r="1188">
          <cell r="O1188">
            <v>14</v>
          </cell>
          <cell r="AN1188">
            <v>10.016999961935401</v>
          </cell>
          <cell r="AO1188">
            <v>0</v>
          </cell>
          <cell r="AP1188">
            <v>0</v>
          </cell>
          <cell r="AZ1188">
            <v>0</v>
          </cell>
          <cell r="BT1188">
            <v>10.027599961895122</v>
          </cell>
          <cell r="BX1188">
            <v>0</v>
          </cell>
          <cell r="CB1188">
            <v>0</v>
          </cell>
          <cell r="CE1188" t="str">
            <v>14LOCAL</v>
          </cell>
          <cell r="CF1188" t="str">
            <v>14LOCAL</v>
          </cell>
          <cell r="CG1188" t="str">
            <v>14LOCAL</v>
          </cell>
        </row>
        <row r="1189">
          <cell r="O1189">
            <v>14</v>
          </cell>
          <cell r="AN1189">
            <v>3.9347199850480643</v>
          </cell>
          <cell r="AO1189">
            <v>3.9347199850480643</v>
          </cell>
          <cell r="AP1189">
            <v>3.9347199850480643</v>
          </cell>
          <cell r="AZ1189">
            <v>4.2502399999999998</v>
          </cell>
          <cell r="BT1189">
            <v>3.9347199850480643</v>
          </cell>
          <cell r="BX1189">
            <v>3.9347199850480643</v>
          </cell>
          <cell r="CB1189">
            <v>3.9347199850480643</v>
          </cell>
          <cell r="CE1189" t="str">
            <v>14EU</v>
          </cell>
          <cell r="CF1189" t="str">
            <v>14EU</v>
          </cell>
          <cell r="CG1189" t="str">
            <v>14EU</v>
          </cell>
        </row>
        <row r="1190">
          <cell r="O1190">
            <v>14</v>
          </cell>
          <cell r="AN1190">
            <v>0</v>
          </cell>
          <cell r="AO1190">
            <v>19.181833988244403</v>
          </cell>
          <cell r="AP1190">
            <v>0</v>
          </cell>
          <cell r="AZ1190">
            <v>20.72</v>
          </cell>
          <cell r="BT1190">
            <v>0</v>
          </cell>
          <cell r="BX1190">
            <v>19.181833988244403</v>
          </cell>
          <cell r="CB1190">
            <v>0</v>
          </cell>
          <cell r="CE1190" t="str">
            <v>14EU</v>
          </cell>
          <cell r="CF1190" t="str">
            <v>14EU</v>
          </cell>
          <cell r="CG1190" t="str">
            <v>14EU</v>
          </cell>
        </row>
        <row r="1191">
          <cell r="O1191">
            <v>14</v>
          </cell>
          <cell r="AN1191">
            <v>21.440698608481679</v>
          </cell>
          <cell r="AO1191">
            <v>0</v>
          </cell>
          <cell r="AP1191">
            <v>21.440698608481679</v>
          </cell>
          <cell r="AZ1191">
            <v>0</v>
          </cell>
          <cell r="BT1191">
            <v>21.440698608481679</v>
          </cell>
          <cell r="BX1191">
            <v>0</v>
          </cell>
          <cell r="CB1191">
            <v>21.440698608481679</v>
          </cell>
          <cell r="CE1191" t="str">
            <v>14EU</v>
          </cell>
          <cell r="CF1191" t="str">
            <v>14EU</v>
          </cell>
          <cell r="CG1191" t="str">
            <v>14EU</v>
          </cell>
        </row>
        <row r="1192">
          <cell r="O1192">
            <v>14</v>
          </cell>
          <cell r="AN1192">
            <v>15.080698632649678</v>
          </cell>
          <cell r="AO1192">
            <v>15.080698632649678</v>
          </cell>
          <cell r="AP1192">
            <v>15.080698632649678</v>
          </cell>
          <cell r="AZ1192">
            <v>16.29</v>
          </cell>
          <cell r="BT1192">
            <v>15.080698632649678</v>
          </cell>
          <cell r="BX1192">
            <v>15.080698632649678</v>
          </cell>
          <cell r="CB1192">
            <v>15.080698632649678</v>
          </cell>
          <cell r="CE1192" t="str">
            <v>14EU</v>
          </cell>
          <cell r="CF1192" t="str">
            <v>14EU</v>
          </cell>
          <cell r="CG1192" t="str">
            <v>14EU</v>
          </cell>
        </row>
        <row r="1193">
          <cell r="O1193">
            <v>14</v>
          </cell>
          <cell r="AN1193">
            <v>15.080698632649678</v>
          </cell>
          <cell r="AO1193">
            <v>15.080698632649678</v>
          </cell>
          <cell r="AP1193">
            <v>15.080698632649678</v>
          </cell>
          <cell r="AZ1193">
            <v>16.29</v>
          </cell>
          <cell r="BT1193">
            <v>15.080698632649678</v>
          </cell>
          <cell r="BX1193">
            <v>15.080698632649678</v>
          </cell>
          <cell r="CB1193">
            <v>15.080698632649678</v>
          </cell>
          <cell r="CE1193" t="str">
            <v>14EU</v>
          </cell>
          <cell r="CF1193" t="str">
            <v>14EU</v>
          </cell>
          <cell r="CG1193" t="str">
            <v>14EU</v>
          </cell>
        </row>
        <row r="1194">
          <cell r="O1194">
            <v>14</v>
          </cell>
          <cell r="AN1194">
            <v>2.7587772820930661</v>
          </cell>
          <cell r="AO1194">
            <v>2.7587772820930661</v>
          </cell>
          <cell r="AP1194">
            <v>2.7587772820930661</v>
          </cell>
          <cell r="AZ1194">
            <v>2.98</v>
          </cell>
          <cell r="BT1194">
            <v>2.7587772820930661</v>
          </cell>
          <cell r="BX1194">
            <v>2.7587772820930661</v>
          </cell>
          <cell r="CB1194">
            <v>2.7587772820930661</v>
          </cell>
          <cell r="CE1194" t="str">
            <v>14EU</v>
          </cell>
          <cell r="CF1194" t="str">
            <v>14EU</v>
          </cell>
          <cell r="CG1194" t="str">
            <v>14EU</v>
          </cell>
        </row>
        <row r="1195">
          <cell r="O1195">
            <v>14</v>
          </cell>
          <cell r="AN1195">
            <v>1.328471610672332</v>
          </cell>
          <cell r="AO1195">
            <v>1.328471610672332</v>
          </cell>
          <cell r="AP1195">
            <v>1.328471610672332</v>
          </cell>
          <cell r="AZ1195">
            <v>1.4350000000000001</v>
          </cell>
          <cell r="BT1195">
            <v>1.328471610672332</v>
          </cell>
          <cell r="BX1195">
            <v>1.328471610672332</v>
          </cell>
          <cell r="CB1195">
            <v>1.328471610672332</v>
          </cell>
          <cell r="CE1195" t="str">
            <v>14EU</v>
          </cell>
          <cell r="CF1195" t="str">
            <v>14EU</v>
          </cell>
          <cell r="CG1195" t="str">
            <v>14EU</v>
          </cell>
        </row>
        <row r="1196">
          <cell r="O1196">
            <v>14</v>
          </cell>
          <cell r="AN1196">
            <v>1.328471610672332</v>
          </cell>
          <cell r="AO1196">
            <v>1.328471610672332</v>
          </cell>
          <cell r="AP1196">
            <v>1.328471610672332</v>
          </cell>
          <cell r="AZ1196">
            <v>1.4350000000000001</v>
          </cell>
          <cell r="BT1196">
            <v>1.328471610672332</v>
          </cell>
          <cell r="BX1196">
            <v>1.328471610672332</v>
          </cell>
          <cell r="CB1196">
            <v>1.328471610672332</v>
          </cell>
          <cell r="CE1196" t="str">
            <v>14EU</v>
          </cell>
          <cell r="CF1196" t="str">
            <v>14EU</v>
          </cell>
          <cell r="CG1196" t="str">
            <v>14EU</v>
          </cell>
        </row>
        <row r="1197">
          <cell r="O1197">
            <v>14</v>
          </cell>
          <cell r="AN1197">
            <v>1.3304740386123211</v>
          </cell>
          <cell r="AO1197">
            <v>1.3304740386123211</v>
          </cell>
          <cell r="AP1197">
            <v>1.3304740386123211</v>
          </cell>
          <cell r="AZ1197">
            <v>1.437163</v>
          </cell>
          <cell r="BT1197">
            <v>1.3304740386123211</v>
          </cell>
          <cell r="BX1197">
            <v>1.3304740386123211</v>
          </cell>
          <cell r="CB1197">
            <v>1.3304740386123211</v>
          </cell>
          <cell r="CE1197" t="str">
            <v>14EU</v>
          </cell>
          <cell r="CF1197" t="str">
            <v>14EU</v>
          </cell>
          <cell r="CG1197" t="str">
            <v>14EU</v>
          </cell>
        </row>
        <row r="1198">
          <cell r="O1198">
            <v>14</v>
          </cell>
          <cell r="AN1198">
            <v>1.3304740386123211</v>
          </cell>
          <cell r="AO1198">
            <v>1.3304740386123211</v>
          </cell>
          <cell r="AP1198">
            <v>1.3304740386123211</v>
          </cell>
          <cell r="AZ1198">
            <v>1.437163</v>
          </cell>
          <cell r="BT1198">
            <v>1.3304740386123211</v>
          </cell>
          <cell r="BX1198">
            <v>1.3304740386123211</v>
          </cell>
          <cell r="CB1198">
            <v>1.3304740386123211</v>
          </cell>
          <cell r="CE1198" t="str">
            <v>14EU</v>
          </cell>
          <cell r="CF1198" t="str">
            <v>14EU</v>
          </cell>
          <cell r="CG1198" t="str">
            <v>14EU</v>
          </cell>
        </row>
        <row r="1199">
          <cell r="O1199">
            <v>14</v>
          </cell>
          <cell r="AN1199">
            <v>0</v>
          </cell>
          <cell r="AO1199">
            <v>0</v>
          </cell>
          <cell r="AP1199">
            <v>0.703580783352594</v>
          </cell>
          <cell r="AZ1199">
            <v>0</v>
          </cell>
          <cell r="BT1199">
            <v>0</v>
          </cell>
          <cell r="BX1199">
            <v>0</v>
          </cell>
          <cell r="CB1199">
            <v>0.703580783352594</v>
          </cell>
          <cell r="CE1199" t="str">
            <v>14EU</v>
          </cell>
          <cell r="CF1199" t="str">
            <v>14EU</v>
          </cell>
          <cell r="CG1199" t="str">
            <v>14EU</v>
          </cell>
        </row>
        <row r="1200">
          <cell r="O1200">
            <v>14</v>
          </cell>
          <cell r="AN1200">
            <v>3.6845414707149002</v>
          </cell>
          <cell r="AO1200">
            <v>3.6845414707149002</v>
          </cell>
          <cell r="AP1200">
            <v>3.6845414707149002</v>
          </cell>
          <cell r="AZ1200">
            <v>3.98</v>
          </cell>
          <cell r="BT1200">
            <v>3.6845414707149002</v>
          </cell>
          <cell r="BX1200">
            <v>3.6845414707149002</v>
          </cell>
          <cell r="CB1200">
            <v>3.6845414707149002</v>
          </cell>
          <cell r="CE1200" t="str">
            <v>14EU</v>
          </cell>
          <cell r="CF1200" t="str">
            <v>14EU</v>
          </cell>
          <cell r="CG1200" t="str">
            <v>14EU</v>
          </cell>
        </row>
        <row r="1201">
          <cell r="O1201">
            <v>14</v>
          </cell>
          <cell r="AN1201">
            <v>0</v>
          </cell>
          <cell r="AO1201">
            <v>0</v>
          </cell>
          <cell r="AP1201">
            <v>0</v>
          </cell>
          <cell r="AZ1201">
            <v>0</v>
          </cell>
          <cell r="BT1201">
            <v>0</v>
          </cell>
          <cell r="BX1201">
            <v>0</v>
          </cell>
          <cell r="CB1201">
            <v>0</v>
          </cell>
          <cell r="CE1201" t="str">
            <v>14EU</v>
          </cell>
          <cell r="CF1201" t="str">
            <v>14EU</v>
          </cell>
          <cell r="CG1201" t="str">
            <v>14EU</v>
          </cell>
        </row>
        <row r="1202">
          <cell r="O1202">
            <v>14</v>
          </cell>
          <cell r="AN1202">
            <v>0</v>
          </cell>
          <cell r="AO1202">
            <v>0</v>
          </cell>
          <cell r="AP1202">
            <v>0</v>
          </cell>
          <cell r="AZ1202">
            <v>0</v>
          </cell>
          <cell r="BT1202">
            <v>0</v>
          </cell>
          <cell r="BX1202">
            <v>0</v>
          </cell>
          <cell r="CB1202">
            <v>0</v>
          </cell>
          <cell r="CE1202" t="str">
            <v>14EU</v>
          </cell>
          <cell r="CF1202" t="str">
            <v>14EU</v>
          </cell>
          <cell r="CG1202" t="str">
            <v>14EU</v>
          </cell>
        </row>
        <row r="1203">
          <cell r="O1203">
            <v>14</v>
          </cell>
          <cell r="AN1203">
            <v>31.799999879160005</v>
          </cell>
          <cell r="AO1203">
            <v>0</v>
          </cell>
          <cell r="AP1203">
            <v>0</v>
          </cell>
          <cell r="AZ1203">
            <v>0</v>
          </cell>
          <cell r="BT1203">
            <v>26.452458257779433</v>
          </cell>
          <cell r="BX1203">
            <v>0</v>
          </cell>
          <cell r="CB1203">
            <v>0</v>
          </cell>
          <cell r="CE1203" t="str">
            <v>14LOCAL</v>
          </cell>
          <cell r="CF1203" t="str">
            <v>14LOCAL</v>
          </cell>
          <cell r="CG1203" t="str">
            <v>14LOCAL</v>
          </cell>
        </row>
        <row r="1204">
          <cell r="O1204">
            <v>14</v>
          </cell>
          <cell r="AN1204">
            <v>0</v>
          </cell>
          <cell r="AO1204">
            <v>25.439999903328005</v>
          </cell>
          <cell r="AP1204">
            <v>0</v>
          </cell>
          <cell r="AZ1204">
            <v>27.48</v>
          </cell>
          <cell r="BT1204">
            <v>0</v>
          </cell>
          <cell r="BX1204">
            <v>19.032289704465835</v>
          </cell>
          <cell r="CB1204">
            <v>0</v>
          </cell>
          <cell r="CE1204" t="str">
            <v>14LOCAL</v>
          </cell>
          <cell r="CF1204" t="str">
            <v>14LOCAL</v>
          </cell>
          <cell r="CG1204" t="str">
            <v>14LOCAL</v>
          </cell>
        </row>
        <row r="1205">
          <cell r="O1205">
            <v>14</v>
          </cell>
          <cell r="AN1205">
            <v>0</v>
          </cell>
          <cell r="AO1205">
            <v>0</v>
          </cell>
          <cell r="AP1205">
            <v>25.439999903328005</v>
          </cell>
          <cell r="AZ1205">
            <v>0</v>
          </cell>
          <cell r="BT1205">
            <v>0</v>
          </cell>
          <cell r="BX1205">
            <v>0</v>
          </cell>
          <cell r="CB1205">
            <v>19.032289704465835</v>
          </cell>
          <cell r="CE1205" t="str">
            <v>14LOCAL</v>
          </cell>
          <cell r="CF1205" t="str">
            <v>14LOCAL</v>
          </cell>
          <cell r="CG1205" t="str">
            <v>14LOCAL</v>
          </cell>
        </row>
        <row r="1206">
          <cell r="O1206">
            <v>14</v>
          </cell>
          <cell r="AN1206">
            <v>0</v>
          </cell>
          <cell r="AO1206">
            <v>0</v>
          </cell>
          <cell r="AP1206">
            <v>0</v>
          </cell>
          <cell r="AZ1206">
            <v>0</v>
          </cell>
          <cell r="BT1206">
            <v>0</v>
          </cell>
          <cell r="BX1206">
            <v>0</v>
          </cell>
          <cell r="CB1206">
            <v>0</v>
          </cell>
          <cell r="CE1206" t="str">
            <v>14EU</v>
          </cell>
          <cell r="CF1206" t="str">
            <v>14EU</v>
          </cell>
          <cell r="CG1206" t="str">
            <v>14EU</v>
          </cell>
        </row>
        <row r="1207">
          <cell r="O1207">
            <v>14</v>
          </cell>
          <cell r="AN1207">
            <v>31.481999880368406</v>
          </cell>
          <cell r="AO1207">
            <v>0</v>
          </cell>
          <cell r="AP1207">
            <v>0</v>
          </cell>
          <cell r="AZ1207">
            <v>0</v>
          </cell>
          <cell r="BT1207">
            <v>26.575188811399862</v>
          </cell>
          <cell r="BX1207">
            <v>0</v>
          </cell>
          <cell r="CB1207">
            <v>0</v>
          </cell>
          <cell r="CE1207" t="str">
            <v>14LOCAL</v>
          </cell>
          <cell r="CF1207" t="str">
            <v>14LOCAL</v>
          </cell>
          <cell r="CG1207" t="str">
            <v>14LOCAL</v>
          </cell>
        </row>
        <row r="1208">
          <cell r="O1208">
            <v>14</v>
          </cell>
          <cell r="AN1208">
            <v>0</v>
          </cell>
          <cell r="AO1208">
            <v>25.121999904536402</v>
          </cell>
          <cell r="AP1208">
            <v>25.121999904536402</v>
          </cell>
          <cell r="AZ1208">
            <v>27.136499999999998</v>
          </cell>
          <cell r="BT1208">
            <v>0</v>
          </cell>
          <cell r="BX1208">
            <v>19.15502025808626</v>
          </cell>
          <cell r="CB1208">
            <v>19.15502025808626</v>
          </cell>
          <cell r="CE1208" t="str">
            <v>14LOCAL</v>
          </cell>
          <cell r="CF1208" t="str">
            <v>14LOCAL</v>
          </cell>
          <cell r="CG1208" t="str">
            <v>14LOCAL</v>
          </cell>
        </row>
        <row r="1209">
          <cell r="O1209">
            <v>14</v>
          </cell>
          <cell r="AN1209">
            <v>0.99639999621368014</v>
          </cell>
          <cell r="AO1209">
            <v>0.99639999621368014</v>
          </cell>
          <cell r="AP1209">
            <v>0.99639999621368014</v>
          </cell>
          <cell r="AZ1209">
            <v>1.0763</v>
          </cell>
          <cell r="BT1209">
            <v>0.99639999621368014</v>
          </cell>
          <cell r="BX1209">
            <v>0.99639999621368014</v>
          </cell>
          <cell r="CB1209">
            <v>0.99639999621368014</v>
          </cell>
          <cell r="CE1209" t="str">
            <v>14EU</v>
          </cell>
          <cell r="CF1209" t="str">
            <v>14EU</v>
          </cell>
          <cell r="CG1209" t="str">
            <v>14EU</v>
          </cell>
        </row>
        <row r="1210">
          <cell r="O1210">
            <v>14</v>
          </cell>
          <cell r="AN1210">
            <v>0.99639999621368014</v>
          </cell>
          <cell r="AO1210">
            <v>0.99639999621368014</v>
          </cell>
          <cell r="AP1210">
            <v>0.99639999621368014</v>
          </cell>
          <cell r="AZ1210">
            <v>1.0763</v>
          </cell>
          <cell r="BT1210">
            <v>0.99639999621368014</v>
          </cell>
          <cell r="BX1210">
            <v>0.99639999621368014</v>
          </cell>
          <cell r="CB1210">
            <v>0.99639999621368014</v>
          </cell>
          <cell r="CE1210" t="str">
            <v>14EU</v>
          </cell>
          <cell r="CF1210" t="str">
            <v>14EU</v>
          </cell>
          <cell r="CG1210" t="str">
            <v>14EU</v>
          </cell>
        </row>
        <row r="1211">
          <cell r="O1211">
            <v>14</v>
          </cell>
          <cell r="AN1211">
            <v>0</v>
          </cell>
          <cell r="AO1211">
            <v>0</v>
          </cell>
          <cell r="AP1211">
            <v>0</v>
          </cell>
          <cell r="AZ1211">
            <v>0</v>
          </cell>
          <cell r="BT1211">
            <v>0</v>
          </cell>
          <cell r="BX1211">
            <v>0</v>
          </cell>
          <cell r="CB1211">
            <v>0</v>
          </cell>
          <cell r="CE1211" t="str">
            <v>14EU</v>
          </cell>
          <cell r="CF1211" t="str">
            <v>14EU</v>
          </cell>
          <cell r="CG1211" t="str">
            <v>14EU</v>
          </cell>
        </row>
        <row r="1212">
          <cell r="O1212">
            <v>14</v>
          </cell>
          <cell r="AN1212">
            <v>0</v>
          </cell>
          <cell r="AO1212">
            <v>0</v>
          </cell>
          <cell r="AP1212">
            <v>0</v>
          </cell>
          <cell r="AZ1212">
            <v>0</v>
          </cell>
          <cell r="BT1212">
            <v>0</v>
          </cell>
          <cell r="BX1212">
            <v>0</v>
          </cell>
          <cell r="CB1212">
            <v>0</v>
          </cell>
          <cell r="CE1212" t="str">
            <v>14EU</v>
          </cell>
          <cell r="CF1212" t="str">
            <v>14EU</v>
          </cell>
          <cell r="CG1212" t="str">
            <v>14EU</v>
          </cell>
        </row>
        <row r="1213">
          <cell r="O1213">
            <v>14</v>
          </cell>
          <cell r="AN1213">
            <v>0</v>
          </cell>
          <cell r="AO1213">
            <v>0</v>
          </cell>
          <cell r="AP1213">
            <v>0</v>
          </cell>
          <cell r="AZ1213">
            <v>0</v>
          </cell>
          <cell r="BT1213">
            <v>0</v>
          </cell>
          <cell r="BX1213">
            <v>0</v>
          </cell>
          <cell r="CB1213">
            <v>0</v>
          </cell>
          <cell r="CE1213" t="str">
            <v>14EU</v>
          </cell>
          <cell r="CF1213" t="str">
            <v>14EU</v>
          </cell>
          <cell r="CG1213" t="str">
            <v>14EU</v>
          </cell>
        </row>
        <row r="1214">
          <cell r="O1214">
            <v>14</v>
          </cell>
          <cell r="AN1214">
            <v>0</v>
          </cell>
          <cell r="AO1214">
            <v>0</v>
          </cell>
          <cell r="AP1214">
            <v>0</v>
          </cell>
          <cell r="AZ1214">
            <v>0</v>
          </cell>
          <cell r="BT1214">
            <v>0</v>
          </cell>
          <cell r="BX1214">
            <v>0</v>
          </cell>
          <cell r="CB1214">
            <v>0</v>
          </cell>
          <cell r="CE1214" t="str">
            <v>14EU</v>
          </cell>
          <cell r="CF1214" t="str">
            <v>14EU</v>
          </cell>
          <cell r="CG1214" t="str">
            <v>14EU</v>
          </cell>
        </row>
        <row r="1215">
          <cell r="O1215">
            <v>14</v>
          </cell>
          <cell r="AN1215">
            <v>0</v>
          </cell>
          <cell r="AO1215">
            <v>0</v>
          </cell>
          <cell r="AP1215">
            <v>0</v>
          </cell>
          <cell r="AZ1215">
            <v>0</v>
          </cell>
          <cell r="BT1215">
            <v>0</v>
          </cell>
          <cell r="BX1215">
            <v>0</v>
          </cell>
          <cell r="CB1215">
            <v>0</v>
          </cell>
          <cell r="CE1215" t="str">
            <v>14EU</v>
          </cell>
          <cell r="CF1215" t="str">
            <v>14EU</v>
          </cell>
          <cell r="CG1215" t="str">
            <v>14EU</v>
          </cell>
        </row>
        <row r="1216">
          <cell r="O1216">
            <v>14</v>
          </cell>
          <cell r="AN1216">
            <v>0</v>
          </cell>
          <cell r="AO1216">
            <v>0</v>
          </cell>
          <cell r="AP1216">
            <v>0</v>
          </cell>
          <cell r="AZ1216">
            <v>0</v>
          </cell>
          <cell r="BT1216">
            <v>0</v>
          </cell>
          <cell r="BX1216">
            <v>0</v>
          </cell>
          <cell r="CB1216">
            <v>0</v>
          </cell>
          <cell r="CE1216" t="str">
            <v>14EU</v>
          </cell>
          <cell r="CF1216" t="str">
            <v>14EU</v>
          </cell>
          <cell r="CG1216" t="str">
            <v>14EU</v>
          </cell>
        </row>
        <row r="1217">
          <cell r="O1217">
            <v>14</v>
          </cell>
          <cell r="AN1217">
            <v>0</v>
          </cell>
          <cell r="AO1217">
            <v>0</v>
          </cell>
          <cell r="AP1217">
            <v>0</v>
          </cell>
          <cell r="AZ1217">
            <v>0</v>
          </cell>
          <cell r="BT1217">
            <v>0</v>
          </cell>
          <cell r="BX1217">
            <v>0</v>
          </cell>
          <cell r="CB1217">
            <v>0</v>
          </cell>
          <cell r="CE1217" t="str">
            <v>14EU</v>
          </cell>
          <cell r="CF1217" t="str">
            <v>14EU</v>
          </cell>
          <cell r="CG1217" t="str">
            <v>14EU</v>
          </cell>
        </row>
        <row r="1218">
          <cell r="O1218">
            <v>14</v>
          </cell>
          <cell r="AN1218">
            <v>0</v>
          </cell>
          <cell r="AO1218">
            <v>0</v>
          </cell>
          <cell r="AP1218">
            <v>0</v>
          </cell>
          <cell r="AZ1218">
            <v>0</v>
          </cell>
          <cell r="BT1218">
            <v>0</v>
          </cell>
          <cell r="BX1218">
            <v>0</v>
          </cell>
          <cell r="CB1218">
            <v>0</v>
          </cell>
          <cell r="CE1218" t="str">
            <v>14EU</v>
          </cell>
          <cell r="CF1218" t="str">
            <v>14EU</v>
          </cell>
          <cell r="CG1218" t="str">
            <v>14EU</v>
          </cell>
        </row>
        <row r="1219">
          <cell r="O1219">
            <v>14</v>
          </cell>
          <cell r="AN1219">
            <v>5.4990392804136956</v>
          </cell>
          <cell r="AO1219">
            <v>5.4990392804136956</v>
          </cell>
          <cell r="AP1219">
            <v>5.4990392804136956</v>
          </cell>
          <cell r="AZ1219">
            <v>5.94</v>
          </cell>
          <cell r="BT1219">
            <v>6.0594422252354603</v>
          </cell>
          <cell r="BX1219">
            <v>6.0594422252354603</v>
          </cell>
          <cell r="CB1219">
            <v>6.0594422252354603</v>
          </cell>
          <cell r="CE1219" t="str">
            <v>14LOCAL</v>
          </cell>
          <cell r="CF1219" t="str">
            <v>14LOCAL</v>
          </cell>
          <cell r="CG1219" t="str">
            <v>14LOCAL</v>
          </cell>
        </row>
        <row r="1220">
          <cell r="O1220">
            <v>14</v>
          </cell>
          <cell r="AN1220">
            <v>5.4990392804136956</v>
          </cell>
          <cell r="AO1220">
            <v>5.4990392804136956</v>
          </cell>
          <cell r="AP1220">
            <v>5.4990392804136956</v>
          </cell>
          <cell r="AZ1220">
            <v>5.94</v>
          </cell>
          <cell r="BT1220">
            <v>6.0594422252354603</v>
          </cell>
          <cell r="BX1220">
            <v>6.0594422252354603</v>
          </cell>
          <cell r="CB1220">
            <v>6.0594422252354603</v>
          </cell>
          <cell r="CE1220" t="str">
            <v>14LOCAL</v>
          </cell>
          <cell r="CF1220" t="str">
            <v>14LOCAL</v>
          </cell>
          <cell r="CG1220" t="str">
            <v>14LOCAL</v>
          </cell>
        </row>
        <row r="1221">
          <cell r="O1221">
            <v>14</v>
          </cell>
          <cell r="AN1221">
            <v>7.123755431445014</v>
          </cell>
          <cell r="AO1221">
            <v>7.123755431445014</v>
          </cell>
          <cell r="AP1221">
            <v>7.123755431445014</v>
          </cell>
          <cell r="AZ1221">
            <v>7.6950000000000003</v>
          </cell>
          <cell r="BT1221">
            <v>10.037600322497893</v>
          </cell>
          <cell r="BX1221">
            <v>10.037600322497893</v>
          </cell>
          <cell r="CB1221">
            <v>10.037600322497893</v>
          </cell>
          <cell r="CE1221" t="str">
            <v>14LOCAL</v>
          </cell>
          <cell r="CF1221" t="str">
            <v>14LOCAL</v>
          </cell>
          <cell r="CG1221" t="str">
            <v>14LOCAL</v>
          </cell>
        </row>
        <row r="1222">
          <cell r="O1222">
            <v>14</v>
          </cell>
          <cell r="AN1222">
            <v>7.123755431445014</v>
          </cell>
          <cell r="AO1222">
            <v>7.123755431445014</v>
          </cell>
          <cell r="AP1222">
            <v>7.123755431445014</v>
          </cell>
          <cell r="AZ1222">
            <v>7.6950000000000003</v>
          </cell>
          <cell r="BT1222">
            <v>10.037600322497893</v>
          </cell>
          <cell r="BX1222">
            <v>10.037600322497893</v>
          </cell>
          <cell r="CB1222">
            <v>10.037600322497893</v>
          </cell>
          <cell r="CE1222" t="str">
            <v>14LOCAL</v>
          </cell>
          <cell r="CF1222" t="str">
            <v>14LOCAL</v>
          </cell>
          <cell r="CG1222" t="str">
            <v>14LOCAL</v>
          </cell>
        </row>
        <row r="1223">
          <cell r="O1223">
            <v>14</v>
          </cell>
          <cell r="AN1223">
            <v>0</v>
          </cell>
          <cell r="AO1223">
            <v>0</v>
          </cell>
          <cell r="AP1223">
            <v>0</v>
          </cell>
          <cell r="AZ1223">
            <v>0</v>
          </cell>
          <cell r="BT1223">
            <v>0</v>
          </cell>
          <cell r="BX1223">
            <v>0</v>
          </cell>
          <cell r="CB1223">
            <v>0</v>
          </cell>
          <cell r="CE1223" t="str">
            <v>14EU</v>
          </cell>
          <cell r="CF1223" t="str">
            <v>14EU</v>
          </cell>
          <cell r="CG1223" t="str">
            <v>14EU</v>
          </cell>
        </row>
        <row r="1224">
          <cell r="O1224">
            <v>14</v>
          </cell>
          <cell r="AN1224">
            <v>0</v>
          </cell>
          <cell r="AO1224">
            <v>0</v>
          </cell>
          <cell r="AP1224">
            <v>6.7097999745027614</v>
          </cell>
          <cell r="AZ1224">
            <v>0</v>
          </cell>
          <cell r="BT1224">
            <v>0</v>
          </cell>
          <cell r="BX1224">
            <v>0</v>
          </cell>
          <cell r="CB1224">
            <v>6.7097999745027614</v>
          </cell>
          <cell r="CE1224" t="str">
            <v>14EU</v>
          </cell>
          <cell r="CF1224" t="str">
            <v>14EU</v>
          </cell>
          <cell r="CG1224" t="str">
            <v>14EU</v>
          </cell>
        </row>
        <row r="1225">
          <cell r="O1225">
            <v>14</v>
          </cell>
          <cell r="AN1225">
            <v>0</v>
          </cell>
          <cell r="AO1225">
            <v>0</v>
          </cell>
          <cell r="AP1225">
            <v>0</v>
          </cell>
          <cell r="AZ1225">
            <v>0</v>
          </cell>
          <cell r="BT1225">
            <v>0</v>
          </cell>
          <cell r="BX1225">
            <v>0</v>
          </cell>
          <cell r="CB1225">
            <v>0</v>
          </cell>
          <cell r="CE1225" t="str">
            <v>14EU</v>
          </cell>
          <cell r="CF1225" t="str">
            <v>14EU</v>
          </cell>
          <cell r="CG1225" t="str">
            <v>14EU</v>
          </cell>
        </row>
        <row r="1226">
          <cell r="O1226">
            <v>14</v>
          </cell>
          <cell r="AN1226">
            <v>32.817599875293126</v>
          </cell>
          <cell r="AO1226">
            <v>32.817599875293126</v>
          </cell>
          <cell r="AP1226">
            <v>0</v>
          </cell>
          <cell r="AZ1226">
            <v>35.449200000000005</v>
          </cell>
          <cell r="BT1226">
            <v>32.817599875293126</v>
          </cell>
          <cell r="BX1226">
            <v>32.817599875293126</v>
          </cell>
          <cell r="CB1226">
            <v>0</v>
          </cell>
          <cell r="CE1226" t="str">
            <v>14EU</v>
          </cell>
          <cell r="CF1226" t="str">
            <v>14EU</v>
          </cell>
          <cell r="CG1226" t="str">
            <v>14EU</v>
          </cell>
        </row>
        <row r="1227">
          <cell r="O1227">
            <v>14</v>
          </cell>
          <cell r="AN1227">
            <v>0</v>
          </cell>
          <cell r="AO1227">
            <v>0</v>
          </cell>
          <cell r="AP1227">
            <v>0</v>
          </cell>
          <cell r="AZ1227">
            <v>0</v>
          </cell>
          <cell r="BT1227">
            <v>0</v>
          </cell>
          <cell r="BX1227">
            <v>0</v>
          </cell>
          <cell r="CB1227">
            <v>0</v>
          </cell>
          <cell r="CE1227" t="str">
            <v>14EU</v>
          </cell>
          <cell r="CF1227" t="str">
            <v>14EU</v>
          </cell>
          <cell r="CG1227" t="str">
            <v>14EU</v>
          </cell>
        </row>
        <row r="1228">
          <cell r="O1228">
            <v>14</v>
          </cell>
          <cell r="AN1228">
            <v>0</v>
          </cell>
          <cell r="AO1228">
            <v>0</v>
          </cell>
          <cell r="AP1228">
            <v>6.7117903675082982</v>
          </cell>
          <cell r="AZ1228">
            <v>0</v>
          </cell>
          <cell r="BT1228">
            <v>0</v>
          </cell>
          <cell r="BX1228">
            <v>0</v>
          </cell>
          <cell r="CB1228">
            <v>6.7117903675082982</v>
          </cell>
          <cell r="CE1228" t="str">
            <v>14EU</v>
          </cell>
          <cell r="CF1228" t="str">
            <v>14EU</v>
          </cell>
          <cell r="CG1228" t="str">
            <v>14EU</v>
          </cell>
        </row>
        <row r="1229">
          <cell r="O1229">
            <v>14</v>
          </cell>
          <cell r="AN1229">
            <v>0</v>
          </cell>
          <cell r="AO1229">
            <v>0</v>
          </cell>
          <cell r="AP1229">
            <v>0</v>
          </cell>
          <cell r="AZ1229">
            <v>0</v>
          </cell>
          <cell r="BT1229">
            <v>0</v>
          </cell>
          <cell r="BX1229">
            <v>0</v>
          </cell>
          <cell r="CB1229">
            <v>0</v>
          </cell>
          <cell r="CE1229" t="str">
            <v>14EU</v>
          </cell>
          <cell r="CF1229" t="str">
            <v>14EU</v>
          </cell>
          <cell r="CG1229" t="str">
            <v>14EU</v>
          </cell>
        </row>
        <row r="1230">
          <cell r="O1230">
            <v>14</v>
          </cell>
          <cell r="AN1230">
            <v>32.817599875293126</v>
          </cell>
          <cell r="AO1230">
            <v>32.817599875293126</v>
          </cell>
          <cell r="AP1230">
            <v>0</v>
          </cell>
          <cell r="AZ1230">
            <v>35.449200000000005</v>
          </cell>
          <cell r="BT1230">
            <v>32.817599875293126</v>
          </cell>
          <cell r="BX1230">
            <v>32.817599875293126</v>
          </cell>
          <cell r="CB1230">
            <v>0</v>
          </cell>
          <cell r="CE1230" t="str">
            <v>14EU</v>
          </cell>
          <cell r="CF1230" t="str">
            <v>14EU</v>
          </cell>
          <cell r="CG1230" t="str">
            <v>14EU</v>
          </cell>
        </row>
        <row r="1231">
          <cell r="O1231">
            <v>14</v>
          </cell>
          <cell r="AN1231">
            <v>9.1372925416975033</v>
          </cell>
          <cell r="AO1231">
            <v>9.1372925416975033</v>
          </cell>
          <cell r="AP1231">
            <v>9.1372925416975033</v>
          </cell>
          <cell r="AZ1231">
            <v>9.8699999999999992</v>
          </cell>
          <cell r="BT1231">
            <v>8.1431109274943196</v>
          </cell>
          <cell r="BX1231">
            <v>8.1431109274943196</v>
          </cell>
          <cell r="CB1231">
            <v>8.1431109274943196</v>
          </cell>
          <cell r="CE1231" t="str">
            <v>14LOCAL</v>
          </cell>
          <cell r="CF1231" t="str">
            <v>14LOCAL</v>
          </cell>
          <cell r="CG1231" t="str">
            <v>14LOCAL</v>
          </cell>
        </row>
        <row r="1232">
          <cell r="O1232">
            <v>14</v>
          </cell>
          <cell r="AN1232">
            <v>2.1199999919440002</v>
          </cell>
          <cell r="AO1232">
            <v>2.1199999919440002</v>
          </cell>
          <cell r="AP1232">
            <v>2.1199999919440002</v>
          </cell>
          <cell r="AZ1232">
            <v>2.29</v>
          </cell>
          <cell r="BT1232">
            <v>2.1199999919440002</v>
          </cell>
          <cell r="BX1232">
            <v>2.1199999919440002</v>
          </cell>
          <cell r="CB1232">
            <v>2.1199999919440002</v>
          </cell>
          <cell r="CE1232" t="str">
            <v>14EU</v>
          </cell>
          <cell r="CF1232" t="str">
            <v>14EU</v>
          </cell>
          <cell r="CG1232" t="str">
            <v>14EU</v>
          </cell>
        </row>
        <row r="1233">
          <cell r="O1233">
            <v>14</v>
          </cell>
          <cell r="AN1233">
            <v>2.1199999919440002</v>
          </cell>
          <cell r="AO1233">
            <v>2.1199999919440002</v>
          </cell>
          <cell r="AP1233">
            <v>2.1199999919440002</v>
          </cell>
          <cell r="AZ1233">
            <v>2.29</v>
          </cell>
          <cell r="BT1233">
            <v>2.1199999919440002</v>
          </cell>
          <cell r="BX1233">
            <v>2.1199999919440002</v>
          </cell>
          <cell r="CB1233">
            <v>2.1199999919440002</v>
          </cell>
          <cell r="CE1233" t="str">
            <v>14EU</v>
          </cell>
          <cell r="CF1233" t="str">
            <v>14EU</v>
          </cell>
          <cell r="CG1233" t="str">
            <v>14EU</v>
          </cell>
        </row>
        <row r="1234">
          <cell r="O1234">
            <v>14</v>
          </cell>
          <cell r="AN1234">
            <v>5.2490829494857998</v>
          </cell>
          <cell r="AO1234">
            <v>5.2490829494857998</v>
          </cell>
          <cell r="AP1234">
            <v>5.2490829494857998</v>
          </cell>
          <cell r="AZ1234">
            <v>5.67</v>
          </cell>
          <cell r="BT1234">
            <v>3.4008868692051157</v>
          </cell>
          <cell r="BX1234">
            <v>3.4008868692051157</v>
          </cell>
          <cell r="CB1234">
            <v>3.4008868692051157</v>
          </cell>
          <cell r="CE1234" t="str">
            <v>14LOCAL</v>
          </cell>
          <cell r="CF1234" t="str">
            <v>14LOCAL</v>
          </cell>
          <cell r="CG1234" t="str">
            <v>14LOCAL</v>
          </cell>
        </row>
        <row r="1235">
          <cell r="O1235">
            <v>14</v>
          </cell>
          <cell r="AN1235">
            <v>5.2490829494857998</v>
          </cell>
          <cell r="AO1235">
            <v>5.2490829494857998</v>
          </cell>
          <cell r="AP1235">
            <v>5.2490829494857998</v>
          </cell>
          <cell r="AZ1235">
            <v>5.67</v>
          </cell>
          <cell r="BT1235">
            <v>3.4008868692051157</v>
          </cell>
          <cell r="BX1235">
            <v>3.4008868692051157</v>
          </cell>
          <cell r="CB1235">
            <v>3.4008868692051157</v>
          </cell>
          <cell r="CE1235" t="str">
            <v>14LOCAL</v>
          </cell>
          <cell r="CF1235" t="str">
            <v>14LOCAL</v>
          </cell>
          <cell r="CG1235" t="str">
            <v>14LOCAL</v>
          </cell>
        </row>
        <row r="1236">
          <cell r="O1236">
            <v>14</v>
          </cell>
          <cell r="AN1236">
            <v>5.6379039087069698</v>
          </cell>
          <cell r="AO1236">
            <v>5.6379039087069698</v>
          </cell>
          <cell r="AP1236">
            <v>5.6379039087069698</v>
          </cell>
          <cell r="AZ1236">
            <v>6.09</v>
          </cell>
          <cell r="BT1236">
            <v>5.6379039087069698</v>
          </cell>
          <cell r="BX1236">
            <v>5.6379039087069698</v>
          </cell>
          <cell r="CB1236">
            <v>5.6379039087069698</v>
          </cell>
          <cell r="CE1236" t="str">
            <v>14EU</v>
          </cell>
          <cell r="CF1236" t="str">
            <v>14EU</v>
          </cell>
          <cell r="CG1236" t="str">
            <v>14EU</v>
          </cell>
        </row>
        <row r="1237">
          <cell r="O1237">
            <v>14</v>
          </cell>
          <cell r="AN1237">
            <v>5.6379039087069698</v>
          </cell>
          <cell r="AO1237">
            <v>5.6379039087069698</v>
          </cell>
          <cell r="AP1237">
            <v>5.6379039087069698</v>
          </cell>
          <cell r="AZ1237">
            <v>6.09</v>
          </cell>
          <cell r="BT1237">
            <v>5.6379039087069698</v>
          </cell>
          <cell r="BX1237">
            <v>5.6379039087069698</v>
          </cell>
          <cell r="CB1237">
            <v>5.6379039087069698</v>
          </cell>
          <cell r="CE1237" t="str">
            <v>14EU</v>
          </cell>
          <cell r="CF1237" t="str">
            <v>14EU</v>
          </cell>
          <cell r="CG1237" t="str">
            <v>14EU</v>
          </cell>
        </row>
        <row r="1238">
          <cell r="O1238">
            <v>14</v>
          </cell>
          <cell r="AN1238">
            <v>1.2189999953678001</v>
          </cell>
          <cell r="AO1238">
            <v>1.2189999953678001</v>
          </cell>
          <cell r="AP1238">
            <v>1.2189999953678001</v>
          </cell>
          <cell r="AZ1238">
            <v>1.3167499999999999</v>
          </cell>
          <cell r="BT1238">
            <v>1.2189999953678001</v>
          </cell>
          <cell r="BX1238">
            <v>1.2189999953678001</v>
          </cell>
          <cell r="CB1238">
            <v>1.2189999953678001</v>
          </cell>
          <cell r="CE1238" t="str">
            <v>14EU</v>
          </cell>
          <cell r="CF1238" t="str">
            <v>14EU</v>
          </cell>
          <cell r="CG1238" t="str">
            <v>14EU</v>
          </cell>
        </row>
        <row r="1239">
          <cell r="O1239">
            <v>14</v>
          </cell>
          <cell r="AN1239">
            <v>1.2189999953678001</v>
          </cell>
          <cell r="AO1239">
            <v>1.2189999953678001</v>
          </cell>
          <cell r="AP1239">
            <v>1.2189999953678001</v>
          </cell>
          <cell r="AZ1239">
            <v>1.3167499999999999</v>
          </cell>
          <cell r="BT1239">
            <v>1.2189999953678001</v>
          </cell>
          <cell r="BX1239">
            <v>1.2189999953678001</v>
          </cell>
          <cell r="CB1239">
            <v>1.2189999953678001</v>
          </cell>
          <cell r="CE1239" t="str">
            <v>14EU</v>
          </cell>
          <cell r="CF1239" t="str">
            <v>14EU</v>
          </cell>
          <cell r="CG1239" t="str">
            <v>14EU</v>
          </cell>
        </row>
        <row r="1240">
          <cell r="O1240">
            <v>14</v>
          </cell>
          <cell r="AN1240">
            <v>2.2496069783510571</v>
          </cell>
          <cell r="AO1240">
            <v>2.2496069783510571</v>
          </cell>
          <cell r="AP1240">
            <v>2.2496069783510571</v>
          </cell>
          <cell r="AZ1240">
            <v>2.4300000000000002</v>
          </cell>
          <cell r="BT1240">
            <v>2.2496069783510571</v>
          </cell>
          <cell r="BX1240">
            <v>2.2496069783510571</v>
          </cell>
          <cell r="CB1240">
            <v>2.2496069783510571</v>
          </cell>
          <cell r="CE1240" t="str">
            <v>14EU</v>
          </cell>
          <cell r="CF1240" t="str">
            <v>14EU</v>
          </cell>
          <cell r="CG1240" t="str">
            <v>14EU</v>
          </cell>
        </row>
        <row r="1241">
          <cell r="O1241">
            <v>14</v>
          </cell>
          <cell r="AN1241">
            <v>2.2496069783510571</v>
          </cell>
          <cell r="AO1241">
            <v>2.2496069783510571</v>
          </cell>
          <cell r="AP1241">
            <v>2.2496069783510571</v>
          </cell>
          <cell r="AZ1241">
            <v>2.4300000000000002</v>
          </cell>
          <cell r="BT1241">
            <v>2.2496069783510571</v>
          </cell>
          <cell r="BX1241">
            <v>2.2496069783510571</v>
          </cell>
          <cell r="CB1241">
            <v>2.2496069783510571</v>
          </cell>
          <cell r="CE1241" t="str">
            <v>14EU</v>
          </cell>
          <cell r="CF1241" t="str">
            <v>14EU</v>
          </cell>
          <cell r="CG1241" t="str">
            <v>14EU</v>
          </cell>
        </row>
        <row r="1242">
          <cell r="O1242">
            <v>14</v>
          </cell>
          <cell r="AN1242">
            <v>15.654672429595216</v>
          </cell>
          <cell r="AO1242">
            <v>15.654672429595216</v>
          </cell>
          <cell r="AP1242">
            <v>15.654672429595216</v>
          </cell>
          <cell r="AZ1242">
            <v>16.91</v>
          </cell>
          <cell r="BT1242">
            <v>15.654672429595216</v>
          </cell>
          <cell r="BX1242">
            <v>15.654672429595216</v>
          </cell>
          <cell r="CB1242">
            <v>15.654672429595216</v>
          </cell>
          <cell r="CE1242" t="str">
            <v>14EU</v>
          </cell>
          <cell r="CF1242" t="str">
            <v>14EU</v>
          </cell>
          <cell r="CG1242" t="str">
            <v>14EU</v>
          </cell>
        </row>
        <row r="1243">
          <cell r="O1243">
            <v>14</v>
          </cell>
          <cell r="AN1243">
            <v>15.654672429595216</v>
          </cell>
          <cell r="AO1243">
            <v>15.654672429595216</v>
          </cell>
          <cell r="AP1243">
            <v>15.654672429595216</v>
          </cell>
          <cell r="AZ1243">
            <v>16.91</v>
          </cell>
          <cell r="BT1243">
            <v>15.654672429595216</v>
          </cell>
          <cell r="BX1243">
            <v>15.654672429595216</v>
          </cell>
          <cell r="CB1243">
            <v>15.654672429595216</v>
          </cell>
          <cell r="CE1243" t="str">
            <v>14EU</v>
          </cell>
          <cell r="CF1243" t="str">
            <v>14EU</v>
          </cell>
          <cell r="CG1243" t="str">
            <v>14EU</v>
          </cell>
        </row>
        <row r="1244">
          <cell r="O1244">
            <v>14</v>
          </cell>
          <cell r="AN1244">
            <v>9.7413999629826797</v>
          </cell>
          <cell r="AO1244">
            <v>9.7413999629826797</v>
          </cell>
          <cell r="AP1244">
            <v>9.7413999629826797</v>
          </cell>
          <cell r="AZ1244">
            <v>10.522549999999999</v>
          </cell>
          <cell r="BT1244">
            <v>9.7413999629826797</v>
          </cell>
          <cell r="BX1244">
            <v>9.7413999629826797</v>
          </cell>
          <cell r="CB1244">
            <v>9.7413999629826797</v>
          </cell>
          <cell r="CE1244" t="str">
            <v>14LOCAL</v>
          </cell>
          <cell r="CF1244" t="str">
            <v>14LOCAL</v>
          </cell>
          <cell r="CG1244" t="str">
            <v>14LOCAL</v>
          </cell>
        </row>
        <row r="1245">
          <cell r="O1245">
            <v>14</v>
          </cell>
          <cell r="AN1245">
            <v>9.7413999629826797</v>
          </cell>
          <cell r="AO1245">
            <v>9.7413999629826797</v>
          </cell>
          <cell r="AP1245">
            <v>9.7413999629826797</v>
          </cell>
          <cell r="AZ1245">
            <v>10.522549999999999</v>
          </cell>
          <cell r="BT1245">
            <v>9.7413999629826797</v>
          </cell>
          <cell r="BX1245">
            <v>9.7413999629826797</v>
          </cell>
          <cell r="CB1245">
            <v>9.7413999629826797</v>
          </cell>
          <cell r="CE1245" t="str">
            <v>14LOCAL</v>
          </cell>
          <cell r="CF1245" t="str">
            <v>14LOCAL</v>
          </cell>
          <cell r="CG1245" t="str">
            <v>14LOCAL</v>
          </cell>
        </row>
        <row r="1246">
          <cell r="O1246">
            <v>14</v>
          </cell>
          <cell r="AN1246">
            <v>2.7587772820930661</v>
          </cell>
          <cell r="AO1246">
            <v>2.7587772820930661</v>
          </cell>
          <cell r="AP1246">
            <v>2.7587772820930661</v>
          </cell>
          <cell r="AZ1246">
            <v>2.98</v>
          </cell>
          <cell r="BT1246">
            <v>2.7587772820930661</v>
          </cell>
          <cell r="BX1246">
            <v>2.7587772820930661</v>
          </cell>
          <cell r="CB1246">
            <v>2.7587772820930661</v>
          </cell>
          <cell r="CE1246" t="str">
            <v>14EU</v>
          </cell>
          <cell r="CF1246" t="str">
            <v>14EU</v>
          </cell>
          <cell r="CG1246" t="str">
            <v>14EU</v>
          </cell>
        </row>
        <row r="1247">
          <cell r="O1247">
            <v>14</v>
          </cell>
          <cell r="AN1247">
            <v>1.3304740386123211</v>
          </cell>
          <cell r="AO1247">
            <v>1.3304740386123211</v>
          </cell>
          <cell r="AP1247">
            <v>1.3304740386123211</v>
          </cell>
          <cell r="AZ1247">
            <v>1.437163</v>
          </cell>
          <cell r="BT1247">
            <v>1.3304740386123211</v>
          </cell>
          <cell r="BX1247">
            <v>1.3304740386123211</v>
          </cell>
          <cell r="CB1247">
            <v>1.3304740386123211</v>
          </cell>
          <cell r="CE1247" t="str">
            <v>14EU</v>
          </cell>
          <cell r="CF1247" t="str">
            <v>14EU</v>
          </cell>
          <cell r="CG1247" t="str">
            <v>14EU</v>
          </cell>
        </row>
        <row r="1248">
          <cell r="O1248">
            <v>14</v>
          </cell>
          <cell r="AN1248">
            <v>1.3304740386123211</v>
          </cell>
          <cell r="AO1248">
            <v>1.3304740386123211</v>
          </cell>
          <cell r="AP1248">
            <v>1.3304740386123211</v>
          </cell>
          <cell r="AZ1248">
            <v>1.437163</v>
          </cell>
          <cell r="BT1248">
            <v>1.3304740386123211</v>
          </cell>
          <cell r="BX1248">
            <v>1.3304740386123211</v>
          </cell>
          <cell r="CB1248">
            <v>1.3304740386123211</v>
          </cell>
          <cell r="CE1248" t="str">
            <v>14EU</v>
          </cell>
          <cell r="CF1248" t="str">
            <v>14EU</v>
          </cell>
          <cell r="CG1248" t="str">
            <v>14EU</v>
          </cell>
        </row>
        <row r="1249">
          <cell r="O1249">
            <v>14</v>
          </cell>
          <cell r="AN1249">
            <v>1.3304740386123211</v>
          </cell>
          <cell r="AO1249">
            <v>1.3304740386123211</v>
          </cell>
          <cell r="AP1249">
            <v>1.3304740386123211</v>
          </cell>
          <cell r="AZ1249">
            <v>1.437163</v>
          </cell>
          <cell r="BT1249">
            <v>1.3304740386123211</v>
          </cell>
          <cell r="BX1249">
            <v>1.3304740386123211</v>
          </cell>
          <cell r="CB1249">
            <v>1.3304740386123211</v>
          </cell>
          <cell r="CE1249" t="str">
            <v>14EU</v>
          </cell>
          <cell r="CF1249" t="str">
            <v>14EU</v>
          </cell>
          <cell r="CG1249" t="str">
            <v>14EU</v>
          </cell>
        </row>
        <row r="1250">
          <cell r="O1250">
            <v>14</v>
          </cell>
          <cell r="AN1250">
            <v>1.3304740386123211</v>
          </cell>
          <cell r="AO1250">
            <v>1.3304740386123211</v>
          </cell>
          <cell r="AP1250">
            <v>1.3304740386123211</v>
          </cell>
          <cell r="AZ1250">
            <v>1.437163</v>
          </cell>
          <cell r="BT1250">
            <v>1.3304740386123211</v>
          </cell>
          <cell r="BX1250">
            <v>1.3304740386123211</v>
          </cell>
          <cell r="CB1250">
            <v>1.3304740386123211</v>
          </cell>
          <cell r="CE1250" t="str">
            <v>14EU</v>
          </cell>
          <cell r="CF1250" t="str">
            <v>14EU</v>
          </cell>
          <cell r="CG1250" t="str">
            <v>14EU</v>
          </cell>
        </row>
        <row r="1251">
          <cell r="O1251">
            <v>14</v>
          </cell>
          <cell r="AN1251">
            <v>3.6845414707149002</v>
          </cell>
          <cell r="AO1251">
            <v>3.6845414707149002</v>
          </cell>
          <cell r="AP1251">
            <v>3.6845414707149002</v>
          </cell>
          <cell r="AZ1251">
            <v>3.98</v>
          </cell>
          <cell r="BT1251">
            <v>3.6845414707149002</v>
          </cell>
          <cell r="BX1251">
            <v>3.6845414707149002</v>
          </cell>
          <cell r="CB1251">
            <v>3.6845414707149002</v>
          </cell>
          <cell r="CE1251" t="str">
            <v>14EU</v>
          </cell>
          <cell r="CF1251" t="str">
            <v>14EU</v>
          </cell>
          <cell r="CG1251" t="str">
            <v>14EU</v>
          </cell>
        </row>
        <row r="1252">
          <cell r="O1252">
            <v>14</v>
          </cell>
          <cell r="AN1252">
            <v>0</v>
          </cell>
          <cell r="AO1252">
            <v>15.613799940667564</v>
          </cell>
          <cell r="AP1252">
            <v>15.613799940667564</v>
          </cell>
          <cell r="AZ1252">
            <v>16.865850000000002</v>
          </cell>
          <cell r="BT1252">
            <v>0</v>
          </cell>
          <cell r="BX1252">
            <v>19.742517334433217</v>
          </cell>
          <cell r="CB1252">
            <v>19.742517334433217</v>
          </cell>
          <cell r="CE1252" t="str">
            <v>14LOCAL</v>
          </cell>
          <cell r="CF1252" t="str">
            <v>14LOCAL</v>
          </cell>
          <cell r="CG1252" t="str">
            <v>14LOCAL</v>
          </cell>
        </row>
        <row r="1253">
          <cell r="O1253">
            <v>14</v>
          </cell>
          <cell r="AN1253">
            <v>21.327199918956644</v>
          </cell>
          <cell r="AO1253">
            <v>0</v>
          </cell>
          <cell r="AP1253">
            <v>0</v>
          </cell>
          <cell r="AZ1253">
            <v>0</v>
          </cell>
          <cell r="BT1253">
            <v>19.742517334433217</v>
          </cell>
          <cell r="BX1253">
            <v>0</v>
          </cell>
          <cell r="CB1253">
            <v>0</v>
          </cell>
          <cell r="CE1253" t="str">
            <v>14LOCAL</v>
          </cell>
          <cell r="CF1253" t="str">
            <v>14LOCAL</v>
          </cell>
          <cell r="CG1253" t="str">
            <v>14LOCAL</v>
          </cell>
        </row>
        <row r="1254">
          <cell r="O1254">
            <v>14</v>
          </cell>
          <cell r="AN1254">
            <v>0</v>
          </cell>
          <cell r="AO1254">
            <v>15.613799940667564</v>
          </cell>
          <cell r="AP1254">
            <v>15.613799940667564</v>
          </cell>
          <cell r="AZ1254">
            <v>16.865850000000002</v>
          </cell>
          <cell r="BT1254">
            <v>0</v>
          </cell>
          <cell r="BX1254">
            <v>19.742517334433217</v>
          </cell>
          <cell r="CB1254">
            <v>19.742517334433217</v>
          </cell>
          <cell r="CE1254" t="str">
            <v>14LOCAL</v>
          </cell>
          <cell r="CF1254" t="str">
            <v>14LOCAL</v>
          </cell>
          <cell r="CG1254" t="str">
            <v>14LOCAL</v>
          </cell>
        </row>
        <row r="1255">
          <cell r="O1255">
            <v>14</v>
          </cell>
          <cell r="AN1255">
            <v>21.327199918956644</v>
          </cell>
          <cell r="AO1255">
            <v>0</v>
          </cell>
          <cell r="AP1255">
            <v>0</v>
          </cell>
          <cell r="AZ1255">
            <v>0</v>
          </cell>
          <cell r="BT1255">
            <v>19.742517334433217</v>
          </cell>
          <cell r="BX1255">
            <v>0</v>
          </cell>
          <cell r="CB1255">
            <v>0</v>
          </cell>
          <cell r="CE1255" t="str">
            <v>14LOCAL</v>
          </cell>
          <cell r="CF1255" t="str">
            <v>14LOCAL</v>
          </cell>
          <cell r="CG1255" t="str">
            <v>14LOCAL</v>
          </cell>
        </row>
        <row r="1256">
          <cell r="O1256">
            <v>14</v>
          </cell>
          <cell r="AN1256">
            <v>0</v>
          </cell>
          <cell r="AO1256">
            <v>0</v>
          </cell>
          <cell r="AP1256">
            <v>0</v>
          </cell>
          <cell r="AZ1256">
            <v>0</v>
          </cell>
          <cell r="BT1256">
            <v>0</v>
          </cell>
          <cell r="BX1256">
            <v>0</v>
          </cell>
          <cell r="CB1256">
            <v>0</v>
          </cell>
          <cell r="CE1256" t="str">
            <v>14EU</v>
          </cell>
          <cell r="CF1256" t="str">
            <v>14EU</v>
          </cell>
          <cell r="CG1256" t="str">
            <v>14EU</v>
          </cell>
        </row>
        <row r="1257">
          <cell r="O1257">
            <v>14</v>
          </cell>
          <cell r="AN1257">
            <v>0</v>
          </cell>
          <cell r="AO1257">
            <v>9.2576418862183422E-4</v>
          </cell>
          <cell r="AP1257">
            <v>0</v>
          </cell>
          <cell r="AZ1257">
            <v>1E-3</v>
          </cell>
          <cell r="BT1257">
            <v>0</v>
          </cell>
          <cell r="BX1257">
            <v>9.2576418862183422E-4</v>
          </cell>
          <cell r="CB1257">
            <v>0</v>
          </cell>
          <cell r="CE1257" t="str">
            <v>14EU</v>
          </cell>
          <cell r="CF1257" t="str">
            <v>14EU</v>
          </cell>
          <cell r="CG1257" t="str">
            <v>14EU</v>
          </cell>
        </row>
        <row r="1258">
          <cell r="O1258">
            <v>14</v>
          </cell>
          <cell r="AN1258">
            <v>0</v>
          </cell>
          <cell r="AO1258">
            <v>3.5364192005354065</v>
          </cell>
          <cell r="AP1258">
            <v>0</v>
          </cell>
          <cell r="AZ1258">
            <v>3.82</v>
          </cell>
          <cell r="BT1258">
            <v>0</v>
          </cell>
          <cell r="BX1258">
            <v>3.5364192005354065</v>
          </cell>
          <cell r="CB1258">
            <v>0</v>
          </cell>
          <cell r="CE1258" t="str">
            <v>14EU</v>
          </cell>
          <cell r="CF1258" t="str">
            <v>14EU</v>
          </cell>
          <cell r="CG1258" t="str">
            <v>14EU</v>
          </cell>
        </row>
        <row r="1259">
          <cell r="O1259">
            <v>14</v>
          </cell>
          <cell r="AN1259">
            <v>0</v>
          </cell>
          <cell r="AO1259">
            <v>0</v>
          </cell>
          <cell r="AP1259">
            <v>0</v>
          </cell>
          <cell r="AZ1259">
            <v>0</v>
          </cell>
          <cell r="BT1259">
            <v>0</v>
          </cell>
          <cell r="BX1259">
            <v>0</v>
          </cell>
          <cell r="CB1259">
            <v>0</v>
          </cell>
          <cell r="CE1259" t="str">
            <v>14EU</v>
          </cell>
          <cell r="CF1259" t="str">
            <v>14EU</v>
          </cell>
          <cell r="CG1259" t="str">
            <v>14EU</v>
          </cell>
        </row>
        <row r="1260">
          <cell r="O1260">
            <v>14</v>
          </cell>
          <cell r="AN1260">
            <v>0</v>
          </cell>
          <cell r="AO1260">
            <v>1.4164192085914062</v>
          </cell>
          <cell r="AP1260">
            <v>0</v>
          </cell>
          <cell r="AZ1260">
            <v>1.53</v>
          </cell>
          <cell r="BT1260">
            <v>0</v>
          </cell>
          <cell r="BX1260">
            <v>1.4164192085914062</v>
          </cell>
          <cell r="CB1260">
            <v>0</v>
          </cell>
          <cell r="CE1260" t="str">
            <v>14EU</v>
          </cell>
          <cell r="CF1260" t="str">
            <v>14EU</v>
          </cell>
          <cell r="CG1260" t="str">
            <v>14EU</v>
          </cell>
        </row>
        <row r="1261">
          <cell r="O1261">
            <v>14</v>
          </cell>
          <cell r="AN1261">
            <v>0.11109170263462009</v>
          </cell>
          <cell r="AO1261">
            <v>0.11109170263462009</v>
          </cell>
          <cell r="AP1261">
            <v>0.11109170263462009</v>
          </cell>
          <cell r="AZ1261">
            <v>0.12</v>
          </cell>
          <cell r="BT1261">
            <v>0.11109170263462009</v>
          </cell>
          <cell r="BX1261">
            <v>0.11109170263462009</v>
          </cell>
          <cell r="CB1261">
            <v>0.11109170263462009</v>
          </cell>
          <cell r="CE1261" t="str">
            <v>14EU</v>
          </cell>
          <cell r="CF1261" t="str">
            <v>14EU</v>
          </cell>
          <cell r="CG1261" t="str">
            <v>14EU</v>
          </cell>
        </row>
        <row r="1262">
          <cell r="O1262">
            <v>14</v>
          </cell>
          <cell r="AN1262">
            <v>0.14812227017949348</v>
          </cell>
          <cell r="AO1262">
            <v>0</v>
          </cell>
          <cell r="AP1262">
            <v>0.14812227017949348</v>
          </cell>
          <cell r="AZ1262">
            <v>0</v>
          </cell>
          <cell r="BT1262">
            <v>0.14812227017949348</v>
          </cell>
          <cell r="BX1262">
            <v>0</v>
          </cell>
          <cell r="CB1262">
            <v>0.14812227017949348</v>
          </cell>
          <cell r="CE1262" t="str">
            <v>14EU</v>
          </cell>
          <cell r="CF1262" t="str">
            <v>14EU</v>
          </cell>
          <cell r="CG1262" t="str">
            <v>14EU</v>
          </cell>
        </row>
        <row r="1263">
          <cell r="O1263">
            <v>14</v>
          </cell>
          <cell r="AN1263">
            <v>1.5552838368846813</v>
          </cell>
          <cell r="AO1263">
            <v>1.5552838368846813</v>
          </cell>
          <cell r="AP1263">
            <v>1.5552838368846813</v>
          </cell>
          <cell r="AZ1263">
            <v>1.68</v>
          </cell>
          <cell r="BT1263">
            <v>1.3445230329460915</v>
          </cell>
          <cell r="BX1263">
            <v>1.3445230329460915</v>
          </cell>
          <cell r="CB1263">
            <v>1.3445230329460915</v>
          </cell>
          <cell r="CE1263" t="str">
            <v>14LOCAL</v>
          </cell>
          <cell r="CF1263" t="str">
            <v>14LOCAL</v>
          </cell>
          <cell r="CG1263" t="str">
            <v>14LOCAL</v>
          </cell>
        </row>
        <row r="1264">
          <cell r="O1264">
            <v>14</v>
          </cell>
          <cell r="AN1264">
            <v>0</v>
          </cell>
          <cell r="AO1264">
            <v>0</v>
          </cell>
          <cell r="AP1264">
            <v>0.5924890807179739</v>
          </cell>
          <cell r="AZ1264">
            <v>0</v>
          </cell>
          <cell r="BT1264">
            <v>0</v>
          </cell>
          <cell r="BX1264">
            <v>0</v>
          </cell>
          <cell r="CB1264">
            <v>0.5924890807179739</v>
          </cell>
          <cell r="CE1264" t="str">
            <v>14EU</v>
          </cell>
          <cell r="CF1264" t="str">
            <v>14EU</v>
          </cell>
          <cell r="CG1264" t="str">
            <v>14EU</v>
          </cell>
        </row>
        <row r="1265">
          <cell r="O1265">
            <v>14</v>
          </cell>
          <cell r="AN1265">
            <v>0.1333100431615441</v>
          </cell>
          <cell r="AO1265">
            <v>0.1333100431615441</v>
          </cell>
          <cell r="AP1265">
            <v>0.1333100431615441</v>
          </cell>
          <cell r="AZ1265">
            <v>0.14399999999999999</v>
          </cell>
          <cell r="BT1265">
            <v>0.1333100431615441</v>
          </cell>
          <cell r="BX1265">
            <v>0.1333100431615441</v>
          </cell>
          <cell r="CB1265">
            <v>0.1333100431615441</v>
          </cell>
          <cell r="CE1265" t="str">
            <v>14EU</v>
          </cell>
          <cell r="CF1265" t="str">
            <v>14EU</v>
          </cell>
          <cell r="CG1265" t="str">
            <v>14EU</v>
          </cell>
        </row>
        <row r="1266">
          <cell r="O1266">
            <v>14</v>
          </cell>
          <cell r="AN1266">
            <v>0</v>
          </cell>
          <cell r="AO1266">
            <v>0</v>
          </cell>
          <cell r="AP1266">
            <v>0</v>
          </cell>
          <cell r="AZ1266">
            <v>0</v>
          </cell>
          <cell r="BT1266">
            <v>0</v>
          </cell>
          <cell r="BX1266">
            <v>0</v>
          </cell>
          <cell r="CB1266">
            <v>0</v>
          </cell>
          <cell r="CE1266" t="str">
            <v>14EU</v>
          </cell>
          <cell r="CF1266" t="str">
            <v>14EU</v>
          </cell>
          <cell r="CG1266" t="str">
            <v>14EU</v>
          </cell>
        </row>
        <row r="1267">
          <cell r="O1267">
            <v>14</v>
          </cell>
          <cell r="AN1267">
            <v>0</v>
          </cell>
          <cell r="AO1267">
            <v>0</v>
          </cell>
          <cell r="AP1267">
            <v>14.998999943003803</v>
          </cell>
          <cell r="AZ1267">
            <v>0</v>
          </cell>
          <cell r="BT1267">
            <v>0</v>
          </cell>
          <cell r="BX1267">
            <v>0</v>
          </cell>
          <cell r="CB1267">
            <v>14.998999943003803</v>
          </cell>
          <cell r="CE1267" t="str">
            <v>14EU</v>
          </cell>
          <cell r="CF1267" t="str">
            <v>14EU</v>
          </cell>
          <cell r="CG1267" t="str">
            <v>14EU</v>
          </cell>
        </row>
        <row r="1268">
          <cell r="O1268">
            <v>14</v>
          </cell>
          <cell r="AN1268">
            <v>0</v>
          </cell>
          <cell r="AO1268">
            <v>0</v>
          </cell>
          <cell r="AP1268">
            <v>0</v>
          </cell>
          <cell r="AZ1268">
            <v>0</v>
          </cell>
          <cell r="BT1268">
            <v>0</v>
          </cell>
          <cell r="BX1268">
            <v>0</v>
          </cell>
          <cell r="CB1268">
            <v>0</v>
          </cell>
          <cell r="CE1268" t="str">
            <v>14EU</v>
          </cell>
          <cell r="CF1268" t="str">
            <v>14EU</v>
          </cell>
          <cell r="CG1268" t="str">
            <v>14EU</v>
          </cell>
        </row>
        <row r="1269">
          <cell r="O1269">
            <v>14</v>
          </cell>
          <cell r="AN1269">
            <v>0</v>
          </cell>
          <cell r="AO1269">
            <v>0</v>
          </cell>
          <cell r="AP1269">
            <v>0</v>
          </cell>
          <cell r="AZ1269">
            <v>0</v>
          </cell>
          <cell r="BT1269">
            <v>0</v>
          </cell>
          <cell r="BX1269">
            <v>0</v>
          </cell>
          <cell r="CB1269">
            <v>0</v>
          </cell>
          <cell r="CE1269" t="str">
            <v>14EU</v>
          </cell>
          <cell r="CF1269" t="str">
            <v>14EU</v>
          </cell>
          <cell r="CG1269" t="str">
            <v>14EU</v>
          </cell>
        </row>
        <row r="1270">
          <cell r="O1270">
            <v>14</v>
          </cell>
          <cell r="AN1270">
            <v>39.877199848466645</v>
          </cell>
          <cell r="AO1270">
            <v>39.877199848466645</v>
          </cell>
          <cell r="AP1270">
            <v>0</v>
          </cell>
          <cell r="AZ1270">
            <v>43.0749</v>
          </cell>
          <cell r="BT1270">
            <v>39.877199848466645</v>
          </cell>
          <cell r="BX1270">
            <v>39.877199848466645</v>
          </cell>
          <cell r="CB1270">
            <v>0</v>
          </cell>
          <cell r="CE1270" t="str">
            <v>14EU</v>
          </cell>
          <cell r="CF1270" t="str">
            <v>14EU</v>
          </cell>
          <cell r="CG1270" t="str">
            <v>14EU</v>
          </cell>
        </row>
        <row r="1271">
          <cell r="O1271">
            <v>14</v>
          </cell>
          <cell r="AN1271">
            <v>0</v>
          </cell>
          <cell r="AO1271">
            <v>0</v>
          </cell>
          <cell r="AP1271">
            <v>0</v>
          </cell>
          <cell r="AZ1271">
            <v>0</v>
          </cell>
          <cell r="BT1271">
            <v>0</v>
          </cell>
          <cell r="BX1271">
            <v>0</v>
          </cell>
          <cell r="CB1271">
            <v>0</v>
          </cell>
          <cell r="CE1271" t="str">
            <v>14EU</v>
          </cell>
          <cell r="CF1271" t="str">
            <v>14EU</v>
          </cell>
          <cell r="CG1271" t="str">
            <v>14EU</v>
          </cell>
        </row>
        <row r="1272">
          <cell r="O1272">
            <v>14</v>
          </cell>
          <cell r="AN1272">
            <v>0</v>
          </cell>
          <cell r="AO1272">
            <v>0</v>
          </cell>
          <cell r="AP1272">
            <v>0</v>
          </cell>
          <cell r="AZ1272">
            <v>0</v>
          </cell>
          <cell r="BT1272">
            <v>0</v>
          </cell>
          <cell r="BX1272">
            <v>0</v>
          </cell>
          <cell r="CB1272">
            <v>0</v>
          </cell>
          <cell r="CE1272" t="str">
            <v>14EU</v>
          </cell>
          <cell r="CF1272" t="str">
            <v>14EU</v>
          </cell>
          <cell r="CG1272" t="str">
            <v>14EU</v>
          </cell>
        </row>
        <row r="1273">
          <cell r="O1273">
            <v>14</v>
          </cell>
          <cell r="AN1273">
            <v>0</v>
          </cell>
          <cell r="AO1273">
            <v>0</v>
          </cell>
          <cell r="AP1273">
            <v>0</v>
          </cell>
          <cell r="AZ1273">
            <v>0</v>
          </cell>
          <cell r="BT1273">
            <v>0</v>
          </cell>
          <cell r="BX1273">
            <v>0</v>
          </cell>
          <cell r="CB1273">
            <v>0</v>
          </cell>
          <cell r="CE1273" t="str">
            <v>14EU</v>
          </cell>
          <cell r="CF1273" t="str">
            <v>14EU</v>
          </cell>
          <cell r="CG1273" t="str">
            <v>14EU</v>
          </cell>
        </row>
        <row r="1274">
          <cell r="O1274">
            <v>14</v>
          </cell>
          <cell r="AN1274">
            <v>0</v>
          </cell>
          <cell r="AO1274">
            <v>0</v>
          </cell>
          <cell r="AP1274">
            <v>0</v>
          </cell>
          <cell r="AZ1274">
            <v>0</v>
          </cell>
          <cell r="BT1274">
            <v>0</v>
          </cell>
          <cell r="BX1274">
            <v>0</v>
          </cell>
          <cell r="CB1274">
            <v>0</v>
          </cell>
          <cell r="CE1274" t="str">
            <v>14EU</v>
          </cell>
          <cell r="CF1274" t="str">
            <v>14EU</v>
          </cell>
          <cell r="CG1274" t="str">
            <v>14EU</v>
          </cell>
        </row>
        <row r="1275">
          <cell r="O1275">
            <v>14</v>
          </cell>
          <cell r="AN1275">
            <v>0</v>
          </cell>
          <cell r="AO1275">
            <v>0</v>
          </cell>
          <cell r="AP1275">
            <v>0</v>
          </cell>
          <cell r="AZ1275">
            <v>0</v>
          </cell>
          <cell r="BT1275">
            <v>0</v>
          </cell>
          <cell r="BX1275">
            <v>0</v>
          </cell>
          <cell r="CB1275">
            <v>0</v>
          </cell>
          <cell r="CE1275" t="str">
            <v>14EU</v>
          </cell>
          <cell r="CF1275" t="str">
            <v>14EU</v>
          </cell>
          <cell r="CG1275" t="str">
            <v>14EU</v>
          </cell>
        </row>
        <row r="1276">
          <cell r="O1276">
            <v>14</v>
          </cell>
          <cell r="AN1276">
            <v>0</v>
          </cell>
          <cell r="AO1276">
            <v>0</v>
          </cell>
          <cell r="AP1276">
            <v>0</v>
          </cell>
          <cell r="AZ1276">
            <v>0</v>
          </cell>
          <cell r="BT1276">
            <v>0</v>
          </cell>
          <cell r="BX1276">
            <v>0</v>
          </cell>
          <cell r="CB1276">
            <v>0</v>
          </cell>
          <cell r="CE1276" t="str">
            <v>14EU</v>
          </cell>
          <cell r="CF1276" t="str">
            <v>14EU</v>
          </cell>
          <cell r="CG1276" t="str">
            <v>14EU</v>
          </cell>
        </row>
        <row r="1277">
          <cell r="O1277">
            <v>14</v>
          </cell>
          <cell r="AN1277">
            <v>0</v>
          </cell>
          <cell r="AO1277">
            <v>0</v>
          </cell>
          <cell r="AP1277">
            <v>14.997379855673714</v>
          </cell>
          <cell r="AZ1277">
            <v>0</v>
          </cell>
          <cell r="BT1277">
            <v>0</v>
          </cell>
          <cell r="BX1277">
            <v>0</v>
          </cell>
          <cell r="CB1277">
            <v>14.997379855673714</v>
          </cell>
          <cell r="CE1277" t="str">
            <v>14EU</v>
          </cell>
          <cell r="CF1277" t="str">
            <v>14EU</v>
          </cell>
          <cell r="CG1277" t="str">
            <v>14EU</v>
          </cell>
        </row>
        <row r="1278">
          <cell r="O1278">
            <v>14</v>
          </cell>
          <cell r="AN1278">
            <v>0</v>
          </cell>
          <cell r="AO1278">
            <v>0</v>
          </cell>
          <cell r="AP1278">
            <v>0</v>
          </cell>
          <cell r="AZ1278">
            <v>0</v>
          </cell>
          <cell r="BT1278">
            <v>0</v>
          </cell>
          <cell r="BX1278">
            <v>0</v>
          </cell>
          <cell r="CB1278">
            <v>0</v>
          </cell>
          <cell r="CE1278" t="str">
            <v>14EU</v>
          </cell>
          <cell r="CF1278" t="str">
            <v>14EU</v>
          </cell>
          <cell r="CG1278" t="str">
            <v>14EU</v>
          </cell>
        </row>
        <row r="1279">
          <cell r="O1279">
            <v>14</v>
          </cell>
          <cell r="AN1279">
            <v>0</v>
          </cell>
          <cell r="AO1279">
            <v>0</v>
          </cell>
          <cell r="AP1279">
            <v>0</v>
          </cell>
          <cell r="AZ1279">
            <v>0</v>
          </cell>
          <cell r="BT1279">
            <v>0</v>
          </cell>
          <cell r="BX1279">
            <v>0</v>
          </cell>
          <cell r="CB1279">
            <v>0</v>
          </cell>
          <cell r="CE1279" t="str">
            <v>14EU</v>
          </cell>
          <cell r="CF1279" t="str">
            <v>14EU</v>
          </cell>
          <cell r="CG1279" t="str">
            <v>14EU</v>
          </cell>
        </row>
        <row r="1280">
          <cell r="O1280">
            <v>14</v>
          </cell>
          <cell r="AN1280">
            <v>39.877199848466645</v>
          </cell>
          <cell r="AO1280">
            <v>39.877199848466645</v>
          </cell>
          <cell r="AP1280">
            <v>0</v>
          </cell>
          <cell r="AZ1280">
            <v>43.0749</v>
          </cell>
          <cell r="BT1280">
            <v>39.877199848466645</v>
          </cell>
          <cell r="BX1280">
            <v>39.877199848466645</v>
          </cell>
          <cell r="CB1280">
            <v>0</v>
          </cell>
          <cell r="CE1280" t="str">
            <v>14EU</v>
          </cell>
          <cell r="CF1280" t="str">
            <v>14EU</v>
          </cell>
          <cell r="CG1280" t="str">
            <v>14EU</v>
          </cell>
        </row>
        <row r="1281">
          <cell r="O1281">
            <v>14</v>
          </cell>
          <cell r="AN1281">
            <v>0</v>
          </cell>
          <cell r="AO1281">
            <v>0</v>
          </cell>
          <cell r="AP1281">
            <v>0</v>
          </cell>
          <cell r="AZ1281">
            <v>0</v>
          </cell>
          <cell r="BT1281">
            <v>0</v>
          </cell>
          <cell r="BX1281">
            <v>0</v>
          </cell>
          <cell r="CB1281">
            <v>0</v>
          </cell>
          <cell r="CE1281" t="str">
            <v>14EU</v>
          </cell>
          <cell r="CF1281" t="str">
            <v>14EU</v>
          </cell>
          <cell r="CG1281" t="str">
            <v>14EU</v>
          </cell>
        </row>
        <row r="1282">
          <cell r="O1282">
            <v>14</v>
          </cell>
          <cell r="AN1282">
            <v>0</v>
          </cell>
          <cell r="AO1282">
            <v>0</v>
          </cell>
          <cell r="AP1282">
            <v>0</v>
          </cell>
          <cell r="AZ1282">
            <v>0</v>
          </cell>
          <cell r="BT1282">
            <v>0</v>
          </cell>
          <cell r="BX1282">
            <v>0</v>
          </cell>
          <cell r="CB1282">
            <v>0</v>
          </cell>
          <cell r="CE1282" t="str">
            <v>14EU</v>
          </cell>
          <cell r="CF1282" t="str">
            <v>14EU</v>
          </cell>
          <cell r="CG1282" t="str">
            <v>14EU</v>
          </cell>
        </row>
        <row r="1283">
          <cell r="O1283">
            <v>14</v>
          </cell>
          <cell r="AN1283">
            <v>0</v>
          </cell>
          <cell r="AO1283">
            <v>0</v>
          </cell>
          <cell r="AP1283">
            <v>0</v>
          </cell>
          <cell r="AZ1283">
            <v>0</v>
          </cell>
          <cell r="BT1283">
            <v>0</v>
          </cell>
          <cell r="BX1283">
            <v>0</v>
          </cell>
          <cell r="CB1283">
            <v>0</v>
          </cell>
          <cell r="CE1283" t="str">
            <v>14EU</v>
          </cell>
          <cell r="CF1283" t="str">
            <v>14EU</v>
          </cell>
          <cell r="CG1283" t="str">
            <v>14EU</v>
          </cell>
        </row>
        <row r="1284">
          <cell r="O1284">
            <v>14</v>
          </cell>
          <cell r="AN1284">
            <v>0</v>
          </cell>
          <cell r="AO1284">
            <v>0</v>
          </cell>
          <cell r="AP1284">
            <v>0</v>
          </cell>
          <cell r="AZ1284">
            <v>0</v>
          </cell>
          <cell r="BT1284">
            <v>0</v>
          </cell>
          <cell r="BX1284">
            <v>0</v>
          </cell>
          <cell r="CB1284">
            <v>0</v>
          </cell>
          <cell r="CE1284" t="str">
            <v>14EU</v>
          </cell>
          <cell r="CF1284" t="str">
            <v>14EU</v>
          </cell>
          <cell r="CG1284" t="str">
            <v>14EU</v>
          </cell>
        </row>
        <row r="1285">
          <cell r="O1285">
            <v>14</v>
          </cell>
          <cell r="AN1285">
            <v>0</v>
          </cell>
          <cell r="AO1285">
            <v>0</v>
          </cell>
          <cell r="AP1285">
            <v>0</v>
          </cell>
          <cell r="AZ1285">
            <v>0</v>
          </cell>
          <cell r="BT1285">
            <v>0</v>
          </cell>
          <cell r="BX1285">
            <v>0</v>
          </cell>
          <cell r="CB1285">
            <v>0</v>
          </cell>
          <cell r="CE1285" t="str">
            <v>14EU</v>
          </cell>
          <cell r="CF1285" t="str">
            <v>14EU</v>
          </cell>
          <cell r="CG1285" t="str">
            <v>14EU</v>
          </cell>
        </row>
        <row r="1286">
          <cell r="O1286">
            <v>14</v>
          </cell>
          <cell r="AN1286">
            <v>0</v>
          </cell>
          <cell r="AO1286">
            <v>0</v>
          </cell>
          <cell r="AP1286">
            <v>0</v>
          </cell>
          <cell r="AZ1286">
            <v>0</v>
          </cell>
          <cell r="BT1286">
            <v>0</v>
          </cell>
          <cell r="BX1286">
            <v>0</v>
          </cell>
          <cell r="CB1286">
            <v>0</v>
          </cell>
          <cell r="CE1286" t="str">
            <v>14EU</v>
          </cell>
          <cell r="CF1286" t="str">
            <v>14EU</v>
          </cell>
          <cell r="CG1286" t="str">
            <v>14EU</v>
          </cell>
        </row>
        <row r="1287">
          <cell r="O1287">
            <v>14</v>
          </cell>
          <cell r="AN1287">
            <v>0</v>
          </cell>
          <cell r="AO1287">
            <v>0</v>
          </cell>
          <cell r="AP1287">
            <v>0</v>
          </cell>
          <cell r="AZ1287">
            <v>0</v>
          </cell>
          <cell r="BT1287">
            <v>0</v>
          </cell>
          <cell r="BX1287">
            <v>0</v>
          </cell>
          <cell r="CB1287">
            <v>0</v>
          </cell>
          <cell r="CE1287" t="str">
            <v>14EU</v>
          </cell>
          <cell r="CF1287" t="str">
            <v>14EU</v>
          </cell>
          <cell r="CG1287" t="str">
            <v>14EU</v>
          </cell>
        </row>
        <row r="1288">
          <cell r="O1288">
            <v>14</v>
          </cell>
          <cell r="AN1288">
            <v>8.4163999680176822</v>
          </cell>
          <cell r="AO1288">
            <v>0</v>
          </cell>
          <cell r="AP1288">
            <v>0</v>
          </cell>
          <cell r="AZ1288">
            <v>0</v>
          </cell>
          <cell r="BT1288">
            <v>8.4163999680176822</v>
          </cell>
          <cell r="BX1288">
            <v>0</v>
          </cell>
          <cell r="CB1288">
            <v>0</v>
          </cell>
          <cell r="CE1288" t="str">
            <v>14EU</v>
          </cell>
          <cell r="CF1288" t="str">
            <v>14EU</v>
          </cell>
          <cell r="CG1288" t="str">
            <v>14EU</v>
          </cell>
        </row>
        <row r="1289">
          <cell r="O1289">
            <v>14</v>
          </cell>
          <cell r="AN1289">
            <v>0</v>
          </cell>
          <cell r="AO1289">
            <v>0</v>
          </cell>
          <cell r="AP1289">
            <v>0</v>
          </cell>
          <cell r="AZ1289">
            <v>0</v>
          </cell>
          <cell r="BT1289">
            <v>0</v>
          </cell>
          <cell r="BX1289">
            <v>0</v>
          </cell>
          <cell r="CB1289">
            <v>0</v>
          </cell>
          <cell r="CE1289" t="str">
            <v>14EU</v>
          </cell>
          <cell r="CF1289" t="str">
            <v>14EU</v>
          </cell>
          <cell r="CG1289" t="str">
            <v>14EU</v>
          </cell>
        </row>
        <row r="1290">
          <cell r="O1290">
            <v>14</v>
          </cell>
          <cell r="AN1290">
            <v>0</v>
          </cell>
          <cell r="AO1290">
            <v>8.4151964745724719</v>
          </cell>
          <cell r="AP1290">
            <v>8.4151964745724719</v>
          </cell>
          <cell r="AZ1290">
            <v>9.09</v>
          </cell>
          <cell r="BT1290">
            <v>0</v>
          </cell>
          <cell r="BX1290">
            <v>8.4151964745724719</v>
          </cell>
          <cell r="CB1290">
            <v>8.4151964745724719</v>
          </cell>
          <cell r="CE1290" t="str">
            <v>14EU</v>
          </cell>
          <cell r="CF1290" t="str">
            <v>14EU</v>
          </cell>
          <cell r="CG1290" t="str">
            <v>14EU</v>
          </cell>
        </row>
        <row r="1291">
          <cell r="O1291">
            <v>14</v>
          </cell>
          <cell r="AN1291">
            <v>0</v>
          </cell>
          <cell r="AO1291">
            <v>0</v>
          </cell>
          <cell r="AP1291">
            <v>0</v>
          </cell>
          <cell r="AZ1291">
            <v>0</v>
          </cell>
          <cell r="BT1291">
            <v>0</v>
          </cell>
          <cell r="BX1291">
            <v>0</v>
          </cell>
          <cell r="CB1291">
            <v>0</v>
          </cell>
          <cell r="CE1291" t="str">
            <v>14EU</v>
          </cell>
          <cell r="CF1291" t="str">
            <v>14EU</v>
          </cell>
          <cell r="CG1291" t="str">
            <v>14EU</v>
          </cell>
        </row>
        <row r="1292">
          <cell r="O1292">
            <v>14</v>
          </cell>
          <cell r="AN1292">
            <v>0</v>
          </cell>
          <cell r="AO1292">
            <v>0</v>
          </cell>
          <cell r="AP1292">
            <v>0</v>
          </cell>
          <cell r="AZ1292">
            <v>0</v>
          </cell>
          <cell r="BT1292">
            <v>0</v>
          </cell>
          <cell r="BX1292">
            <v>0</v>
          </cell>
          <cell r="CB1292">
            <v>0</v>
          </cell>
          <cell r="CE1292" t="str">
            <v>14EU</v>
          </cell>
          <cell r="CF1292" t="str">
            <v>14EU</v>
          </cell>
          <cell r="CG1292" t="str">
            <v>14EU</v>
          </cell>
        </row>
        <row r="1293">
          <cell r="O1293">
            <v>14</v>
          </cell>
          <cell r="AN1293">
            <v>0</v>
          </cell>
          <cell r="AO1293">
            <v>8.4151964745724719</v>
          </cell>
          <cell r="AP1293">
            <v>8.4151964745724719</v>
          </cell>
          <cell r="AZ1293">
            <v>9.09</v>
          </cell>
          <cell r="BT1293">
            <v>0</v>
          </cell>
          <cell r="BX1293">
            <v>8.4151964745724719</v>
          </cell>
          <cell r="CB1293">
            <v>8.4151964745724719</v>
          </cell>
          <cell r="CE1293" t="str">
            <v>14EU</v>
          </cell>
          <cell r="CF1293" t="str">
            <v>14EU</v>
          </cell>
          <cell r="CG1293" t="str">
            <v>14EU</v>
          </cell>
        </row>
        <row r="1294">
          <cell r="O1294">
            <v>14</v>
          </cell>
          <cell r="AN1294">
            <v>0</v>
          </cell>
          <cell r="AO1294">
            <v>0</v>
          </cell>
          <cell r="AP1294">
            <v>0</v>
          </cell>
          <cell r="AZ1294">
            <v>0</v>
          </cell>
          <cell r="BT1294">
            <v>0</v>
          </cell>
          <cell r="BX1294">
            <v>0</v>
          </cell>
          <cell r="CB1294">
            <v>0</v>
          </cell>
          <cell r="CE1294" t="str">
            <v>14EU</v>
          </cell>
          <cell r="CF1294" t="str">
            <v>14EU</v>
          </cell>
          <cell r="CG1294" t="str">
            <v>14EU</v>
          </cell>
        </row>
        <row r="1295">
          <cell r="O1295">
            <v>14</v>
          </cell>
          <cell r="AN1295">
            <v>0</v>
          </cell>
          <cell r="AO1295">
            <v>0</v>
          </cell>
          <cell r="AP1295">
            <v>0</v>
          </cell>
          <cell r="AZ1295">
            <v>0</v>
          </cell>
          <cell r="BT1295">
            <v>0</v>
          </cell>
          <cell r="BX1295">
            <v>0</v>
          </cell>
          <cell r="CB1295">
            <v>0</v>
          </cell>
          <cell r="CE1295" t="str">
            <v>14EU</v>
          </cell>
          <cell r="CF1295" t="str">
            <v>14EU</v>
          </cell>
          <cell r="CG1295" t="str">
            <v>14EU</v>
          </cell>
        </row>
        <row r="1296">
          <cell r="O1296">
            <v>14</v>
          </cell>
          <cell r="AN1296">
            <v>0</v>
          </cell>
          <cell r="AO1296">
            <v>0</v>
          </cell>
          <cell r="AP1296">
            <v>0</v>
          </cell>
          <cell r="AZ1296">
            <v>0</v>
          </cell>
          <cell r="BT1296">
            <v>0</v>
          </cell>
          <cell r="BX1296">
            <v>0</v>
          </cell>
          <cell r="CB1296">
            <v>0</v>
          </cell>
          <cell r="CE1296" t="str">
            <v>14EU</v>
          </cell>
          <cell r="CF1296" t="str">
            <v>14EU</v>
          </cell>
          <cell r="CG1296" t="str">
            <v>14EU</v>
          </cell>
        </row>
        <row r="1297">
          <cell r="O1297">
            <v>14</v>
          </cell>
          <cell r="AN1297">
            <v>8.4151964745724719</v>
          </cell>
          <cell r="AO1297">
            <v>0</v>
          </cell>
          <cell r="AP1297">
            <v>0</v>
          </cell>
          <cell r="AZ1297">
            <v>0</v>
          </cell>
          <cell r="BT1297">
            <v>8.4151964745724719</v>
          </cell>
          <cell r="BX1297">
            <v>0</v>
          </cell>
          <cell r="CB1297">
            <v>0</v>
          </cell>
          <cell r="CE1297" t="str">
            <v>14EU</v>
          </cell>
          <cell r="CF1297" t="str">
            <v>14EU</v>
          </cell>
          <cell r="CG1297" t="str">
            <v>14EU</v>
          </cell>
        </row>
        <row r="1298">
          <cell r="O1298">
            <v>14</v>
          </cell>
          <cell r="AN1298">
            <v>0</v>
          </cell>
          <cell r="AO1298">
            <v>0</v>
          </cell>
          <cell r="AP1298">
            <v>0</v>
          </cell>
          <cell r="AZ1298">
            <v>0</v>
          </cell>
          <cell r="BT1298">
            <v>0</v>
          </cell>
          <cell r="BX1298">
            <v>0</v>
          </cell>
          <cell r="CB1298">
            <v>0</v>
          </cell>
          <cell r="CE1298" t="str">
            <v>14EU</v>
          </cell>
          <cell r="CF1298" t="str">
            <v>14EU</v>
          </cell>
          <cell r="CG1298" t="str">
            <v>14EU</v>
          </cell>
        </row>
        <row r="1299">
          <cell r="O1299">
            <v>14</v>
          </cell>
          <cell r="AN1299">
            <v>0.37030567544873372</v>
          </cell>
          <cell r="AO1299">
            <v>0.37030567544873372</v>
          </cell>
          <cell r="AP1299">
            <v>0.37030567544873372</v>
          </cell>
          <cell r="AZ1299">
            <v>0.4</v>
          </cell>
          <cell r="BT1299">
            <v>0.37030567544873372</v>
          </cell>
          <cell r="BX1299">
            <v>0.37030567544873372</v>
          </cell>
          <cell r="CB1299">
            <v>0.37030567544873372</v>
          </cell>
          <cell r="CE1299" t="str">
            <v>14EU</v>
          </cell>
          <cell r="CF1299" t="str">
            <v>14EU</v>
          </cell>
          <cell r="CG1299" t="str">
            <v>14EU</v>
          </cell>
        </row>
        <row r="1300">
          <cell r="O1300">
            <v>14</v>
          </cell>
          <cell r="AN1300">
            <v>0.37030567544873372</v>
          </cell>
          <cell r="AO1300">
            <v>0.37030567544873372</v>
          </cell>
          <cell r="AP1300">
            <v>0.37030567544873372</v>
          </cell>
          <cell r="AZ1300">
            <v>0.4</v>
          </cell>
          <cell r="BT1300">
            <v>0.37030567544873372</v>
          </cell>
          <cell r="BX1300">
            <v>0.37030567544873372</v>
          </cell>
          <cell r="CB1300">
            <v>0.37030567544873372</v>
          </cell>
          <cell r="CE1300" t="str">
            <v>14EU</v>
          </cell>
          <cell r="CF1300" t="str">
            <v>14EU</v>
          </cell>
          <cell r="CG1300" t="str">
            <v>14EU</v>
          </cell>
        </row>
        <row r="1301">
          <cell r="O1301">
            <v>14</v>
          </cell>
          <cell r="AN1301">
            <v>0.6572925739215022</v>
          </cell>
          <cell r="AO1301">
            <v>0.6572925739215022</v>
          </cell>
          <cell r="AP1301">
            <v>0.6572925739215022</v>
          </cell>
          <cell r="AZ1301">
            <v>0.71</v>
          </cell>
          <cell r="BT1301">
            <v>0.6572925739215022</v>
          </cell>
          <cell r="BX1301">
            <v>0.6572925739215022</v>
          </cell>
          <cell r="CB1301">
            <v>0.6572925739215022</v>
          </cell>
          <cell r="CE1301" t="str">
            <v>14EU</v>
          </cell>
          <cell r="CF1301" t="str">
            <v>14EU</v>
          </cell>
          <cell r="CG1301" t="str">
            <v>14EU</v>
          </cell>
        </row>
        <row r="1302">
          <cell r="O1302">
            <v>14</v>
          </cell>
          <cell r="AN1302">
            <v>0.6572925739215022</v>
          </cell>
          <cell r="AO1302">
            <v>0.6572925739215022</v>
          </cell>
          <cell r="AP1302">
            <v>0.6572925739215022</v>
          </cell>
          <cell r="AZ1302">
            <v>0.71</v>
          </cell>
          <cell r="BT1302">
            <v>0.6572925739215022</v>
          </cell>
          <cell r="BX1302">
            <v>0.6572925739215022</v>
          </cell>
          <cell r="CB1302">
            <v>0.6572925739215022</v>
          </cell>
          <cell r="CE1302" t="str">
            <v>14EU</v>
          </cell>
          <cell r="CF1302" t="str">
            <v>14EU</v>
          </cell>
          <cell r="CG1302" t="str">
            <v>14EU</v>
          </cell>
        </row>
        <row r="1303">
          <cell r="O1303">
            <v>14</v>
          </cell>
          <cell r="AN1303">
            <v>0.6572925739215022</v>
          </cell>
          <cell r="AO1303">
            <v>0.6572925739215022</v>
          </cell>
          <cell r="AP1303">
            <v>0.6572925739215022</v>
          </cell>
          <cell r="AZ1303">
            <v>0.71</v>
          </cell>
          <cell r="BT1303">
            <v>0.6572925739215022</v>
          </cell>
          <cell r="BX1303">
            <v>0.6572925739215022</v>
          </cell>
          <cell r="CB1303">
            <v>0.6572925739215022</v>
          </cell>
          <cell r="CE1303" t="str">
            <v>14EU</v>
          </cell>
          <cell r="CF1303" t="str">
            <v>14EU</v>
          </cell>
          <cell r="CG1303" t="str">
            <v>14EU</v>
          </cell>
        </row>
        <row r="1304">
          <cell r="O1304">
            <v>14</v>
          </cell>
          <cell r="AN1304">
            <v>0.6572925739215022</v>
          </cell>
          <cell r="AO1304">
            <v>0.6572925739215022</v>
          </cell>
          <cell r="AP1304">
            <v>0.6572925739215022</v>
          </cell>
          <cell r="AZ1304">
            <v>0.71</v>
          </cell>
          <cell r="BT1304">
            <v>0.6572925739215022</v>
          </cell>
          <cell r="BX1304">
            <v>0.6572925739215022</v>
          </cell>
          <cell r="CB1304">
            <v>0.6572925739215022</v>
          </cell>
          <cell r="CE1304" t="str">
            <v>14EU</v>
          </cell>
          <cell r="CF1304" t="str">
            <v>14EU</v>
          </cell>
          <cell r="CG1304" t="str">
            <v>14EU</v>
          </cell>
        </row>
        <row r="1305">
          <cell r="O1305">
            <v>14</v>
          </cell>
          <cell r="AN1305">
            <v>0.96279475616670762</v>
          </cell>
          <cell r="AO1305">
            <v>0.96279475616670762</v>
          </cell>
          <cell r="AP1305">
            <v>0.96279475616670762</v>
          </cell>
          <cell r="AZ1305">
            <v>1.04</v>
          </cell>
          <cell r="BT1305">
            <v>0.96279475616670762</v>
          </cell>
          <cell r="BX1305">
            <v>0.96279475616670762</v>
          </cell>
          <cell r="CB1305">
            <v>0.96279475616670762</v>
          </cell>
          <cell r="CE1305" t="str">
            <v>14EU</v>
          </cell>
          <cell r="CF1305" t="str">
            <v>14EU</v>
          </cell>
          <cell r="CG1305" t="str">
            <v>14EU</v>
          </cell>
        </row>
        <row r="1306">
          <cell r="O1306">
            <v>14</v>
          </cell>
          <cell r="AN1306">
            <v>6.4803493203528392E-2</v>
          </cell>
          <cell r="AO1306">
            <v>6.4803493203528392E-2</v>
          </cell>
          <cell r="AP1306">
            <v>6.4803493203528392E-2</v>
          </cell>
          <cell r="AZ1306">
            <v>7.0000000000000007E-2</v>
          </cell>
          <cell r="BT1306">
            <v>6.4803493203528392E-2</v>
          </cell>
          <cell r="BX1306">
            <v>6.4803493203528392E-2</v>
          </cell>
          <cell r="CB1306">
            <v>6.4803493203528392E-2</v>
          </cell>
          <cell r="CE1306" t="str">
            <v>14EU</v>
          </cell>
          <cell r="CF1306" t="str">
            <v>14EU</v>
          </cell>
          <cell r="CG1306" t="str">
            <v>14EU</v>
          </cell>
        </row>
        <row r="1307">
          <cell r="O1307">
            <v>14</v>
          </cell>
          <cell r="AN1307">
            <v>3.2772052277212929</v>
          </cell>
          <cell r="AO1307">
            <v>3.2772052277212929</v>
          </cell>
          <cell r="AP1307">
            <v>3.2772052277212929</v>
          </cell>
          <cell r="AZ1307">
            <v>3.54</v>
          </cell>
          <cell r="BT1307">
            <v>2.9214211939681887</v>
          </cell>
          <cell r="BX1307">
            <v>2.9214211939681887</v>
          </cell>
          <cell r="CB1307">
            <v>2.9214211939681887</v>
          </cell>
          <cell r="CE1307" t="str">
            <v>14LOCAL</v>
          </cell>
          <cell r="CF1307" t="str">
            <v>14LOCAL</v>
          </cell>
          <cell r="CG1307" t="str">
            <v>14LOCAL</v>
          </cell>
        </row>
        <row r="1308">
          <cell r="O1308">
            <v>14</v>
          </cell>
          <cell r="AN1308">
            <v>3.2772052277212929</v>
          </cell>
          <cell r="AO1308">
            <v>3.2772052277212929</v>
          </cell>
          <cell r="AP1308">
            <v>3.2772052277212929</v>
          </cell>
          <cell r="AZ1308">
            <v>3.54</v>
          </cell>
          <cell r="BT1308">
            <v>2.9214211939681887</v>
          </cell>
          <cell r="BX1308">
            <v>2.9214211939681887</v>
          </cell>
          <cell r="CB1308">
            <v>2.9214211939681887</v>
          </cell>
          <cell r="CE1308" t="str">
            <v>14LOCAL</v>
          </cell>
          <cell r="CF1308" t="str">
            <v>14LOCAL</v>
          </cell>
          <cell r="CG1308" t="str">
            <v>14LOCAL</v>
          </cell>
        </row>
        <row r="1309">
          <cell r="O1309">
            <v>14</v>
          </cell>
          <cell r="AN1309">
            <v>0</v>
          </cell>
          <cell r="AO1309">
            <v>0</v>
          </cell>
          <cell r="AP1309">
            <v>0</v>
          </cell>
          <cell r="AZ1309">
            <v>0</v>
          </cell>
          <cell r="BT1309">
            <v>0</v>
          </cell>
          <cell r="BX1309">
            <v>0</v>
          </cell>
          <cell r="CB1309">
            <v>0</v>
          </cell>
          <cell r="CE1309" t="str">
            <v>14EU</v>
          </cell>
          <cell r="CF1309" t="str">
            <v>14EU</v>
          </cell>
          <cell r="CG1309" t="str">
            <v>14EU</v>
          </cell>
        </row>
        <row r="1310">
          <cell r="O1310">
            <v>14</v>
          </cell>
          <cell r="AN1310">
            <v>2.0459388568542534</v>
          </cell>
          <cell r="AO1310">
            <v>2.0459388568542534</v>
          </cell>
          <cell r="AP1310">
            <v>2.0459388568542534</v>
          </cell>
          <cell r="AZ1310">
            <v>2.21</v>
          </cell>
          <cell r="BT1310">
            <v>2.0459388568542534</v>
          </cell>
          <cell r="BX1310">
            <v>2.0459388568542534</v>
          </cell>
          <cell r="CB1310">
            <v>2.0459388568542534</v>
          </cell>
          <cell r="CE1310" t="str">
            <v>14EU</v>
          </cell>
          <cell r="CF1310" t="str">
            <v>14EU</v>
          </cell>
          <cell r="CG1310" t="str">
            <v>14EU</v>
          </cell>
        </row>
        <row r="1311">
          <cell r="O1311">
            <v>14</v>
          </cell>
          <cell r="AN1311">
            <v>2.0459388568542534</v>
          </cell>
          <cell r="AO1311">
            <v>2.0459388568542534</v>
          </cell>
          <cell r="AP1311">
            <v>2.0459388568542534</v>
          </cell>
          <cell r="AZ1311">
            <v>2.21</v>
          </cell>
          <cell r="BT1311">
            <v>2.0459388568542534</v>
          </cell>
          <cell r="BX1311">
            <v>2.0459388568542534</v>
          </cell>
          <cell r="CB1311">
            <v>2.0459388568542534</v>
          </cell>
          <cell r="CE1311" t="str">
            <v>14EU</v>
          </cell>
          <cell r="CF1311" t="str">
            <v>14EU</v>
          </cell>
          <cell r="CG1311" t="str">
            <v>14EU</v>
          </cell>
        </row>
        <row r="1312">
          <cell r="O1312">
            <v>14</v>
          </cell>
          <cell r="AN1312">
            <v>1.6756331814055199</v>
          </cell>
          <cell r="AO1312">
            <v>1.6756331814055199</v>
          </cell>
          <cell r="AP1312">
            <v>1.6756331814055199</v>
          </cell>
          <cell r="AZ1312">
            <v>1.81</v>
          </cell>
          <cell r="BT1312">
            <v>1.6756331814055199</v>
          </cell>
          <cell r="BX1312">
            <v>1.6756331814055199</v>
          </cell>
          <cell r="CB1312">
            <v>1.6756331814055199</v>
          </cell>
          <cell r="CE1312" t="str">
            <v>14EU</v>
          </cell>
          <cell r="CF1312" t="str">
            <v>14EU</v>
          </cell>
          <cell r="CG1312" t="str">
            <v>14EU</v>
          </cell>
        </row>
        <row r="1313">
          <cell r="O1313">
            <v>14</v>
          </cell>
          <cell r="AN1313">
            <v>1.6756331814055199</v>
          </cell>
          <cell r="AO1313">
            <v>1.6756331814055199</v>
          </cell>
          <cell r="AP1313">
            <v>1.6756331814055199</v>
          </cell>
          <cell r="AZ1313">
            <v>1.81</v>
          </cell>
          <cell r="BT1313">
            <v>1.6756331814055199</v>
          </cell>
          <cell r="BX1313">
            <v>1.6756331814055199</v>
          </cell>
          <cell r="CB1313">
            <v>1.6756331814055199</v>
          </cell>
          <cell r="CE1313" t="str">
            <v>14EU</v>
          </cell>
          <cell r="CF1313" t="str">
            <v>14EU</v>
          </cell>
          <cell r="CG1313" t="str">
            <v>14EU</v>
          </cell>
        </row>
        <row r="1314">
          <cell r="O1314">
            <v>14</v>
          </cell>
          <cell r="AN1314">
            <v>7.3457999720859606</v>
          </cell>
          <cell r="AO1314">
            <v>7.3457999720859606</v>
          </cell>
          <cell r="AP1314">
            <v>7.3457999720859606</v>
          </cell>
          <cell r="AZ1314">
            <v>7.93485</v>
          </cell>
          <cell r="BT1314">
            <v>7.3457999720859606</v>
          </cell>
          <cell r="BX1314">
            <v>7.3457999720859606</v>
          </cell>
          <cell r="CB1314">
            <v>7.3457999720859606</v>
          </cell>
          <cell r="CE1314" t="str">
            <v>14EU</v>
          </cell>
          <cell r="CF1314" t="str">
            <v>14EU</v>
          </cell>
          <cell r="CG1314" t="str">
            <v>14EU</v>
          </cell>
        </row>
        <row r="1315">
          <cell r="O1315">
            <v>14</v>
          </cell>
          <cell r="AN1315">
            <v>0</v>
          </cell>
          <cell r="AO1315">
            <v>0</v>
          </cell>
          <cell r="AP1315">
            <v>0</v>
          </cell>
          <cell r="AZ1315">
            <v>0</v>
          </cell>
          <cell r="BT1315">
            <v>0</v>
          </cell>
          <cell r="BX1315">
            <v>0</v>
          </cell>
          <cell r="CB1315">
            <v>0</v>
          </cell>
          <cell r="CE1315" t="str">
            <v>14EU</v>
          </cell>
          <cell r="CF1315" t="str">
            <v>14EU</v>
          </cell>
          <cell r="CG1315" t="str">
            <v>14EU</v>
          </cell>
        </row>
        <row r="1316">
          <cell r="O1316">
            <v>14</v>
          </cell>
          <cell r="AN1316">
            <v>0</v>
          </cell>
          <cell r="AO1316">
            <v>0</v>
          </cell>
          <cell r="AP1316">
            <v>0</v>
          </cell>
          <cell r="AZ1316">
            <v>0</v>
          </cell>
          <cell r="BT1316">
            <v>0</v>
          </cell>
          <cell r="BX1316">
            <v>0</v>
          </cell>
          <cell r="CB1316">
            <v>0</v>
          </cell>
          <cell r="CE1316" t="str">
            <v>14EU</v>
          </cell>
          <cell r="CF1316" t="str">
            <v>14EU</v>
          </cell>
          <cell r="CG1316" t="str">
            <v>14EU</v>
          </cell>
        </row>
        <row r="1317">
          <cell r="O1317">
            <v>14</v>
          </cell>
          <cell r="AN1317">
            <v>7.3457999720859606</v>
          </cell>
          <cell r="AO1317">
            <v>7.3457999720859606</v>
          </cell>
          <cell r="AP1317">
            <v>7.3457999720859606</v>
          </cell>
          <cell r="AZ1317">
            <v>7.93485</v>
          </cell>
          <cell r="BT1317">
            <v>7.3457999720859606</v>
          </cell>
          <cell r="BX1317">
            <v>7.3457999720859606</v>
          </cell>
          <cell r="CB1317">
            <v>7.3457999720859606</v>
          </cell>
          <cell r="CE1317" t="str">
            <v>14EU</v>
          </cell>
          <cell r="CF1317" t="str">
            <v>14EU</v>
          </cell>
          <cell r="CG1317" t="str">
            <v>14EU</v>
          </cell>
        </row>
        <row r="1318">
          <cell r="O1318">
            <v>14</v>
          </cell>
          <cell r="AN1318">
            <v>0</v>
          </cell>
          <cell r="AO1318">
            <v>0</v>
          </cell>
          <cell r="AP1318">
            <v>0</v>
          </cell>
          <cell r="AZ1318">
            <v>0</v>
          </cell>
          <cell r="BT1318">
            <v>0</v>
          </cell>
          <cell r="BX1318">
            <v>0</v>
          </cell>
          <cell r="CB1318">
            <v>0</v>
          </cell>
          <cell r="CE1318" t="str">
            <v>14EU</v>
          </cell>
          <cell r="CF1318" t="str">
            <v>14EU</v>
          </cell>
          <cell r="CG1318" t="str">
            <v>14EU</v>
          </cell>
        </row>
        <row r="1319">
          <cell r="O1319">
            <v>14</v>
          </cell>
          <cell r="AN1319">
            <v>0</v>
          </cell>
          <cell r="AO1319">
            <v>0</v>
          </cell>
          <cell r="AP1319">
            <v>0</v>
          </cell>
          <cell r="AZ1319">
            <v>0</v>
          </cell>
          <cell r="BT1319">
            <v>0</v>
          </cell>
          <cell r="BX1319">
            <v>0</v>
          </cell>
          <cell r="CB1319">
            <v>0</v>
          </cell>
          <cell r="CE1319" t="str">
            <v>14EU</v>
          </cell>
          <cell r="CF1319" t="str">
            <v>14EU</v>
          </cell>
          <cell r="CG1319" t="str">
            <v>14EU</v>
          </cell>
        </row>
        <row r="1320">
          <cell r="O1320">
            <v>14</v>
          </cell>
          <cell r="AN1320">
            <v>0</v>
          </cell>
          <cell r="AO1320">
            <v>5.2213100238271446</v>
          </cell>
          <cell r="AP1320">
            <v>0</v>
          </cell>
          <cell r="AZ1320">
            <v>5.64</v>
          </cell>
          <cell r="BT1320">
            <v>0</v>
          </cell>
          <cell r="BX1320">
            <v>5.1215038215244784</v>
          </cell>
          <cell r="CB1320">
            <v>0</v>
          </cell>
          <cell r="CE1320" t="str">
            <v>14LOCAL</v>
          </cell>
          <cell r="CF1320" t="str">
            <v>14LOCAL</v>
          </cell>
          <cell r="CG1320" t="str">
            <v>14LOCAL</v>
          </cell>
        </row>
        <row r="1321">
          <cell r="O1321">
            <v>14</v>
          </cell>
          <cell r="AN1321">
            <v>5.2213100238271446</v>
          </cell>
          <cell r="AO1321">
            <v>0</v>
          </cell>
          <cell r="AP1321">
            <v>5.2213100238271446</v>
          </cell>
          <cell r="AZ1321">
            <v>0</v>
          </cell>
          <cell r="BT1321">
            <v>4.3793265854162362</v>
          </cell>
          <cell r="BX1321">
            <v>0</v>
          </cell>
          <cell r="CB1321">
            <v>4.3793265854162362</v>
          </cell>
          <cell r="CE1321" t="str">
            <v>14LOCAL</v>
          </cell>
          <cell r="CF1321" t="str">
            <v>14LOCAL</v>
          </cell>
          <cell r="CG1321" t="str">
            <v>14LOCAL</v>
          </cell>
        </row>
        <row r="1322">
          <cell r="O1322">
            <v>14</v>
          </cell>
          <cell r="AN1322">
            <v>1.5460261949984631</v>
          </cell>
          <cell r="AO1322">
            <v>1.5460261949984631</v>
          </cell>
          <cell r="AP1322">
            <v>1.5460261949984631</v>
          </cell>
          <cell r="AZ1322">
            <v>1.67</v>
          </cell>
          <cell r="BT1322">
            <v>1.5460261949984631</v>
          </cell>
          <cell r="BX1322">
            <v>1.5460261949984631</v>
          </cell>
          <cell r="CB1322">
            <v>1.5460261949984631</v>
          </cell>
          <cell r="CE1322" t="str">
            <v>14EU</v>
          </cell>
          <cell r="CF1322" t="str">
            <v>14EU</v>
          </cell>
          <cell r="CG1322" t="str">
            <v>14EU</v>
          </cell>
        </row>
        <row r="1323">
          <cell r="O1323">
            <v>14</v>
          </cell>
          <cell r="AN1323">
            <v>0</v>
          </cell>
          <cell r="AO1323">
            <v>4.0270742205049785</v>
          </cell>
          <cell r="AP1323">
            <v>0</v>
          </cell>
          <cell r="AZ1323">
            <v>4.3499999999999996</v>
          </cell>
          <cell r="BT1323">
            <v>0</v>
          </cell>
          <cell r="BX1323">
            <v>4.0270742205049785</v>
          </cell>
          <cell r="CB1323">
            <v>0</v>
          </cell>
          <cell r="CE1323" t="str">
            <v>14EU</v>
          </cell>
          <cell r="CF1323" t="str">
            <v>14EU</v>
          </cell>
          <cell r="CG1323" t="str">
            <v>14EU</v>
          </cell>
        </row>
        <row r="1324">
          <cell r="O1324">
            <v>14</v>
          </cell>
          <cell r="AN1324">
            <v>4.0363318623911972</v>
          </cell>
          <cell r="AO1324">
            <v>0</v>
          </cell>
          <cell r="AP1324">
            <v>4.0363318623911972</v>
          </cell>
          <cell r="AZ1324">
            <v>0</v>
          </cell>
          <cell r="BT1324">
            <v>4.0363318623911972</v>
          </cell>
          <cell r="BX1324">
            <v>0</v>
          </cell>
          <cell r="CB1324">
            <v>4.0363318623911972</v>
          </cell>
          <cell r="CE1324" t="str">
            <v>14EU</v>
          </cell>
          <cell r="CF1324" t="str">
            <v>14EU</v>
          </cell>
          <cell r="CG1324" t="str">
            <v>14EU</v>
          </cell>
        </row>
        <row r="1325">
          <cell r="O1325">
            <v>14</v>
          </cell>
          <cell r="AN1325">
            <v>0.32401746601764192</v>
          </cell>
          <cell r="AO1325">
            <v>0</v>
          </cell>
          <cell r="AP1325">
            <v>0.32401746601764192</v>
          </cell>
          <cell r="AZ1325">
            <v>0</v>
          </cell>
          <cell r="BT1325">
            <v>1.465899512588412</v>
          </cell>
          <cell r="BX1325">
            <v>0</v>
          </cell>
          <cell r="CB1325">
            <v>1.465899512588412</v>
          </cell>
          <cell r="CE1325" t="str">
            <v>14LOCAL</v>
          </cell>
          <cell r="CF1325" t="str">
            <v>14LOCAL</v>
          </cell>
          <cell r="CG1325" t="str">
            <v>14LOCAL</v>
          </cell>
        </row>
        <row r="1326">
          <cell r="O1326">
            <v>14</v>
          </cell>
          <cell r="AN1326">
            <v>0.32401746601764192</v>
          </cell>
          <cell r="AO1326">
            <v>0</v>
          </cell>
          <cell r="AP1326">
            <v>0.32401746601764192</v>
          </cell>
          <cell r="AZ1326">
            <v>0</v>
          </cell>
          <cell r="BT1326">
            <v>0.32401746601764192</v>
          </cell>
          <cell r="BX1326">
            <v>0</v>
          </cell>
          <cell r="CB1326">
            <v>0.32401746601764192</v>
          </cell>
          <cell r="CE1326" t="str">
            <v>14EU</v>
          </cell>
          <cell r="CF1326" t="str">
            <v>14EU</v>
          </cell>
          <cell r="CG1326" t="str">
            <v>14EU</v>
          </cell>
        </row>
        <row r="1327">
          <cell r="O1327">
            <v>14</v>
          </cell>
          <cell r="AN1327">
            <v>0.24995633092789524</v>
          </cell>
          <cell r="AO1327">
            <v>0.24995633092789524</v>
          </cell>
          <cell r="AP1327">
            <v>0</v>
          </cell>
          <cell r="AZ1327">
            <v>0.27</v>
          </cell>
          <cell r="BT1327">
            <v>0.24995633092789524</v>
          </cell>
          <cell r="BX1327">
            <v>0.24995633092789524</v>
          </cell>
          <cell r="CB1327">
            <v>0</v>
          </cell>
          <cell r="CE1327" t="str">
            <v>14EU</v>
          </cell>
          <cell r="CF1327" t="str">
            <v>14EU</v>
          </cell>
          <cell r="CG1327" t="str">
            <v>14EU</v>
          </cell>
        </row>
        <row r="1328">
          <cell r="O1328">
            <v>14</v>
          </cell>
          <cell r="AN1328">
            <v>9.2576418862183429E-2</v>
          </cell>
          <cell r="AO1328">
            <v>9.2576418862183429E-2</v>
          </cell>
          <cell r="AP1328">
            <v>9.2576418862183429E-2</v>
          </cell>
          <cell r="AZ1328">
            <v>0.1</v>
          </cell>
          <cell r="BT1328">
            <v>9.2576418862183429E-2</v>
          </cell>
          <cell r="BX1328">
            <v>9.2576418862183429E-2</v>
          </cell>
          <cell r="CB1328">
            <v>9.2576418862183429E-2</v>
          </cell>
          <cell r="CE1328" t="str">
            <v>14EU</v>
          </cell>
          <cell r="CF1328" t="str">
            <v>14EU</v>
          </cell>
          <cell r="CG1328" t="str">
            <v>14EU</v>
          </cell>
        </row>
        <row r="1329">
          <cell r="O1329">
            <v>14</v>
          </cell>
          <cell r="AN1329">
            <v>47.658340430252018</v>
          </cell>
          <cell r="AO1329">
            <v>47.658340430252018</v>
          </cell>
          <cell r="AP1329">
            <v>47.658340430252018</v>
          </cell>
          <cell r="AZ1329">
            <v>51.48</v>
          </cell>
          <cell r="BT1329">
            <v>47.658340430252018</v>
          </cell>
          <cell r="BX1329">
            <v>47.658340430252018</v>
          </cell>
          <cell r="CB1329">
            <v>47.658340430252018</v>
          </cell>
          <cell r="CE1329" t="str">
            <v>14EU</v>
          </cell>
          <cell r="CF1329" t="str">
            <v>14EU</v>
          </cell>
          <cell r="CG1329" t="str">
            <v>14EU</v>
          </cell>
        </row>
        <row r="1330">
          <cell r="O1330">
            <v>14</v>
          </cell>
          <cell r="AN1330">
            <v>0</v>
          </cell>
          <cell r="AO1330">
            <v>0</v>
          </cell>
          <cell r="AP1330">
            <v>0</v>
          </cell>
          <cell r="AZ1330">
            <v>0</v>
          </cell>
          <cell r="BT1330">
            <v>0</v>
          </cell>
          <cell r="BX1330">
            <v>0</v>
          </cell>
          <cell r="CB1330">
            <v>0</v>
          </cell>
          <cell r="CE1330" t="str">
            <v>14EU</v>
          </cell>
          <cell r="CF1330" t="str">
            <v>14EU</v>
          </cell>
          <cell r="CG1330" t="str">
            <v>14EU</v>
          </cell>
        </row>
        <row r="1331">
          <cell r="O1331">
            <v>14</v>
          </cell>
          <cell r="AN1331">
            <v>9.6927510548706053</v>
          </cell>
          <cell r="AO1331">
            <v>9.6927510548706053</v>
          </cell>
          <cell r="AP1331">
            <v>9.6927510548706053</v>
          </cell>
          <cell r="AZ1331">
            <v>10.47</v>
          </cell>
          <cell r="BT1331">
            <v>9.6927510548706053</v>
          </cell>
          <cell r="BX1331">
            <v>9.6927510548706053</v>
          </cell>
          <cell r="CB1331">
            <v>9.6927510548706053</v>
          </cell>
          <cell r="CE1331" t="str">
            <v>14EU</v>
          </cell>
          <cell r="CF1331" t="str">
            <v>14EU</v>
          </cell>
          <cell r="CG1331" t="str">
            <v>14EU</v>
          </cell>
        </row>
        <row r="1332">
          <cell r="O1332">
            <v>14</v>
          </cell>
          <cell r="AN1332">
            <v>0</v>
          </cell>
          <cell r="AO1332">
            <v>0</v>
          </cell>
          <cell r="AP1332">
            <v>7.8504803195131538</v>
          </cell>
          <cell r="AZ1332">
            <v>0</v>
          </cell>
          <cell r="BT1332">
            <v>0</v>
          </cell>
          <cell r="BX1332">
            <v>0</v>
          </cell>
          <cell r="CB1332">
            <v>7.8504803195131538</v>
          </cell>
          <cell r="CE1332" t="str">
            <v>14EU</v>
          </cell>
          <cell r="CF1332" t="str">
            <v>14EU</v>
          </cell>
          <cell r="CG1332" t="str">
            <v>14EU</v>
          </cell>
        </row>
        <row r="1333">
          <cell r="O1333">
            <v>14</v>
          </cell>
          <cell r="AN1333">
            <v>7.8504803195131538</v>
          </cell>
          <cell r="AO1333">
            <v>0</v>
          </cell>
          <cell r="AP1333">
            <v>0</v>
          </cell>
          <cell r="AZ1333">
            <v>0</v>
          </cell>
          <cell r="BT1333">
            <v>7.8504803195131538</v>
          </cell>
          <cell r="BX1333">
            <v>0</v>
          </cell>
          <cell r="CB1333">
            <v>0</v>
          </cell>
          <cell r="CE1333" t="str">
            <v>14EU</v>
          </cell>
          <cell r="CF1333" t="str">
            <v>14EU</v>
          </cell>
          <cell r="CG1333" t="str">
            <v>14EU</v>
          </cell>
        </row>
        <row r="1334">
          <cell r="O1334">
            <v>14</v>
          </cell>
          <cell r="AN1334">
            <v>0</v>
          </cell>
          <cell r="AO1334">
            <v>7.8504803195131538</v>
          </cell>
          <cell r="AP1334">
            <v>0</v>
          </cell>
          <cell r="AZ1334">
            <v>8.48</v>
          </cell>
          <cell r="BT1334">
            <v>0</v>
          </cell>
          <cell r="BX1334">
            <v>7.8504803195131538</v>
          </cell>
          <cell r="CB1334">
            <v>0</v>
          </cell>
          <cell r="CE1334" t="str">
            <v>14EU</v>
          </cell>
          <cell r="CF1334" t="str">
            <v>14EU</v>
          </cell>
          <cell r="CG1334" t="str">
            <v>14EU</v>
          </cell>
        </row>
        <row r="1335">
          <cell r="O1335">
            <v>14</v>
          </cell>
          <cell r="AN1335">
            <v>0</v>
          </cell>
          <cell r="AO1335">
            <v>0</v>
          </cell>
          <cell r="AP1335">
            <v>0</v>
          </cell>
          <cell r="AZ1335">
            <v>0</v>
          </cell>
          <cell r="BT1335">
            <v>0</v>
          </cell>
          <cell r="BX1335">
            <v>0</v>
          </cell>
          <cell r="CB1335">
            <v>0</v>
          </cell>
          <cell r="CE1335" t="str">
            <v>14EU</v>
          </cell>
          <cell r="CF1335" t="str">
            <v>14EU</v>
          </cell>
          <cell r="CG1335" t="str">
            <v>14EU</v>
          </cell>
        </row>
        <row r="1336">
          <cell r="O1336">
            <v>14</v>
          </cell>
          <cell r="AN1336">
            <v>0</v>
          </cell>
          <cell r="AO1336">
            <v>0</v>
          </cell>
          <cell r="AP1336">
            <v>0</v>
          </cell>
          <cell r="AZ1336">
            <v>0</v>
          </cell>
          <cell r="BT1336">
            <v>0</v>
          </cell>
          <cell r="BX1336">
            <v>0</v>
          </cell>
          <cell r="CB1336">
            <v>0</v>
          </cell>
          <cell r="CE1336" t="str">
            <v>14EU</v>
          </cell>
          <cell r="CF1336" t="str">
            <v>14EU</v>
          </cell>
          <cell r="CG1336" t="str">
            <v>14EU</v>
          </cell>
        </row>
        <row r="1337">
          <cell r="O1337">
            <v>14</v>
          </cell>
          <cell r="AN1337">
            <v>0.12034934452083845</v>
          </cell>
          <cell r="AO1337">
            <v>0.12034934452083845</v>
          </cell>
          <cell r="AP1337">
            <v>0.12034934452083845</v>
          </cell>
          <cell r="AZ1337">
            <v>0.13</v>
          </cell>
          <cell r="BT1337">
            <v>0.45736064792758457</v>
          </cell>
          <cell r="BX1337">
            <v>0.45736064792758457</v>
          </cell>
          <cell r="CB1337">
            <v>0.45736064792758457</v>
          </cell>
          <cell r="CE1337" t="str">
            <v>14LOCAL</v>
          </cell>
          <cell r="CF1337" t="str">
            <v>14LOCAL</v>
          </cell>
          <cell r="CG1337" t="str">
            <v>14LOCAL</v>
          </cell>
        </row>
        <row r="1338">
          <cell r="O1338">
            <v>14</v>
          </cell>
          <cell r="AN1338">
            <v>0.12034934452083845</v>
          </cell>
          <cell r="AO1338">
            <v>0.12034934452083845</v>
          </cell>
          <cell r="AP1338">
            <v>0.12034934452083845</v>
          </cell>
          <cell r="AZ1338">
            <v>0.13</v>
          </cell>
          <cell r="BT1338">
            <v>0.45736064792758457</v>
          </cell>
          <cell r="BX1338">
            <v>0.45736064792758457</v>
          </cell>
          <cell r="CB1338">
            <v>0.45736064792758457</v>
          </cell>
          <cell r="CE1338" t="str">
            <v>14LOCAL</v>
          </cell>
          <cell r="CF1338" t="str">
            <v>14LOCAL</v>
          </cell>
          <cell r="CG1338" t="str">
            <v>14LOCAL</v>
          </cell>
        </row>
        <row r="1339">
          <cell r="O1339">
            <v>14</v>
          </cell>
          <cell r="AN1339">
            <v>0</v>
          </cell>
          <cell r="AO1339">
            <v>0</v>
          </cell>
          <cell r="AP1339">
            <v>0</v>
          </cell>
          <cell r="AZ1339">
            <v>0</v>
          </cell>
          <cell r="BT1339">
            <v>0</v>
          </cell>
          <cell r="BX1339">
            <v>0</v>
          </cell>
          <cell r="CB1339">
            <v>0</v>
          </cell>
          <cell r="CE1339" t="str">
            <v>14EU</v>
          </cell>
          <cell r="CF1339" t="str">
            <v>14EU</v>
          </cell>
          <cell r="CG1339" t="str">
            <v>14EU</v>
          </cell>
        </row>
        <row r="1340">
          <cell r="O1340">
            <v>14</v>
          </cell>
          <cell r="AN1340">
            <v>0</v>
          </cell>
          <cell r="AO1340">
            <v>0</v>
          </cell>
          <cell r="AP1340">
            <v>0</v>
          </cell>
          <cell r="AZ1340">
            <v>0</v>
          </cell>
          <cell r="BT1340">
            <v>0</v>
          </cell>
          <cell r="BX1340">
            <v>0</v>
          </cell>
          <cell r="CB1340">
            <v>0</v>
          </cell>
          <cell r="CE1340" t="str">
            <v>14EU</v>
          </cell>
          <cell r="CF1340" t="str">
            <v>14EU</v>
          </cell>
          <cell r="CG1340" t="str">
            <v>14EU</v>
          </cell>
        </row>
        <row r="1341">
          <cell r="O1341">
            <v>14</v>
          </cell>
          <cell r="AN1341">
            <v>0</v>
          </cell>
          <cell r="AO1341">
            <v>9.0817466903801947</v>
          </cell>
          <cell r="AP1341">
            <v>0</v>
          </cell>
          <cell r="AZ1341">
            <v>9.81</v>
          </cell>
          <cell r="BT1341">
            <v>0</v>
          </cell>
          <cell r="BX1341">
            <v>8.4230585993330163</v>
          </cell>
          <cell r="CB1341">
            <v>0</v>
          </cell>
          <cell r="CE1341" t="str">
            <v>14LOCAL</v>
          </cell>
          <cell r="CF1341" t="str">
            <v>14LOCAL</v>
          </cell>
          <cell r="CG1341" t="str">
            <v>14LOCAL</v>
          </cell>
        </row>
        <row r="1342">
          <cell r="O1342">
            <v>14</v>
          </cell>
          <cell r="AN1342">
            <v>0</v>
          </cell>
          <cell r="AO1342">
            <v>6.7303056512807338</v>
          </cell>
          <cell r="AP1342">
            <v>0</v>
          </cell>
          <cell r="AZ1342">
            <v>7.27</v>
          </cell>
          <cell r="BT1342">
            <v>0</v>
          </cell>
          <cell r="BX1342">
            <v>8.2442188587972289</v>
          </cell>
          <cell r="CB1342">
            <v>0</v>
          </cell>
          <cell r="CE1342" t="str">
            <v>14LOCAL</v>
          </cell>
          <cell r="CF1342" t="str">
            <v>14LOCAL</v>
          </cell>
          <cell r="CG1342" t="str">
            <v>14LOCAL</v>
          </cell>
        </row>
        <row r="1343">
          <cell r="O1343">
            <v>14</v>
          </cell>
          <cell r="AN1343">
            <v>10.933275067623862</v>
          </cell>
          <cell r="AO1343">
            <v>0</v>
          </cell>
          <cell r="AP1343">
            <v>10.933275067623862</v>
          </cell>
          <cell r="AZ1343">
            <v>0</v>
          </cell>
          <cell r="BT1343">
            <v>9.551508044123576</v>
          </cell>
          <cell r="BX1343">
            <v>0</v>
          </cell>
          <cell r="CB1343">
            <v>9.551508044123576</v>
          </cell>
          <cell r="CE1343" t="str">
            <v>14LOCAL</v>
          </cell>
          <cell r="CF1343" t="str">
            <v>14LOCAL</v>
          </cell>
          <cell r="CG1343" t="str">
            <v>14LOCAL</v>
          </cell>
        </row>
        <row r="1344">
          <cell r="O1344">
            <v>14</v>
          </cell>
          <cell r="AN1344">
            <v>8.9243667783144822</v>
          </cell>
          <cell r="AO1344">
            <v>0</v>
          </cell>
          <cell r="AP1344">
            <v>8.9243667783144822</v>
          </cell>
          <cell r="AZ1344">
            <v>0</v>
          </cell>
          <cell r="BT1344">
            <v>9.3509729908014805</v>
          </cell>
          <cell r="BX1344">
            <v>0</v>
          </cell>
          <cell r="CB1344">
            <v>9.3509729908014805</v>
          </cell>
          <cell r="CE1344" t="str">
            <v>14LOCAL</v>
          </cell>
          <cell r="CF1344" t="str">
            <v>14LOCAL</v>
          </cell>
          <cell r="CG1344" t="str">
            <v>14LOCAL</v>
          </cell>
        </row>
        <row r="1345">
          <cell r="O1345">
            <v>14</v>
          </cell>
          <cell r="AN1345">
            <v>0.5924890807179739</v>
          </cell>
          <cell r="AO1345">
            <v>0.5924890807179739</v>
          </cell>
          <cell r="AP1345">
            <v>0.5924890807179739</v>
          </cell>
          <cell r="AZ1345">
            <v>0.64</v>
          </cell>
          <cell r="BT1345">
            <v>0.5924890807179739</v>
          </cell>
          <cell r="BX1345">
            <v>0.5924890807179739</v>
          </cell>
          <cell r="CB1345">
            <v>0.5924890807179739</v>
          </cell>
          <cell r="CE1345" t="str">
            <v>14EU</v>
          </cell>
          <cell r="CF1345" t="str">
            <v>14EU</v>
          </cell>
          <cell r="CG1345" t="str">
            <v>14EU</v>
          </cell>
        </row>
        <row r="1346">
          <cell r="O1346">
            <v>14</v>
          </cell>
          <cell r="AN1346">
            <v>0</v>
          </cell>
          <cell r="AO1346">
            <v>2.1292576338302185</v>
          </cell>
          <cell r="AP1346">
            <v>0</v>
          </cell>
          <cell r="AZ1346">
            <v>2.2999999999999998</v>
          </cell>
          <cell r="BT1346">
            <v>0</v>
          </cell>
          <cell r="BX1346">
            <v>2.1292576338302185</v>
          </cell>
          <cell r="CB1346">
            <v>0</v>
          </cell>
          <cell r="CE1346" t="str">
            <v>14EU</v>
          </cell>
          <cell r="CF1346" t="str">
            <v>14EU</v>
          </cell>
          <cell r="CG1346" t="str">
            <v>14EU</v>
          </cell>
        </row>
        <row r="1347">
          <cell r="O1347">
            <v>14</v>
          </cell>
          <cell r="AN1347">
            <v>0</v>
          </cell>
          <cell r="AO1347">
            <v>2.1292576338302185</v>
          </cell>
          <cell r="AP1347">
            <v>0</v>
          </cell>
          <cell r="AZ1347">
            <v>2.2999999999999998</v>
          </cell>
          <cell r="BT1347">
            <v>0</v>
          </cell>
          <cell r="BX1347">
            <v>2.1292576338302185</v>
          </cell>
          <cell r="CB1347">
            <v>0</v>
          </cell>
          <cell r="CE1347" t="str">
            <v>14EU</v>
          </cell>
          <cell r="CF1347" t="str">
            <v>14EU</v>
          </cell>
          <cell r="CG1347" t="str">
            <v>14EU</v>
          </cell>
        </row>
        <row r="1348">
          <cell r="O1348">
            <v>14</v>
          </cell>
          <cell r="AN1348">
            <v>0</v>
          </cell>
          <cell r="AO1348">
            <v>0.5924890807179739</v>
          </cell>
          <cell r="AP1348">
            <v>0</v>
          </cell>
          <cell r="AZ1348">
            <v>0.64</v>
          </cell>
          <cell r="BT1348">
            <v>0</v>
          </cell>
          <cell r="BX1348">
            <v>0.5924890807179739</v>
          </cell>
          <cell r="CB1348">
            <v>0</v>
          </cell>
          <cell r="CE1348" t="str">
            <v>14EU</v>
          </cell>
          <cell r="CF1348" t="str">
            <v>14EU</v>
          </cell>
          <cell r="CG1348" t="str">
            <v>14EU</v>
          </cell>
        </row>
        <row r="1349">
          <cell r="O1349">
            <v>14</v>
          </cell>
          <cell r="AN1349">
            <v>0</v>
          </cell>
          <cell r="AO1349">
            <v>0.49065501996957211</v>
          </cell>
          <cell r="AP1349">
            <v>0</v>
          </cell>
          <cell r="AZ1349">
            <v>0.53</v>
          </cell>
          <cell r="BT1349">
            <v>0</v>
          </cell>
          <cell r="BX1349">
            <v>0.49065501996957211</v>
          </cell>
          <cell r="CB1349">
            <v>0</v>
          </cell>
          <cell r="CE1349" t="str">
            <v>14EU</v>
          </cell>
          <cell r="CF1349" t="str">
            <v>14EU</v>
          </cell>
          <cell r="CG1349" t="str">
            <v>14EU</v>
          </cell>
        </row>
        <row r="1350">
          <cell r="O1350">
            <v>14</v>
          </cell>
          <cell r="AN1350">
            <v>0</v>
          </cell>
          <cell r="AO1350">
            <v>0</v>
          </cell>
          <cell r="AP1350">
            <v>0</v>
          </cell>
          <cell r="AZ1350">
            <v>0</v>
          </cell>
          <cell r="BT1350">
            <v>0</v>
          </cell>
          <cell r="BX1350">
            <v>0</v>
          </cell>
          <cell r="CB1350">
            <v>0</v>
          </cell>
          <cell r="CE1350" t="str">
            <v>14EU</v>
          </cell>
          <cell r="CF1350" t="str">
            <v>14EU</v>
          </cell>
          <cell r="CG1350" t="str">
            <v>14EU</v>
          </cell>
        </row>
        <row r="1351">
          <cell r="O1351">
            <v>14</v>
          </cell>
          <cell r="AN1351">
            <v>1.2960698640705677</v>
          </cell>
          <cell r="AO1351">
            <v>1.2960698640705677</v>
          </cell>
          <cell r="AP1351">
            <v>1.2960698640705677</v>
          </cell>
          <cell r="AZ1351">
            <v>1.4</v>
          </cell>
          <cell r="BT1351">
            <v>1.2960698640705677</v>
          </cell>
          <cell r="BX1351">
            <v>1.2960698640705677</v>
          </cell>
          <cell r="CB1351">
            <v>1.2960698640705677</v>
          </cell>
          <cell r="CE1351" t="str">
            <v>14EU</v>
          </cell>
          <cell r="CF1351" t="str">
            <v>14EU</v>
          </cell>
          <cell r="CG1351" t="str">
            <v>14EU</v>
          </cell>
        </row>
        <row r="1352">
          <cell r="O1352">
            <v>14</v>
          </cell>
          <cell r="AN1352">
            <v>0.52768558751444539</v>
          </cell>
          <cell r="AO1352">
            <v>0.52768558751444539</v>
          </cell>
          <cell r="AP1352">
            <v>0.52768558751444539</v>
          </cell>
          <cell r="AZ1352">
            <v>0.56999999999999995</v>
          </cell>
          <cell r="BT1352">
            <v>0.52768558751444539</v>
          </cell>
          <cell r="BX1352">
            <v>0.52768558751444539</v>
          </cell>
          <cell r="CB1352">
            <v>0.52768558751444539</v>
          </cell>
          <cell r="CE1352" t="str">
            <v>14EU</v>
          </cell>
          <cell r="CF1352" t="str">
            <v>14EU</v>
          </cell>
          <cell r="CG1352" t="str">
            <v>14EU</v>
          </cell>
        </row>
        <row r="1353">
          <cell r="O1353">
            <v>14</v>
          </cell>
          <cell r="AN1353">
            <v>0</v>
          </cell>
          <cell r="AO1353">
            <v>0</v>
          </cell>
          <cell r="AP1353">
            <v>0</v>
          </cell>
          <cell r="AZ1353">
            <v>0</v>
          </cell>
          <cell r="BT1353">
            <v>0</v>
          </cell>
          <cell r="BX1353">
            <v>0</v>
          </cell>
          <cell r="CB1353">
            <v>0</v>
          </cell>
          <cell r="CE1353" t="str">
            <v>14LOCAL</v>
          </cell>
          <cell r="CF1353" t="str">
            <v>14LOCAL</v>
          </cell>
          <cell r="CG1353" t="str">
            <v>14LOCAL</v>
          </cell>
        </row>
        <row r="1354">
          <cell r="O1354">
            <v>14</v>
          </cell>
          <cell r="AN1354">
            <v>0</v>
          </cell>
          <cell r="AO1354">
            <v>0</v>
          </cell>
          <cell r="AP1354">
            <v>0</v>
          </cell>
          <cell r="AZ1354">
            <v>0</v>
          </cell>
          <cell r="BT1354">
            <v>0</v>
          </cell>
          <cell r="BX1354">
            <v>0</v>
          </cell>
          <cell r="CB1354">
            <v>0</v>
          </cell>
          <cell r="CE1354" t="str">
            <v>14EU</v>
          </cell>
          <cell r="CF1354" t="str">
            <v>14EU</v>
          </cell>
          <cell r="CG1354" t="str">
            <v>14EU</v>
          </cell>
        </row>
        <row r="1355">
          <cell r="O1355">
            <v>14</v>
          </cell>
          <cell r="AN1355">
            <v>0</v>
          </cell>
          <cell r="AO1355">
            <v>0</v>
          </cell>
          <cell r="AP1355">
            <v>0</v>
          </cell>
          <cell r="AZ1355">
            <v>0</v>
          </cell>
          <cell r="BT1355">
            <v>0</v>
          </cell>
          <cell r="BX1355">
            <v>0</v>
          </cell>
          <cell r="CB1355">
            <v>0</v>
          </cell>
          <cell r="CE1355" t="str">
            <v>14EU</v>
          </cell>
          <cell r="CF1355" t="str">
            <v>14EU</v>
          </cell>
          <cell r="CG1355" t="str">
            <v>14EU</v>
          </cell>
        </row>
        <row r="1356">
          <cell r="O1356">
            <v>14</v>
          </cell>
          <cell r="AN1356">
            <v>0.30739999883188002</v>
          </cell>
          <cell r="AO1356">
            <v>0.30739999883188002</v>
          </cell>
          <cell r="AP1356">
            <v>0.30739999883188002</v>
          </cell>
          <cell r="AZ1356">
            <v>0.69232424999999986</v>
          </cell>
          <cell r="BT1356">
            <v>0.30739999883188002</v>
          </cell>
          <cell r="BX1356">
            <v>0.30739999883188002</v>
          </cell>
          <cell r="CB1356">
            <v>0.30739999883188002</v>
          </cell>
          <cell r="CE1356" t="str">
            <v>14EU</v>
          </cell>
          <cell r="CF1356" t="str">
            <v>14EU</v>
          </cell>
          <cell r="CG1356" t="str">
            <v>14EU</v>
          </cell>
        </row>
        <row r="1357">
          <cell r="O1357">
            <v>14</v>
          </cell>
          <cell r="AN1357">
            <v>0.30739999883188002</v>
          </cell>
          <cell r="AO1357">
            <v>0.30739999883188002</v>
          </cell>
          <cell r="AP1357">
            <v>0.30739999883188002</v>
          </cell>
          <cell r="AZ1357">
            <v>0.69232424999999986</v>
          </cell>
          <cell r="BT1357">
            <v>0.30739999883188002</v>
          </cell>
          <cell r="BX1357">
            <v>0.30739999883188002</v>
          </cell>
          <cell r="CB1357">
            <v>0.30739999883188002</v>
          </cell>
          <cell r="CE1357" t="str">
            <v>14EU</v>
          </cell>
          <cell r="CF1357" t="str">
            <v>14EU</v>
          </cell>
          <cell r="CG1357" t="str">
            <v>14EU</v>
          </cell>
        </row>
        <row r="1358">
          <cell r="O1358">
            <v>14</v>
          </cell>
          <cell r="AN1358">
            <v>0.59359999774432015</v>
          </cell>
          <cell r="AO1358">
            <v>0.59359999774432015</v>
          </cell>
          <cell r="AP1358">
            <v>0.59359999774432015</v>
          </cell>
          <cell r="AZ1358">
            <v>1.3369020000000003</v>
          </cell>
          <cell r="BT1358">
            <v>0.59359999774432015</v>
          </cell>
          <cell r="BX1358">
            <v>0.59359999774432015</v>
          </cell>
          <cell r="CB1358">
            <v>0.59359999774432015</v>
          </cell>
          <cell r="CE1358" t="str">
            <v>14EU</v>
          </cell>
          <cell r="CF1358" t="str">
            <v>14EU</v>
          </cell>
          <cell r="CG1358" t="str">
            <v>14EU</v>
          </cell>
        </row>
        <row r="1359">
          <cell r="O1359">
            <v>14</v>
          </cell>
          <cell r="AN1359">
            <v>0.59359999774432015</v>
          </cell>
          <cell r="AO1359">
            <v>0.59359999774432015</v>
          </cell>
          <cell r="AP1359">
            <v>0.59359999774432015</v>
          </cell>
          <cell r="AZ1359">
            <v>1.3369020000000003</v>
          </cell>
          <cell r="BT1359">
            <v>0.59359999774432015</v>
          </cell>
          <cell r="BX1359">
            <v>0.59359999774432015</v>
          </cell>
          <cell r="CB1359">
            <v>0.59359999774432015</v>
          </cell>
          <cell r="CE1359" t="str">
            <v>14EU</v>
          </cell>
          <cell r="CF1359" t="str">
            <v>14EU</v>
          </cell>
          <cell r="CG1359" t="str">
            <v>14EU</v>
          </cell>
        </row>
        <row r="1360">
          <cell r="O1360">
            <v>14</v>
          </cell>
          <cell r="AN1360">
            <v>0.41339999842908004</v>
          </cell>
          <cell r="AO1360">
            <v>0.41339999842908004</v>
          </cell>
          <cell r="AP1360">
            <v>0.41339999842908004</v>
          </cell>
          <cell r="AZ1360">
            <v>0.93105674999999999</v>
          </cell>
          <cell r="BT1360">
            <v>0.41339999842908004</v>
          </cell>
          <cell r="BX1360">
            <v>0.41339999842908004</v>
          </cell>
          <cell r="CB1360">
            <v>0.41339999842908004</v>
          </cell>
          <cell r="CE1360" t="str">
            <v>14EU</v>
          </cell>
          <cell r="CF1360" t="str">
            <v>14EU</v>
          </cell>
          <cell r="CG1360" t="str">
            <v>14EU</v>
          </cell>
        </row>
        <row r="1361">
          <cell r="O1361">
            <v>14</v>
          </cell>
          <cell r="AN1361">
            <v>8.331877697596507E-2</v>
          </cell>
          <cell r="AO1361">
            <v>8.331877697596507E-2</v>
          </cell>
          <cell r="AP1361">
            <v>8.331877697596507E-2</v>
          </cell>
          <cell r="AZ1361">
            <v>0.18764999999999998</v>
          </cell>
          <cell r="BT1361">
            <v>8.331877697596507E-2</v>
          </cell>
          <cell r="BX1361">
            <v>8.331877697596507E-2</v>
          </cell>
          <cell r="CB1361">
            <v>8.331877697596507E-2</v>
          </cell>
          <cell r="CE1361" t="str">
            <v>14EU</v>
          </cell>
          <cell r="CF1361" t="str">
            <v>14EU</v>
          </cell>
          <cell r="CG1361" t="str">
            <v>14EU</v>
          </cell>
        </row>
        <row r="1362">
          <cell r="O1362">
            <v>14</v>
          </cell>
          <cell r="AN1362">
            <v>0.44436681053848037</v>
          </cell>
          <cell r="AO1362">
            <v>0.44436681053848037</v>
          </cell>
          <cell r="AP1362">
            <v>0.44436681053848037</v>
          </cell>
          <cell r="AZ1362">
            <v>0.48</v>
          </cell>
          <cell r="BT1362">
            <v>0.44436681053848037</v>
          </cell>
          <cell r="BX1362">
            <v>0.44436681053848037</v>
          </cell>
          <cell r="CB1362">
            <v>0.44436681053848037</v>
          </cell>
          <cell r="CE1362" t="str">
            <v>14EU</v>
          </cell>
          <cell r="CF1362" t="str">
            <v>14EU</v>
          </cell>
          <cell r="CG1362" t="str">
            <v>14EU</v>
          </cell>
        </row>
        <row r="1363">
          <cell r="O1363">
            <v>14</v>
          </cell>
          <cell r="AN1363">
            <v>0.38882095922117033</v>
          </cell>
          <cell r="AO1363">
            <v>0.38882095922117033</v>
          </cell>
          <cell r="AP1363">
            <v>0.38882095922117033</v>
          </cell>
          <cell r="AZ1363">
            <v>0.42</v>
          </cell>
          <cell r="BT1363">
            <v>0.38882095922117033</v>
          </cell>
          <cell r="BX1363">
            <v>0.38882095922117033</v>
          </cell>
          <cell r="CB1363">
            <v>0.38882095922117033</v>
          </cell>
          <cell r="CE1363" t="str">
            <v>14EU</v>
          </cell>
          <cell r="CF1363" t="str">
            <v>14EU</v>
          </cell>
          <cell r="CG1363" t="str">
            <v>14EU</v>
          </cell>
        </row>
        <row r="1364">
          <cell r="O1364">
            <v>14</v>
          </cell>
          <cell r="AN1364">
            <v>0</v>
          </cell>
          <cell r="AO1364">
            <v>0</v>
          </cell>
          <cell r="AP1364">
            <v>0</v>
          </cell>
          <cell r="AZ1364">
            <v>0</v>
          </cell>
          <cell r="BT1364">
            <v>0</v>
          </cell>
          <cell r="BX1364">
            <v>0</v>
          </cell>
          <cell r="CB1364">
            <v>0</v>
          </cell>
          <cell r="CE1364" t="str">
            <v>14LOCAL</v>
          </cell>
          <cell r="CF1364" t="str">
            <v>14LOCAL</v>
          </cell>
          <cell r="CG1364" t="str">
            <v>14LOCAL</v>
          </cell>
        </row>
        <row r="1365">
          <cell r="O1365">
            <v>14</v>
          </cell>
          <cell r="AN1365">
            <v>-9.2576418862183409</v>
          </cell>
          <cell r="AO1365">
            <v>-9.2576418862183409</v>
          </cell>
          <cell r="AP1365">
            <v>-9.2576418862183409</v>
          </cell>
          <cell r="AZ1365">
            <v>-10</v>
          </cell>
          <cell r="BT1365">
            <v>-9.2576418862183409</v>
          </cell>
          <cell r="BX1365">
            <v>-9.2576418862183409</v>
          </cell>
          <cell r="CB1365">
            <v>-9.2576418862183409</v>
          </cell>
          <cell r="CE1365" t="str">
            <v>14EU</v>
          </cell>
          <cell r="CF1365" t="str">
            <v>14EU</v>
          </cell>
          <cell r="CG1365" t="str">
            <v>14EU</v>
          </cell>
        </row>
        <row r="1366">
          <cell r="O1366">
            <v>14</v>
          </cell>
          <cell r="AN1366">
            <v>0</v>
          </cell>
          <cell r="AO1366">
            <v>0</v>
          </cell>
          <cell r="AP1366">
            <v>6.3599999758320012</v>
          </cell>
          <cell r="AZ1366">
            <v>0</v>
          </cell>
          <cell r="BT1366">
            <v>0</v>
          </cell>
          <cell r="BX1366">
            <v>0</v>
          </cell>
          <cell r="CB1366">
            <v>6.3599999758320012</v>
          </cell>
          <cell r="CE1366" t="str">
            <v>14EU</v>
          </cell>
          <cell r="CF1366" t="str">
            <v>14EU</v>
          </cell>
          <cell r="CG1366" t="str">
            <v>14EU</v>
          </cell>
        </row>
        <row r="1367">
          <cell r="O1367">
            <v>14</v>
          </cell>
          <cell r="AN1367">
            <v>10</v>
          </cell>
          <cell r="AO1367">
            <v>0</v>
          </cell>
          <cell r="AP1367">
            <v>0</v>
          </cell>
          <cell r="AZ1367">
            <v>0</v>
          </cell>
          <cell r="BT1367">
            <v>10</v>
          </cell>
          <cell r="BX1367">
            <v>0</v>
          </cell>
          <cell r="CB1367">
            <v>0</v>
          </cell>
          <cell r="CE1367" t="str">
            <v>14EU</v>
          </cell>
          <cell r="CF1367" t="str">
            <v>14EU</v>
          </cell>
          <cell r="CG1367" t="str">
            <v>14EU</v>
          </cell>
        </row>
        <row r="1368">
          <cell r="O1368">
            <v>14</v>
          </cell>
          <cell r="AN1368">
            <v>0</v>
          </cell>
          <cell r="AO1368">
            <v>8</v>
          </cell>
          <cell r="AP1368">
            <v>0</v>
          </cell>
          <cell r="AZ1368">
            <v>8</v>
          </cell>
          <cell r="BT1368">
            <v>0</v>
          </cell>
          <cell r="BX1368">
            <v>8</v>
          </cell>
          <cell r="CB1368">
            <v>0</v>
          </cell>
          <cell r="CE1368" t="str">
            <v>14EU</v>
          </cell>
          <cell r="CF1368" t="str">
            <v>14EU</v>
          </cell>
          <cell r="CG1368" t="str">
            <v>14EU</v>
          </cell>
        </row>
        <row r="1369">
          <cell r="O1369">
            <v>15</v>
          </cell>
          <cell r="AN1369">
            <v>1.6562118294929922</v>
          </cell>
          <cell r="AO1369">
            <v>0</v>
          </cell>
          <cell r="AP1369">
            <v>1.6562118294929922</v>
          </cell>
          <cell r="AZ1369">
            <v>0</v>
          </cell>
          <cell r="BT1369">
            <v>2.0200241940148733</v>
          </cell>
          <cell r="BX1369">
            <v>0</v>
          </cell>
          <cell r="CB1369">
            <v>2.0200241940148733</v>
          </cell>
          <cell r="CE1369" t="str">
            <v>15LOCAL</v>
          </cell>
          <cell r="CF1369" t="str">
            <v>15LOCAL</v>
          </cell>
          <cell r="CG1369" t="str">
            <v>15LOCAL</v>
          </cell>
        </row>
        <row r="1370">
          <cell r="O1370">
            <v>15</v>
          </cell>
          <cell r="AN1370">
            <v>3.19455</v>
          </cell>
          <cell r="AO1370">
            <v>3.19455</v>
          </cell>
          <cell r="AP1370">
            <v>3.19455</v>
          </cell>
          <cell r="AZ1370">
            <v>3.19455</v>
          </cell>
          <cell r="BT1370">
            <v>3.19455</v>
          </cell>
          <cell r="BX1370">
            <v>3.19455</v>
          </cell>
          <cell r="CB1370">
            <v>3.19455</v>
          </cell>
          <cell r="CE1370" t="str">
            <v>15EU</v>
          </cell>
          <cell r="CF1370" t="str">
            <v>15EU</v>
          </cell>
          <cell r="CG1370" t="str">
            <v>15EU</v>
          </cell>
        </row>
        <row r="1371">
          <cell r="O1371">
            <v>15</v>
          </cell>
          <cell r="AN1371">
            <v>19.36195</v>
          </cell>
          <cell r="AO1371">
            <v>19.36195</v>
          </cell>
          <cell r="AP1371">
            <v>19.36195</v>
          </cell>
          <cell r="AZ1371">
            <v>19.36195</v>
          </cell>
          <cell r="BT1371">
            <v>11.023564334664858</v>
          </cell>
          <cell r="BX1371">
            <v>11.023564334664858</v>
          </cell>
          <cell r="CB1371">
            <v>11.023564334664858</v>
          </cell>
          <cell r="CE1371" t="str">
            <v>15LOCAL</v>
          </cell>
          <cell r="CF1371" t="str">
            <v>15LOCAL</v>
          </cell>
          <cell r="CG1371" t="str">
            <v>15LOCAL</v>
          </cell>
        </row>
        <row r="1372">
          <cell r="O1372">
            <v>15</v>
          </cell>
          <cell r="AN1372">
            <v>2.1305999919037202</v>
          </cell>
          <cell r="AO1372">
            <v>2.1305999919037202</v>
          </cell>
          <cell r="AP1372">
            <v>2.1305999919037202</v>
          </cell>
          <cell r="AZ1372">
            <v>2.30145</v>
          </cell>
          <cell r="BT1372">
            <v>2.1305999919037202</v>
          </cell>
          <cell r="BX1372">
            <v>2.1305999919037202</v>
          </cell>
          <cell r="CB1372">
            <v>2.1305999919037202</v>
          </cell>
          <cell r="CE1372" t="str">
            <v>15EU</v>
          </cell>
          <cell r="CF1372" t="str">
            <v>15EU</v>
          </cell>
          <cell r="CG1372" t="str">
            <v>15EU</v>
          </cell>
        </row>
        <row r="1373">
          <cell r="O1373">
            <v>15</v>
          </cell>
          <cell r="AN1373">
            <v>5.2787999799405609</v>
          </cell>
          <cell r="AO1373">
            <v>5.2787999799405609</v>
          </cell>
          <cell r="AP1373">
            <v>5.2787999799405609</v>
          </cell>
          <cell r="AZ1373">
            <v>5.7021000000000006</v>
          </cell>
          <cell r="BT1373">
            <v>5.2787999799405609</v>
          </cell>
          <cell r="BX1373">
            <v>5.2787999799405609</v>
          </cell>
          <cell r="CB1373">
            <v>5.2787999799405609</v>
          </cell>
          <cell r="CE1373" t="str">
            <v>15EU</v>
          </cell>
          <cell r="CF1373" t="str">
            <v>15EU</v>
          </cell>
          <cell r="CG1373" t="str">
            <v>15EU</v>
          </cell>
        </row>
        <row r="1374">
          <cell r="O1374">
            <v>15</v>
          </cell>
          <cell r="AN1374">
            <v>2.3357999999999999</v>
          </cell>
          <cell r="AO1374">
            <v>2.3357999999999999</v>
          </cell>
          <cell r="AP1374">
            <v>2.3357999999999999</v>
          </cell>
          <cell r="AZ1374">
            <v>2.3357999999999999</v>
          </cell>
          <cell r="BT1374">
            <v>2.3357999999999999</v>
          </cell>
          <cell r="BX1374">
            <v>2.3357999999999999</v>
          </cell>
          <cell r="CB1374">
            <v>2.3357999999999999</v>
          </cell>
          <cell r="CE1374" t="str">
            <v>15EU</v>
          </cell>
          <cell r="CF1374" t="str">
            <v>15EU</v>
          </cell>
          <cell r="CG1374" t="str">
            <v>15EU</v>
          </cell>
        </row>
        <row r="1375">
          <cell r="O1375">
            <v>15</v>
          </cell>
          <cell r="AN1375">
            <v>3.7523999857408805</v>
          </cell>
          <cell r="AO1375">
            <v>3.7523999857408805</v>
          </cell>
          <cell r="AP1375">
            <v>3.7523999857408805</v>
          </cell>
          <cell r="AZ1375">
            <v>4.0533000000000001</v>
          </cell>
          <cell r="BT1375">
            <v>3.7523999857408805</v>
          </cell>
          <cell r="BX1375">
            <v>3.7523999857408805</v>
          </cell>
          <cell r="CB1375">
            <v>3.7523999857408805</v>
          </cell>
          <cell r="CE1375" t="str">
            <v>15EU</v>
          </cell>
          <cell r="CF1375" t="str">
            <v>15EU</v>
          </cell>
          <cell r="CG1375" t="str">
            <v>15EU</v>
          </cell>
        </row>
        <row r="1376">
          <cell r="O1376">
            <v>15</v>
          </cell>
          <cell r="AN1376">
            <v>7.4196000000000009</v>
          </cell>
          <cell r="AO1376">
            <v>0</v>
          </cell>
          <cell r="AP1376">
            <v>7.4196000000000009</v>
          </cell>
          <cell r="AZ1376">
            <v>0</v>
          </cell>
          <cell r="BT1376">
            <v>7.4196000000000009</v>
          </cell>
          <cell r="BX1376">
            <v>0</v>
          </cell>
          <cell r="CB1376">
            <v>7.4196000000000009</v>
          </cell>
          <cell r="CE1376" t="str">
            <v>15EU</v>
          </cell>
          <cell r="CF1376" t="str">
            <v>15EU</v>
          </cell>
          <cell r="CG1376" t="str">
            <v>15EU</v>
          </cell>
        </row>
        <row r="1377">
          <cell r="O1377">
            <v>15</v>
          </cell>
          <cell r="AN1377">
            <v>0</v>
          </cell>
          <cell r="AO1377">
            <v>6.8929</v>
          </cell>
          <cell r="AP1377">
            <v>0</v>
          </cell>
          <cell r="AZ1377">
            <v>6.8929</v>
          </cell>
          <cell r="BT1377">
            <v>0</v>
          </cell>
          <cell r="BX1377">
            <v>6.8929</v>
          </cell>
          <cell r="CB1377">
            <v>0</v>
          </cell>
          <cell r="CE1377" t="str">
            <v>15EU</v>
          </cell>
          <cell r="CF1377" t="str">
            <v>15EU</v>
          </cell>
          <cell r="CG1377" t="str">
            <v>15EU</v>
          </cell>
        </row>
        <row r="1378">
          <cell r="O1378">
            <v>15</v>
          </cell>
          <cell r="AN1378">
            <v>1.8973999927898801</v>
          </cell>
          <cell r="AO1378">
            <v>1.8973999927898801</v>
          </cell>
          <cell r="AP1378">
            <v>1.8973999927898801</v>
          </cell>
          <cell r="AZ1378">
            <v>2.04955</v>
          </cell>
          <cell r="BT1378">
            <v>1.8973999927898801</v>
          </cell>
          <cell r="BX1378">
            <v>1.8973999927898801</v>
          </cell>
          <cell r="CB1378">
            <v>1.8973999927898801</v>
          </cell>
          <cell r="CE1378" t="str">
            <v>15EU</v>
          </cell>
          <cell r="CF1378" t="str">
            <v>15EU</v>
          </cell>
          <cell r="CG1378" t="str">
            <v>15EU</v>
          </cell>
        </row>
        <row r="1379">
          <cell r="O1379">
            <v>15</v>
          </cell>
          <cell r="AN1379">
            <v>4.32479998356576</v>
          </cell>
          <cell r="AO1379">
            <v>4.32479998356576</v>
          </cell>
          <cell r="AP1379">
            <v>4.32479998356576</v>
          </cell>
          <cell r="AZ1379">
            <v>4.6715999999999998</v>
          </cell>
          <cell r="BT1379">
            <v>4.32479998356576</v>
          </cell>
          <cell r="BX1379">
            <v>4.32479998356576</v>
          </cell>
          <cell r="CB1379">
            <v>4.32479998356576</v>
          </cell>
          <cell r="CE1379" t="str">
            <v>15EU</v>
          </cell>
          <cell r="CF1379" t="str">
            <v>15EU</v>
          </cell>
          <cell r="CG1379" t="str">
            <v>15EU</v>
          </cell>
        </row>
        <row r="1380">
          <cell r="O1380">
            <v>15</v>
          </cell>
          <cell r="AN1380">
            <v>2.7068094218415415</v>
          </cell>
          <cell r="AO1380">
            <v>0</v>
          </cell>
          <cell r="AP1380">
            <v>2.7068094218415415</v>
          </cell>
          <cell r="AZ1380">
            <v>0</v>
          </cell>
          <cell r="BT1380">
            <v>2.7068094218415415</v>
          </cell>
          <cell r="BX1380">
            <v>0</v>
          </cell>
          <cell r="CB1380">
            <v>2.7068094218415415</v>
          </cell>
          <cell r="CE1380" t="str">
            <v>15EU</v>
          </cell>
          <cell r="CF1380" t="str">
            <v>15EU</v>
          </cell>
          <cell r="CG1380" t="str">
            <v>15EU</v>
          </cell>
        </row>
        <row r="1381">
          <cell r="O1381">
            <v>15</v>
          </cell>
          <cell r="AN1381">
            <v>0</v>
          </cell>
          <cell r="AO1381">
            <v>3.0598715203426123</v>
          </cell>
          <cell r="AP1381">
            <v>0</v>
          </cell>
          <cell r="AZ1381">
            <v>3.5724</v>
          </cell>
          <cell r="BT1381">
            <v>0</v>
          </cell>
          <cell r="BX1381">
            <v>3.0598715203426123</v>
          </cell>
          <cell r="CB1381">
            <v>0</v>
          </cell>
          <cell r="CE1381" t="str">
            <v>15EU</v>
          </cell>
          <cell r="CF1381" t="str">
            <v>15EU</v>
          </cell>
          <cell r="CG1381" t="str">
            <v>15EU</v>
          </cell>
        </row>
        <row r="1382">
          <cell r="O1382">
            <v>15</v>
          </cell>
          <cell r="AN1382">
            <v>77.719199704667062</v>
          </cell>
          <cell r="AO1382">
            <v>77.719199704667062</v>
          </cell>
          <cell r="AP1382">
            <v>77.719199704667062</v>
          </cell>
          <cell r="AZ1382">
            <v>83.951400000000007</v>
          </cell>
          <cell r="BT1382">
            <v>32.574197456087212</v>
          </cell>
          <cell r="BX1382">
            <v>32.574197456087212</v>
          </cell>
          <cell r="CB1382">
            <v>32.574197456087212</v>
          </cell>
          <cell r="CE1382" t="str">
            <v>15LOCAL</v>
          </cell>
          <cell r="CF1382" t="str">
            <v>15LOCAL</v>
          </cell>
          <cell r="CG1382" t="str">
            <v>15LOCAL</v>
          </cell>
        </row>
        <row r="1383">
          <cell r="O1383">
            <v>15</v>
          </cell>
          <cell r="AN1383">
            <v>0</v>
          </cell>
          <cell r="AO1383">
            <v>0</v>
          </cell>
          <cell r="AP1383">
            <v>0</v>
          </cell>
          <cell r="AZ1383">
            <v>0</v>
          </cell>
          <cell r="BT1383">
            <v>32.594999876138999</v>
          </cell>
          <cell r="BX1383">
            <v>32.594999876138999</v>
          </cell>
          <cell r="CB1383">
            <v>32.594999876138999</v>
          </cell>
          <cell r="CE1383" t="str">
            <v>15LOCAL</v>
          </cell>
          <cell r="CF1383" t="str">
            <v>15LOCAL</v>
          </cell>
          <cell r="CG1383" t="str">
            <v>15LOCAL</v>
          </cell>
        </row>
        <row r="1384">
          <cell r="O1384">
            <v>15</v>
          </cell>
          <cell r="AN1384">
            <v>6.4977999753083608</v>
          </cell>
          <cell r="AO1384">
            <v>6.4977999753083608</v>
          </cell>
          <cell r="AP1384">
            <v>6.4977999753083608</v>
          </cell>
          <cell r="AZ1384">
            <v>7.0188499999999996</v>
          </cell>
          <cell r="BT1384">
            <v>6.4977999753083608</v>
          </cell>
          <cell r="BX1384">
            <v>6.4977999753083608</v>
          </cell>
          <cell r="CB1384">
            <v>6.4977999753083608</v>
          </cell>
          <cell r="CE1384" t="str">
            <v>15EU</v>
          </cell>
          <cell r="CF1384" t="str">
            <v>15EU</v>
          </cell>
          <cell r="CG1384" t="str">
            <v>15EU</v>
          </cell>
        </row>
        <row r="1385">
          <cell r="O1385">
            <v>15</v>
          </cell>
          <cell r="AN1385">
            <v>4.9620960510130319</v>
          </cell>
          <cell r="AO1385">
            <v>34.114410350714593</v>
          </cell>
          <cell r="AP1385">
            <v>4.9620960510130319</v>
          </cell>
          <cell r="AZ1385">
            <v>36.85</v>
          </cell>
          <cell r="BT1385">
            <v>4.9620960510130319</v>
          </cell>
          <cell r="BX1385">
            <v>16.408801168971433</v>
          </cell>
          <cell r="CB1385">
            <v>4.9620960510130319</v>
          </cell>
          <cell r="CE1385" t="str">
            <v>15EU</v>
          </cell>
          <cell r="CF1385" t="str">
            <v>15LOCAL</v>
          </cell>
          <cell r="CG1385" t="str">
            <v>15EU</v>
          </cell>
        </row>
        <row r="1386">
          <cell r="O1386">
            <v>15</v>
          </cell>
          <cell r="AN1386">
            <v>2.2429170911939463E-2</v>
          </cell>
          <cell r="AO1386">
            <v>2.2429170911939463E-2</v>
          </cell>
          <cell r="AP1386">
            <v>2.2429170911939463E-2</v>
          </cell>
          <cell r="AZ1386">
            <v>2.4227736596000006E-2</v>
          </cell>
          <cell r="BT1386">
            <v>2.2429170911939463E-2</v>
          </cell>
          <cell r="BX1386">
            <v>2.2429170911939463E-2</v>
          </cell>
          <cell r="CB1386">
            <v>2.2429170911939463E-2</v>
          </cell>
          <cell r="CE1386" t="str">
            <v>15EU</v>
          </cell>
          <cell r="CF1386" t="str">
            <v>15EU</v>
          </cell>
          <cell r="CG1386" t="str">
            <v>15EU</v>
          </cell>
        </row>
        <row r="1387">
          <cell r="O1387">
            <v>15</v>
          </cell>
          <cell r="AN1387">
            <v>5.2998986086813478E-2</v>
          </cell>
          <cell r="AO1387">
            <v>5.2998986086813478E-2</v>
          </cell>
          <cell r="AP1387">
            <v>5.2998986086813478E-2</v>
          </cell>
          <cell r="AZ1387">
            <v>5.724890500000001E-2</v>
          </cell>
          <cell r="BT1387">
            <v>5.1842794562822717E-2</v>
          </cell>
          <cell r="BX1387">
            <v>5.1842794562822717E-2</v>
          </cell>
          <cell r="CB1387">
            <v>5.1842794562822717E-2</v>
          </cell>
          <cell r="CE1387" t="str">
            <v>15LOCAL</v>
          </cell>
          <cell r="CF1387" t="str">
            <v>15LOCAL</v>
          </cell>
          <cell r="CG1387" t="str">
            <v>15LOCAL</v>
          </cell>
        </row>
        <row r="1388">
          <cell r="O1388">
            <v>15</v>
          </cell>
          <cell r="AN1388">
            <v>0.18960837336000003</v>
          </cell>
          <cell r="AO1388">
            <v>0.18960837336000003</v>
          </cell>
          <cell r="AP1388">
            <v>0.18960837336000003</v>
          </cell>
          <cell r="AZ1388">
            <v>0.18960837336000003</v>
          </cell>
          <cell r="BT1388">
            <v>0.18960837336000003</v>
          </cell>
          <cell r="BX1388">
            <v>0.18960837336000003</v>
          </cell>
          <cell r="CB1388">
            <v>0.18960837336000003</v>
          </cell>
          <cell r="CE1388" t="str">
            <v>15EU</v>
          </cell>
          <cell r="CF1388" t="str">
            <v>15EU</v>
          </cell>
          <cell r="CG1388" t="str">
            <v>15EU</v>
          </cell>
        </row>
        <row r="1389">
          <cell r="O1389">
            <v>15</v>
          </cell>
          <cell r="AN1389">
            <v>0.11702176127968414</v>
          </cell>
          <cell r="AO1389">
            <v>0.11702176127968414</v>
          </cell>
          <cell r="AP1389">
            <v>0.11702176127968414</v>
          </cell>
          <cell r="AZ1389">
            <v>0.12640558224000001</v>
          </cell>
          <cell r="BT1389">
            <v>0.11702176127968414</v>
          </cell>
          <cell r="BX1389">
            <v>0.11702176127968414</v>
          </cell>
          <cell r="CB1389">
            <v>0.11702176127968414</v>
          </cell>
          <cell r="CE1389" t="str">
            <v>15EU</v>
          </cell>
          <cell r="CF1389" t="str">
            <v>15EU</v>
          </cell>
          <cell r="CG1389" t="str">
            <v>15EU</v>
          </cell>
        </row>
        <row r="1390">
          <cell r="O1390">
            <v>15</v>
          </cell>
          <cell r="AN1390">
            <v>8.69183371823741E-2</v>
          </cell>
          <cell r="AO1390">
            <v>8.69183371823741E-2</v>
          </cell>
          <cell r="AP1390">
            <v>8.69183371823741E-2</v>
          </cell>
          <cell r="AZ1390">
            <v>9.3888204200000019E-2</v>
          </cell>
          <cell r="BT1390">
            <v>8.69183371823741E-2</v>
          </cell>
          <cell r="BX1390">
            <v>8.69183371823741E-2</v>
          </cell>
          <cell r="CB1390">
            <v>8.69183371823741E-2</v>
          </cell>
          <cell r="CE1390" t="str">
            <v>15EU</v>
          </cell>
          <cell r="CF1390" t="str">
            <v>15EU</v>
          </cell>
          <cell r="CG1390" t="str">
            <v>15EU</v>
          </cell>
        </row>
        <row r="1391">
          <cell r="O1391">
            <v>15</v>
          </cell>
          <cell r="AN1391">
            <v>8.69183371823741E-2</v>
          </cell>
          <cell r="AO1391">
            <v>8.69183371823741E-2</v>
          </cell>
          <cell r="AP1391">
            <v>8.69183371823741E-2</v>
          </cell>
          <cell r="AZ1391">
            <v>9.3888204200000019E-2</v>
          </cell>
          <cell r="BT1391">
            <v>8.69183371823741E-2</v>
          </cell>
          <cell r="BX1391">
            <v>8.69183371823741E-2</v>
          </cell>
          <cell r="CB1391">
            <v>8.69183371823741E-2</v>
          </cell>
          <cell r="CE1391" t="str">
            <v>15EU</v>
          </cell>
          <cell r="CF1391" t="str">
            <v>15EU</v>
          </cell>
          <cell r="CG1391" t="str">
            <v>15EU</v>
          </cell>
        </row>
        <row r="1392">
          <cell r="O1392">
            <v>15</v>
          </cell>
          <cell r="AN1392">
            <v>0.16127591466217339</v>
          </cell>
          <cell r="AO1392">
            <v>0.16127591466217339</v>
          </cell>
          <cell r="AP1392">
            <v>0.16127591466217339</v>
          </cell>
          <cell r="AZ1392">
            <v>0.17420841791500002</v>
          </cell>
          <cell r="BT1392">
            <v>0.16127591466217339</v>
          </cell>
          <cell r="BX1392">
            <v>0.16127591466217339</v>
          </cell>
          <cell r="CB1392">
            <v>0.16127591466217339</v>
          </cell>
          <cell r="CE1392" t="str">
            <v>15EU</v>
          </cell>
          <cell r="CF1392" t="str">
            <v>15EU</v>
          </cell>
          <cell r="CG1392" t="str">
            <v>15EU</v>
          </cell>
        </row>
        <row r="1393">
          <cell r="O1393">
            <v>16</v>
          </cell>
          <cell r="AN1393">
            <v>0.48060399817370486</v>
          </cell>
          <cell r="AO1393">
            <v>0.48060399817370486</v>
          </cell>
          <cell r="AP1393">
            <v>0.48060399817370486</v>
          </cell>
          <cell r="AZ1393">
            <v>0.51914300000000002</v>
          </cell>
          <cell r="BT1393">
            <v>0.48060399817370486</v>
          </cell>
          <cell r="BX1393">
            <v>0.48060399817370486</v>
          </cell>
          <cell r="CB1393">
            <v>0.48060399817370486</v>
          </cell>
          <cell r="CE1393" t="str">
            <v>16EU</v>
          </cell>
          <cell r="CF1393" t="str">
            <v>16EU</v>
          </cell>
          <cell r="CG1393" t="str">
            <v>16EU</v>
          </cell>
        </row>
        <row r="1394">
          <cell r="O1394">
            <v>16</v>
          </cell>
          <cell r="AN1394">
            <v>0.52999999798600006</v>
          </cell>
          <cell r="AO1394">
            <v>0.52999999798600006</v>
          </cell>
          <cell r="AP1394">
            <v>0.52999999798600006</v>
          </cell>
          <cell r="AZ1394">
            <v>0.57250000000000001</v>
          </cell>
          <cell r="BT1394">
            <v>0.52999999798600006</v>
          </cell>
          <cell r="BX1394">
            <v>0.52999999798600006</v>
          </cell>
          <cell r="CB1394">
            <v>0.52999999798600006</v>
          </cell>
          <cell r="CE1394" t="str">
            <v>16EU</v>
          </cell>
          <cell r="CF1394" t="str">
            <v>16EU</v>
          </cell>
          <cell r="CG1394" t="str">
            <v>16EU</v>
          </cell>
        </row>
        <row r="1395">
          <cell r="O1395">
            <v>16</v>
          </cell>
          <cell r="AN1395">
            <v>42.558999838275803</v>
          </cell>
          <cell r="AO1395">
            <v>42.558999838275803</v>
          </cell>
          <cell r="AP1395">
            <v>42.558999838275803</v>
          </cell>
          <cell r="AZ1395">
            <v>45.97175</v>
          </cell>
          <cell r="BT1395">
            <v>42.558999838275803</v>
          </cell>
          <cell r="BX1395">
            <v>42.558999838275803</v>
          </cell>
          <cell r="CB1395">
            <v>42.558999838275803</v>
          </cell>
          <cell r="CE1395" t="str">
            <v>16EU</v>
          </cell>
          <cell r="CF1395" t="str">
            <v>16EU</v>
          </cell>
          <cell r="CG1395" t="str">
            <v>16EU</v>
          </cell>
        </row>
        <row r="1396">
          <cell r="O1396">
            <v>16</v>
          </cell>
          <cell r="AN1396">
            <v>19.079999927496001</v>
          </cell>
          <cell r="AO1396">
            <v>19.079999927496001</v>
          </cell>
          <cell r="AP1396">
            <v>19.079999927496001</v>
          </cell>
          <cell r="AZ1396">
            <v>20.61</v>
          </cell>
          <cell r="BT1396">
            <v>19.079999927496001</v>
          </cell>
          <cell r="BX1396">
            <v>19.079999927496001</v>
          </cell>
          <cell r="CB1396">
            <v>19.079999927496001</v>
          </cell>
          <cell r="CE1396" t="str">
            <v>16EU</v>
          </cell>
          <cell r="CF1396" t="str">
            <v>16EU</v>
          </cell>
          <cell r="CG1396" t="str">
            <v>16EU</v>
          </cell>
        </row>
        <row r="1397">
          <cell r="O1397">
            <v>16</v>
          </cell>
          <cell r="AN1397">
            <v>19.079999927496001</v>
          </cell>
          <cell r="AO1397">
            <v>19.079999927496001</v>
          </cell>
          <cell r="AP1397">
            <v>19.079999927496001</v>
          </cell>
          <cell r="AZ1397">
            <v>20.61</v>
          </cell>
          <cell r="BT1397">
            <v>19.079999927496001</v>
          </cell>
          <cell r="BX1397">
            <v>19.079999927496001</v>
          </cell>
          <cell r="CB1397">
            <v>19.079999927496001</v>
          </cell>
          <cell r="CE1397" t="str">
            <v>16EU</v>
          </cell>
          <cell r="CF1397" t="str">
            <v>16EU</v>
          </cell>
          <cell r="CG1397" t="str">
            <v>16EU</v>
          </cell>
        </row>
        <row r="1398">
          <cell r="O1398">
            <v>16</v>
          </cell>
          <cell r="AN1398">
            <v>0.53635999796183209</v>
          </cell>
          <cell r="AO1398">
            <v>0.53635999796183209</v>
          </cell>
          <cell r="AP1398">
            <v>0.53635999796183209</v>
          </cell>
          <cell r="AZ1398">
            <v>0.57937000000000005</v>
          </cell>
          <cell r="BT1398">
            <v>0.53635999796183209</v>
          </cell>
          <cell r="BX1398">
            <v>0.53635999796183209</v>
          </cell>
          <cell r="CB1398">
            <v>0.53635999796183209</v>
          </cell>
          <cell r="CE1398" t="str">
            <v>16EU</v>
          </cell>
          <cell r="CF1398" t="str">
            <v>16EU</v>
          </cell>
          <cell r="CG1398" t="str">
            <v>16EU</v>
          </cell>
        </row>
        <row r="1399">
          <cell r="O1399">
            <v>16</v>
          </cell>
          <cell r="AN1399">
            <v>0.57239999782488016</v>
          </cell>
          <cell r="AO1399">
            <v>0.57239999782488016</v>
          </cell>
          <cell r="AP1399">
            <v>0.57239999782488016</v>
          </cell>
          <cell r="AZ1399">
            <v>0.61830000000000007</v>
          </cell>
          <cell r="BT1399">
            <v>0.57239999782488016</v>
          </cell>
          <cell r="BX1399">
            <v>0.57239999782488016</v>
          </cell>
          <cell r="CB1399">
            <v>0.57239999782488016</v>
          </cell>
          <cell r="CE1399" t="str">
            <v>16EU</v>
          </cell>
          <cell r="CF1399" t="str">
            <v>16EU</v>
          </cell>
          <cell r="CG1399" t="str">
            <v>16EU</v>
          </cell>
        </row>
        <row r="1400">
          <cell r="O1400">
            <v>16</v>
          </cell>
          <cell r="AN1400">
            <v>7.0595999731735208</v>
          </cell>
          <cell r="AO1400">
            <v>7.0595999731735208</v>
          </cell>
          <cell r="AP1400">
            <v>7.0595999731735208</v>
          </cell>
          <cell r="AZ1400">
            <v>7.6257000000000001</v>
          </cell>
          <cell r="BT1400">
            <v>7.0595999731735208</v>
          </cell>
          <cell r="BX1400">
            <v>7.0595999731735208</v>
          </cell>
          <cell r="CB1400">
            <v>7.0595999731735208</v>
          </cell>
          <cell r="CE1400" t="str">
            <v>16EU</v>
          </cell>
          <cell r="CF1400" t="str">
            <v>16EU</v>
          </cell>
          <cell r="CG1400" t="str">
            <v>16EU</v>
          </cell>
        </row>
        <row r="1401">
          <cell r="O1401">
            <v>16</v>
          </cell>
          <cell r="AN1401">
            <v>1.08119999589144</v>
          </cell>
          <cell r="AO1401">
            <v>1.08119999589144</v>
          </cell>
          <cell r="AP1401">
            <v>1.08119999589144</v>
          </cell>
          <cell r="AZ1401">
            <v>1.1678999999999999</v>
          </cell>
          <cell r="BT1401">
            <v>1.08119999589144</v>
          </cell>
          <cell r="BX1401">
            <v>1.08119999589144</v>
          </cell>
          <cell r="CB1401">
            <v>1.08119999589144</v>
          </cell>
          <cell r="CE1401" t="str">
            <v>16EU</v>
          </cell>
          <cell r="CF1401" t="str">
            <v>16EU</v>
          </cell>
          <cell r="CG1401" t="str">
            <v>16EU</v>
          </cell>
        </row>
        <row r="1402">
          <cell r="O1402">
            <v>16</v>
          </cell>
          <cell r="AN1402">
            <v>0.7631999970998401</v>
          </cell>
          <cell r="AO1402">
            <v>0.7631999970998401</v>
          </cell>
          <cell r="AP1402">
            <v>0.7631999970998401</v>
          </cell>
          <cell r="AZ1402">
            <v>0.82440000000000002</v>
          </cell>
          <cell r="BT1402">
            <v>0.7631999970998401</v>
          </cell>
          <cell r="BX1402">
            <v>0.7631999970998401</v>
          </cell>
          <cell r="CB1402">
            <v>0.7631999970998401</v>
          </cell>
          <cell r="CE1402" t="str">
            <v>16EU</v>
          </cell>
          <cell r="CF1402" t="str">
            <v>16EU</v>
          </cell>
          <cell r="CG1402" t="str">
            <v>16EU</v>
          </cell>
        </row>
        <row r="1403">
          <cell r="O1403">
            <v>16</v>
          </cell>
          <cell r="AN1403">
            <v>4.621599982437921</v>
          </cell>
          <cell r="AO1403">
            <v>4.621599982437921</v>
          </cell>
          <cell r="AP1403">
            <v>4.621599982437921</v>
          </cell>
          <cell r="AZ1403">
            <v>4.9922000000000004</v>
          </cell>
          <cell r="BT1403">
            <v>4.621599982437921</v>
          </cell>
          <cell r="BX1403">
            <v>4.621599982437921</v>
          </cell>
          <cell r="CB1403">
            <v>4.621599982437921</v>
          </cell>
          <cell r="CE1403" t="str">
            <v>16EU</v>
          </cell>
          <cell r="CF1403" t="str">
            <v>16EU</v>
          </cell>
          <cell r="CG1403" t="str">
            <v>16EU</v>
          </cell>
        </row>
        <row r="1404">
          <cell r="O1404">
            <v>16</v>
          </cell>
          <cell r="AN1404">
            <v>4.8547999815517606E-2</v>
          </cell>
          <cell r="AO1404">
            <v>4.8547999815517606E-2</v>
          </cell>
          <cell r="AP1404">
            <v>4.8547999815517606E-2</v>
          </cell>
          <cell r="AZ1404">
            <v>5.2441000000000002E-2</v>
          </cell>
          <cell r="BT1404">
            <v>4.8547999815517606E-2</v>
          </cell>
          <cell r="BX1404">
            <v>4.8547999815517606E-2</v>
          </cell>
          <cell r="CB1404">
            <v>4.8547999815517606E-2</v>
          </cell>
          <cell r="CE1404" t="str">
            <v>16EU</v>
          </cell>
          <cell r="CF1404" t="str">
            <v>16EU</v>
          </cell>
          <cell r="CG1404" t="str">
            <v>16EU</v>
          </cell>
        </row>
        <row r="1405">
          <cell r="O1405">
            <v>16</v>
          </cell>
          <cell r="AN1405">
            <v>4.8547999815517606E-2</v>
          </cell>
          <cell r="AO1405">
            <v>4.8547999815517606E-2</v>
          </cell>
          <cell r="AP1405">
            <v>4.8547999815517606E-2</v>
          </cell>
          <cell r="AZ1405">
            <v>5.2441000000000002E-2</v>
          </cell>
          <cell r="BT1405">
            <v>4.8547999815517606E-2</v>
          </cell>
          <cell r="BX1405">
            <v>4.8547999815517606E-2</v>
          </cell>
          <cell r="CB1405">
            <v>4.8547999815517606E-2</v>
          </cell>
          <cell r="CE1405" t="str">
            <v>16EU</v>
          </cell>
          <cell r="CF1405" t="str">
            <v>16EU</v>
          </cell>
          <cell r="CG1405" t="str">
            <v>16EU</v>
          </cell>
        </row>
        <row r="1406">
          <cell r="O1406">
            <v>16</v>
          </cell>
          <cell r="AN1406">
            <v>0.26075999900911201</v>
          </cell>
          <cell r="AO1406">
            <v>0.26075999900911201</v>
          </cell>
          <cell r="AP1406">
            <v>0.26075999900911201</v>
          </cell>
          <cell r="AZ1406">
            <v>0.28166999999999998</v>
          </cell>
          <cell r="BT1406">
            <v>0.26075999900911201</v>
          </cell>
          <cell r="BX1406">
            <v>0.26075999900911201</v>
          </cell>
          <cell r="CB1406">
            <v>0.26075999900911201</v>
          </cell>
          <cell r="CE1406" t="str">
            <v>16EU</v>
          </cell>
          <cell r="CF1406" t="str">
            <v>16EU</v>
          </cell>
          <cell r="CG1406" t="str">
            <v>16EU</v>
          </cell>
        </row>
        <row r="1407">
          <cell r="O1407">
            <v>16</v>
          </cell>
          <cell r="AN1407">
            <v>11.246599957262921</v>
          </cell>
          <cell r="AO1407">
            <v>11.246599957262921</v>
          </cell>
          <cell r="AP1407">
            <v>11.246599957262921</v>
          </cell>
          <cell r="AZ1407">
            <v>12.14845</v>
          </cell>
          <cell r="BT1407">
            <v>11.246599957262921</v>
          </cell>
          <cell r="BX1407">
            <v>11.246599957262921</v>
          </cell>
          <cell r="CB1407">
            <v>11.246599957262921</v>
          </cell>
          <cell r="CE1407" t="str">
            <v>16EU</v>
          </cell>
          <cell r="CF1407" t="str">
            <v>16EU</v>
          </cell>
          <cell r="CG1407" t="str">
            <v>16EU</v>
          </cell>
        </row>
        <row r="1408">
          <cell r="O1408">
            <v>16</v>
          </cell>
          <cell r="AN1408">
            <v>16.228599938331321</v>
          </cell>
          <cell r="AO1408">
            <v>16.228599938331321</v>
          </cell>
          <cell r="AP1408">
            <v>16.228599938331321</v>
          </cell>
          <cell r="AZ1408">
            <v>17.529949999999999</v>
          </cell>
          <cell r="BT1408">
            <v>16.228599938331321</v>
          </cell>
          <cell r="BX1408">
            <v>16.228599938331321</v>
          </cell>
          <cell r="CB1408">
            <v>16.228599938331321</v>
          </cell>
          <cell r="CE1408" t="str">
            <v>16EU</v>
          </cell>
          <cell r="CF1408" t="str">
            <v>16EU</v>
          </cell>
          <cell r="CG1408" t="str">
            <v>16EU</v>
          </cell>
        </row>
        <row r="1409">
          <cell r="O1409">
            <v>16</v>
          </cell>
          <cell r="AN1409">
            <v>11.246599957262921</v>
          </cell>
          <cell r="AO1409">
            <v>11.246599957262921</v>
          </cell>
          <cell r="AP1409">
            <v>11.246599957262921</v>
          </cell>
          <cell r="AZ1409">
            <v>12.14845</v>
          </cell>
          <cell r="BT1409">
            <v>11.246599957262921</v>
          </cell>
          <cell r="BX1409">
            <v>11.246599957262921</v>
          </cell>
          <cell r="CB1409">
            <v>11.246599957262921</v>
          </cell>
          <cell r="CE1409" t="str">
            <v>16EU</v>
          </cell>
          <cell r="CF1409" t="str">
            <v>16EU</v>
          </cell>
          <cell r="CG1409" t="str">
            <v>16EU</v>
          </cell>
        </row>
        <row r="1410">
          <cell r="O1410">
            <v>16</v>
          </cell>
          <cell r="AN1410">
            <v>16.228599938331321</v>
          </cell>
          <cell r="AO1410">
            <v>16.228599938331321</v>
          </cell>
          <cell r="AP1410">
            <v>16.228599938331321</v>
          </cell>
          <cell r="AZ1410">
            <v>17.529949999999999</v>
          </cell>
          <cell r="BT1410">
            <v>16.228599938331321</v>
          </cell>
          <cell r="BX1410">
            <v>16.228599938331321</v>
          </cell>
          <cell r="CB1410">
            <v>16.228599938331321</v>
          </cell>
          <cell r="CE1410" t="str">
            <v>16EU</v>
          </cell>
          <cell r="CF1410" t="str">
            <v>16EU</v>
          </cell>
          <cell r="CG1410" t="str">
            <v>16EU</v>
          </cell>
        </row>
        <row r="1411">
          <cell r="O1411">
            <v>16</v>
          </cell>
          <cell r="AN1411">
            <v>3.9219999850964006E-2</v>
          </cell>
          <cell r="AO1411">
            <v>3.9219999850964006E-2</v>
          </cell>
          <cell r="AP1411">
            <v>3.9219999850964006E-2</v>
          </cell>
          <cell r="AZ1411">
            <v>4.2365E-2</v>
          </cell>
          <cell r="BT1411">
            <v>3.9219999850964006E-2</v>
          </cell>
          <cell r="BX1411">
            <v>3.9219999850964006E-2</v>
          </cell>
          <cell r="CB1411">
            <v>3.9219999850964006E-2</v>
          </cell>
          <cell r="CE1411" t="str">
            <v>16EU</v>
          </cell>
          <cell r="CF1411" t="str">
            <v>16EU</v>
          </cell>
          <cell r="CG1411" t="str">
            <v>16EU</v>
          </cell>
        </row>
        <row r="1412">
          <cell r="O1412">
            <v>16</v>
          </cell>
          <cell r="AN1412">
            <v>0.25439999903328003</v>
          </cell>
          <cell r="AO1412">
            <v>0.25439999903328003</v>
          </cell>
          <cell r="AP1412">
            <v>0.25439999903328003</v>
          </cell>
          <cell r="AZ1412">
            <v>0.27479999999999999</v>
          </cell>
          <cell r="BT1412">
            <v>0.25439999903328003</v>
          </cell>
          <cell r="BX1412">
            <v>0.25439999903328003</v>
          </cell>
          <cell r="CB1412">
            <v>0.25439999903328003</v>
          </cell>
          <cell r="CE1412" t="str">
            <v>16EU</v>
          </cell>
          <cell r="CF1412" t="str">
            <v>16EU</v>
          </cell>
          <cell r="CG1412" t="str">
            <v>16EU</v>
          </cell>
        </row>
        <row r="1413">
          <cell r="O1413">
            <v>16</v>
          </cell>
          <cell r="AN1413">
            <v>0.21475599918392724</v>
          </cell>
          <cell r="AO1413">
            <v>0.21475599918392724</v>
          </cell>
          <cell r="AP1413">
            <v>0.21475599918392724</v>
          </cell>
          <cell r="AZ1413">
            <v>0.23197700000000002</v>
          </cell>
          <cell r="BT1413">
            <v>0.21475599918392724</v>
          </cell>
          <cell r="BX1413">
            <v>0.21475599918392724</v>
          </cell>
          <cell r="CB1413">
            <v>0.21475599918392724</v>
          </cell>
          <cell r="CE1413" t="str">
            <v>16EU</v>
          </cell>
          <cell r="CF1413" t="str">
            <v>16EU</v>
          </cell>
          <cell r="CG1413" t="str">
            <v>16EU</v>
          </cell>
        </row>
        <row r="1414">
          <cell r="O1414">
            <v>16</v>
          </cell>
          <cell r="AN1414">
            <v>0.56328399785952088</v>
          </cell>
          <cell r="AO1414">
            <v>0.56328399785952088</v>
          </cell>
          <cell r="AP1414">
            <v>0.56328399785952088</v>
          </cell>
          <cell r="AZ1414">
            <v>0.60845300000000002</v>
          </cell>
          <cell r="BT1414">
            <v>0.56328399785952088</v>
          </cell>
          <cell r="BX1414">
            <v>0.56328399785952088</v>
          </cell>
          <cell r="CB1414">
            <v>0.56328399785952088</v>
          </cell>
          <cell r="CE1414" t="str">
            <v>16EU</v>
          </cell>
          <cell r="CF1414" t="str">
            <v>16EU</v>
          </cell>
          <cell r="CG1414" t="str">
            <v>16EU</v>
          </cell>
        </row>
        <row r="1415">
          <cell r="O1415">
            <v>16</v>
          </cell>
          <cell r="AN1415">
            <v>0.3835079985426697</v>
          </cell>
          <cell r="AO1415">
            <v>0.3835079985426697</v>
          </cell>
          <cell r="AP1415">
            <v>0.3835079985426697</v>
          </cell>
          <cell r="AZ1415">
            <v>0.41426100000000005</v>
          </cell>
          <cell r="BT1415">
            <v>0.3835079985426697</v>
          </cell>
          <cell r="BX1415">
            <v>0.3835079985426697</v>
          </cell>
          <cell r="CB1415">
            <v>0.3835079985426697</v>
          </cell>
          <cell r="CE1415" t="str">
            <v>16EU</v>
          </cell>
          <cell r="CF1415" t="str">
            <v>16EU</v>
          </cell>
          <cell r="CG1415" t="str">
            <v>16EU</v>
          </cell>
        </row>
        <row r="1416">
          <cell r="O1416">
            <v>16</v>
          </cell>
          <cell r="AN1416">
            <v>0</v>
          </cell>
          <cell r="AO1416">
            <v>0</v>
          </cell>
          <cell r="AP1416">
            <v>0</v>
          </cell>
          <cell r="AZ1416">
            <v>0</v>
          </cell>
          <cell r="BT1416">
            <v>0</v>
          </cell>
          <cell r="BX1416">
            <v>0</v>
          </cell>
          <cell r="CB1416">
            <v>0</v>
          </cell>
          <cell r="CE1416" t="str">
            <v>16EU</v>
          </cell>
          <cell r="CF1416" t="str">
            <v>16EU</v>
          </cell>
          <cell r="CG1416" t="str">
            <v>16EU</v>
          </cell>
        </row>
        <row r="1417">
          <cell r="O1417">
            <v>16</v>
          </cell>
          <cell r="AN1417">
            <v>0.26499999899300003</v>
          </cell>
          <cell r="AO1417">
            <v>0.26499999899300003</v>
          </cell>
          <cell r="AP1417">
            <v>0.26499999899300003</v>
          </cell>
          <cell r="AZ1417">
            <v>0.28625</v>
          </cell>
          <cell r="BT1417">
            <v>0.26499999899300003</v>
          </cell>
          <cell r="BX1417">
            <v>0.26499999899300003</v>
          </cell>
          <cell r="CB1417">
            <v>0.26499999899300003</v>
          </cell>
          <cell r="CE1417" t="str">
            <v>16EU</v>
          </cell>
          <cell r="CF1417" t="str">
            <v>16EU</v>
          </cell>
          <cell r="CG1417" t="str">
            <v>16EU</v>
          </cell>
        </row>
        <row r="1418">
          <cell r="O1418">
            <v>16</v>
          </cell>
          <cell r="AN1418">
            <v>8.4354799679451773</v>
          </cell>
          <cell r="AO1418">
            <v>8.4354799679451773</v>
          </cell>
          <cell r="AP1418">
            <v>8.4354799679451773</v>
          </cell>
          <cell r="AZ1418">
            <v>9.11191</v>
          </cell>
          <cell r="BT1418">
            <v>8.4354799679451773</v>
          </cell>
          <cell r="BX1418">
            <v>8.4354799679451773</v>
          </cell>
          <cell r="CB1418">
            <v>8.4354799679451773</v>
          </cell>
          <cell r="CE1418" t="str">
            <v>16EU</v>
          </cell>
          <cell r="CF1418" t="str">
            <v>16EU</v>
          </cell>
          <cell r="CG1418" t="str">
            <v>16EU</v>
          </cell>
        </row>
        <row r="1419">
          <cell r="O1419">
            <v>16</v>
          </cell>
          <cell r="AN1419">
            <v>8.4354799679451773</v>
          </cell>
          <cell r="AO1419">
            <v>8.4354799679451773</v>
          </cell>
          <cell r="AP1419">
            <v>8.4354799679451773</v>
          </cell>
          <cell r="AZ1419">
            <v>9.11191</v>
          </cell>
          <cell r="BT1419">
            <v>8.4354799679451773</v>
          </cell>
          <cell r="BX1419">
            <v>8.4354799679451773</v>
          </cell>
          <cell r="CB1419">
            <v>8.4354799679451773</v>
          </cell>
          <cell r="CE1419" t="str">
            <v>16EU</v>
          </cell>
          <cell r="CF1419" t="str">
            <v>16EU</v>
          </cell>
          <cell r="CG1419" t="str">
            <v>16EU</v>
          </cell>
        </row>
        <row r="1420">
          <cell r="O1420">
            <v>16</v>
          </cell>
          <cell r="AN1420">
            <v>7.4199999718040015</v>
          </cell>
          <cell r="AO1420">
            <v>7.4199999718040015</v>
          </cell>
          <cell r="AP1420">
            <v>7.4199999718040015</v>
          </cell>
          <cell r="AZ1420">
            <v>8.0150000000000006</v>
          </cell>
          <cell r="BT1420">
            <v>7.4199999718040015</v>
          </cell>
          <cell r="BX1420">
            <v>7.4199999718040015</v>
          </cell>
          <cell r="CB1420">
            <v>7.4199999718040015</v>
          </cell>
          <cell r="CE1420" t="str">
            <v>16EU</v>
          </cell>
          <cell r="CF1420" t="str">
            <v>16EU</v>
          </cell>
          <cell r="CG1420" t="str">
            <v>16EU</v>
          </cell>
        </row>
        <row r="1421">
          <cell r="O1421">
            <v>16</v>
          </cell>
          <cell r="AN1421">
            <v>7.6383599709742338</v>
          </cell>
          <cell r="AO1421">
            <v>7.6383599709742338</v>
          </cell>
          <cell r="AP1421">
            <v>7.6383599709742338</v>
          </cell>
          <cell r="AZ1421">
            <v>8.2508700000000008</v>
          </cell>
          <cell r="BT1421">
            <v>7.6383599709742338</v>
          </cell>
          <cell r="BX1421">
            <v>7.6383599709742338</v>
          </cell>
          <cell r="CB1421">
            <v>7.6383599709742338</v>
          </cell>
          <cell r="CE1421" t="str">
            <v>16EU</v>
          </cell>
          <cell r="CF1421" t="str">
            <v>16EU</v>
          </cell>
          <cell r="CG1421" t="str">
            <v>16EU</v>
          </cell>
        </row>
        <row r="1422">
          <cell r="O1422">
            <v>16</v>
          </cell>
          <cell r="AN1422">
            <v>1.2719999951664001</v>
          </cell>
          <cell r="AO1422">
            <v>1.2719999951664001</v>
          </cell>
          <cell r="AP1422">
            <v>1.2719999951664001</v>
          </cell>
          <cell r="AZ1422">
            <v>1.3739999999999999</v>
          </cell>
          <cell r="BT1422">
            <v>1.2719999951664001</v>
          </cell>
          <cell r="BX1422">
            <v>1.2719999951664001</v>
          </cell>
          <cell r="CB1422">
            <v>1.2719999951664001</v>
          </cell>
          <cell r="CE1422" t="str">
            <v>16EU</v>
          </cell>
          <cell r="CF1422" t="str">
            <v>16EU</v>
          </cell>
          <cell r="CG1422" t="str">
            <v>16EU</v>
          </cell>
        </row>
        <row r="1423">
          <cell r="O1423">
            <v>16</v>
          </cell>
          <cell r="AN1423">
            <v>0.48759999814712013</v>
          </cell>
          <cell r="AO1423">
            <v>0.48759999814712013</v>
          </cell>
          <cell r="AP1423">
            <v>0.48759999814712013</v>
          </cell>
          <cell r="AZ1423">
            <v>0.52670000000000006</v>
          </cell>
          <cell r="BT1423">
            <v>0.48759999814712013</v>
          </cell>
          <cell r="BX1423">
            <v>0.48759999814712013</v>
          </cell>
          <cell r="CB1423">
            <v>0.48759999814712013</v>
          </cell>
          <cell r="CE1423" t="str">
            <v>16EU</v>
          </cell>
          <cell r="CF1423" t="str">
            <v>16EU</v>
          </cell>
          <cell r="CG1423" t="str">
            <v>16EU</v>
          </cell>
        </row>
        <row r="1424">
          <cell r="O1424">
            <v>16</v>
          </cell>
          <cell r="AN1424">
            <v>7.2079999726096022E-2</v>
          </cell>
          <cell r="AO1424">
            <v>7.2079999726096022E-2</v>
          </cell>
          <cell r="AP1424">
            <v>7.2079999726096022E-2</v>
          </cell>
          <cell r="AZ1424">
            <v>7.7860000000000013E-2</v>
          </cell>
          <cell r="BT1424">
            <v>7.2079999726096022E-2</v>
          </cell>
          <cell r="BX1424">
            <v>7.2079999726096022E-2</v>
          </cell>
          <cell r="CB1424">
            <v>7.2079999726096022E-2</v>
          </cell>
          <cell r="CE1424" t="str">
            <v>16EU</v>
          </cell>
          <cell r="CF1424" t="str">
            <v>16EU</v>
          </cell>
          <cell r="CG1424" t="str">
            <v>16EU</v>
          </cell>
        </row>
        <row r="1425">
          <cell r="O1425">
            <v>16</v>
          </cell>
          <cell r="AN1425">
            <v>0.49607999811489606</v>
          </cell>
          <cell r="AO1425">
            <v>0.49607999811489606</v>
          </cell>
          <cell r="AP1425">
            <v>0.49607999811489606</v>
          </cell>
          <cell r="AZ1425">
            <v>0.53586</v>
          </cell>
          <cell r="BT1425">
            <v>0.49607999811489606</v>
          </cell>
          <cell r="BX1425">
            <v>0.49607999811489606</v>
          </cell>
          <cell r="CB1425">
            <v>0.49607999811489606</v>
          </cell>
          <cell r="CE1425" t="str">
            <v>16EU</v>
          </cell>
          <cell r="CF1425" t="str">
            <v>16EU</v>
          </cell>
          <cell r="CG1425" t="str">
            <v>16EU</v>
          </cell>
        </row>
        <row r="1426">
          <cell r="O1426">
            <v>16</v>
          </cell>
          <cell r="AN1426">
            <v>0</v>
          </cell>
          <cell r="AO1426">
            <v>0</v>
          </cell>
          <cell r="AP1426">
            <v>0</v>
          </cell>
          <cell r="AZ1426">
            <v>0</v>
          </cell>
          <cell r="BT1426">
            <v>0</v>
          </cell>
          <cell r="BX1426">
            <v>0</v>
          </cell>
          <cell r="CB1426">
            <v>0</v>
          </cell>
          <cell r="CE1426" t="str">
            <v>16EU</v>
          </cell>
          <cell r="CF1426" t="str">
            <v>16EU</v>
          </cell>
          <cell r="CG1426" t="str">
            <v>16EU</v>
          </cell>
        </row>
        <row r="1427">
          <cell r="O1427">
            <v>17</v>
          </cell>
          <cell r="AN1427">
            <v>1.3514999948643001</v>
          </cell>
          <cell r="AO1427">
            <v>1.3514999948643001</v>
          </cell>
          <cell r="AP1427">
            <v>1.3514999948643001</v>
          </cell>
          <cell r="AZ1427">
            <v>1.4598749999999998</v>
          </cell>
          <cell r="BT1427">
            <v>1.3514999948643001</v>
          </cell>
          <cell r="BX1427">
            <v>1.3514999948643001</v>
          </cell>
          <cell r="CB1427">
            <v>1.3514999948643001</v>
          </cell>
          <cell r="CE1427" t="str">
            <v>17EU</v>
          </cell>
          <cell r="CF1427" t="str">
            <v>17EU</v>
          </cell>
          <cell r="CG1427" t="str">
            <v>17EU</v>
          </cell>
        </row>
        <row r="1428">
          <cell r="O1428">
            <v>17</v>
          </cell>
          <cell r="AN1428">
            <v>31.911150000000003</v>
          </cell>
          <cell r="AO1428">
            <v>31.911150000000003</v>
          </cell>
          <cell r="AP1428">
            <v>31.911150000000003</v>
          </cell>
          <cell r="AZ1428">
            <v>31.911150000000003</v>
          </cell>
          <cell r="BT1428">
            <v>31.911150000000003</v>
          </cell>
          <cell r="BX1428">
            <v>31.911150000000003</v>
          </cell>
          <cell r="CB1428">
            <v>31.911150000000003</v>
          </cell>
          <cell r="CE1428" t="str">
            <v>17EU</v>
          </cell>
          <cell r="CF1428" t="str">
            <v>17EU</v>
          </cell>
          <cell r="CG1428" t="str">
            <v>17EU</v>
          </cell>
        </row>
        <row r="1429">
          <cell r="O1429">
            <v>17</v>
          </cell>
          <cell r="AN1429">
            <v>17.163550000000001</v>
          </cell>
          <cell r="AO1429">
            <v>17.163550000000001</v>
          </cell>
          <cell r="AP1429">
            <v>17.163550000000001</v>
          </cell>
          <cell r="AZ1429">
            <v>17.163550000000001</v>
          </cell>
          <cell r="BT1429">
            <v>17.163550000000001</v>
          </cell>
          <cell r="BX1429">
            <v>17.163550000000001</v>
          </cell>
          <cell r="CB1429">
            <v>17.163550000000001</v>
          </cell>
          <cell r="CE1429" t="str">
            <v>17EU</v>
          </cell>
          <cell r="CF1429" t="str">
            <v>17EU</v>
          </cell>
          <cell r="CG1429" t="str">
            <v>17EU</v>
          </cell>
        </row>
        <row r="1430">
          <cell r="O1430">
            <v>17</v>
          </cell>
          <cell r="AN1430">
            <v>11.6561</v>
          </cell>
          <cell r="AO1430">
            <v>11.6561</v>
          </cell>
          <cell r="AP1430">
            <v>11.6561</v>
          </cell>
          <cell r="AZ1430">
            <v>11.6561</v>
          </cell>
          <cell r="BT1430">
            <v>11.6561</v>
          </cell>
          <cell r="BX1430">
            <v>11.6561</v>
          </cell>
          <cell r="CB1430">
            <v>11.6561</v>
          </cell>
          <cell r="CE1430" t="str">
            <v>17EU</v>
          </cell>
          <cell r="CF1430" t="str">
            <v>17EU</v>
          </cell>
          <cell r="CG1430" t="str">
            <v>17EU</v>
          </cell>
        </row>
        <row r="1431">
          <cell r="O1431">
            <v>17</v>
          </cell>
          <cell r="AN1431">
            <v>4.8335999816323199</v>
          </cell>
          <cell r="AO1431">
            <v>4.8335999816323199</v>
          </cell>
          <cell r="AP1431">
            <v>4.8335999816323199</v>
          </cell>
          <cell r="AZ1431">
            <v>5.2211999999999996</v>
          </cell>
          <cell r="BT1431">
            <v>4.8335999816323199</v>
          </cell>
          <cell r="BX1431">
            <v>4.8335999816323199</v>
          </cell>
          <cell r="CB1431">
            <v>4.8335999816323199</v>
          </cell>
          <cell r="CE1431" t="str">
            <v>17EU</v>
          </cell>
          <cell r="CF1431" t="str">
            <v>17EU</v>
          </cell>
          <cell r="CG1431" t="str">
            <v>17EU</v>
          </cell>
        </row>
        <row r="1432">
          <cell r="O1432">
            <v>17</v>
          </cell>
          <cell r="AN1432">
            <v>0.43509999999999999</v>
          </cell>
          <cell r="AO1432">
            <v>0.43509999999999999</v>
          </cell>
          <cell r="AP1432">
            <v>0.43509999999999999</v>
          </cell>
          <cell r="AZ1432">
            <v>0.43509999999999999</v>
          </cell>
          <cell r="BT1432">
            <v>0.43509999999999999</v>
          </cell>
          <cell r="BX1432">
            <v>0.43509999999999999</v>
          </cell>
          <cell r="CB1432">
            <v>0.43509999999999999</v>
          </cell>
          <cell r="CE1432" t="str">
            <v>17EU</v>
          </cell>
          <cell r="CF1432" t="str">
            <v>17EU</v>
          </cell>
          <cell r="CG1432" t="str">
            <v>17EU</v>
          </cell>
        </row>
        <row r="1433">
          <cell r="O1433">
            <v>17</v>
          </cell>
          <cell r="AN1433">
            <v>0.1424639994586368</v>
          </cell>
          <cell r="AO1433">
            <v>0.1424639994586368</v>
          </cell>
          <cell r="AP1433">
            <v>0.1424639994586368</v>
          </cell>
          <cell r="AZ1433">
            <v>0.153888</v>
          </cell>
          <cell r="BT1433">
            <v>0.1424639994586368</v>
          </cell>
          <cell r="BX1433">
            <v>0.1424639994586368</v>
          </cell>
          <cell r="CB1433">
            <v>0.1424639994586368</v>
          </cell>
          <cell r="CE1433" t="str">
            <v>17EU</v>
          </cell>
          <cell r="CF1433" t="str">
            <v>17EU</v>
          </cell>
          <cell r="CG1433" t="str">
            <v>17EU</v>
          </cell>
        </row>
        <row r="1434">
          <cell r="O1434">
            <v>17</v>
          </cell>
          <cell r="AN1434">
            <v>1.0069999961734002</v>
          </cell>
          <cell r="AO1434">
            <v>1.0069999961734002</v>
          </cell>
          <cell r="AP1434">
            <v>1.0069999961734002</v>
          </cell>
          <cell r="AZ1434">
            <v>1.08775</v>
          </cell>
          <cell r="BT1434">
            <v>1.0069999961734002</v>
          </cell>
          <cell r="BX1434">
            <v>1.0069999961734002</v>
          </cell>
          <cell r="CB1434">
            <v>1.0069999961734002</v>
          </cell>
          <cell r="CE1434" t="str">
            <v>17EU</v>
          </cell>
          <cell r="CF1434" t="str">
            <v>17EU</v>
          </cell>
          <cell r="CG1434" t="str">
            <v>17EU</v>
          </cell>
        </row>
        <row r="1435">
          <cell r="O1435">
            <v>17</v>
          </cell>
          <cell r="AN1435">
            <v>0.14633099999999999</v>
          </cell>
          <cell r="AO1435">
            <v>0.14633099999999999</v>
          </cell>
          <cell r="AP1435">
            <v>0.14633099999999999</v>
          </cell>
          <cell r="AZ1435">
            <v>0.14633099999999999</v>
          </cell>
          <cell r="BT1435">
            <v>0.14633099999999999</v>
          </cell>
          <cell r="BX1435">
            <v>0.14633099999999999</v>
          </cell>
          <cell r="CB1435">
            <v>0.14633099999999999</v>
          </cell>
          <cell r="CE1435" t="str">
            <v>17EU</v>
          </cell>
          <cell r="CF1435" t="str">
            <v>17EU</v>
          </cell>
          <cell r="CG1435" t="str">
            <v>17EU</v>
          </cell>
        </row>
        <row r="1436">
          <cell r="O1436">
            <v>17</v>
          </cell>
          <cell r="AN1436">
            <v>0.33823300000000001</v>
          </cell>
          <cell r="AO1436">
            <v>0.33823300000000001</v>
          </cell>
          <cell r="AP1436">
            <v>0.33823300000000001</v>
          </cell>
          <cell r="AZ1436">
            <v>0.33823300000000001</v>
          </cell>
          <cell r="BT1436">
            <v>0.33823300000000001</v>
          </cell>
          <cell r="BX1436">
            <v>0.33823300000000001</v>
          </cell>
          <cell r="CB1436">
            <v>0.33823300000000001</v>
          </cell>
          <cell r="CE1436" t="str">
            <v>17EU</v>
          </cell>
          <cell r="CF1436" t="str">
            <v>17EU</v>
          </cell>
          <cell r="CG1436" t="str">
            <v>17EU</v>
          </cell>
        </row>
        <row r="1437">
          <cell r="O1437">
            <v>17</v>
          </cell>
          <cell r="AN1437">
            <v>1.1447999956497603</v>
          </cell>
          <cell r="AO1437">
            <v>1.1447999956497603</v>
          </cell>
          <cell r="AP1437">
            <v>1.1447999956497603</v>
          </cell>
          <cell r="AZ1437">
            <v>1.2366000000000001</v>
          </cell>
          <cell r="BT1437">
            <v>1.1447999956497603</v>
          </cell>
          <cell r="BX1437">
            <v>1.1447999956497603</v>
          </cell>
          <cell r="CB1437">
            <v>1.1447999956497603</v>
          </cell>
          <cell r="CE1437" t="str">
            <v>17EU</v>
          </cell>
          <cell r="CF1437" t="str">
            <v>17EU</v>
          </cell>
          <cell r="CG1437" t="str">
            <v>17EU</v>
          </cell>
        </row>
        <row r="1438">
          <cell r="O1438">
            <v>17</v>
          </cell>
          <cell r="AN1438">
            <v>5.3471500000000001</v>
          </cell>
          <cell r="AO1438">
            <v>5.3471500000000001</v>
          </cell>
          <cell r="AP1438">
            <v>5.3471500000000001</v>
          </cell>
          <cell r="AZ1438">
            <v>5.3471500000000001</v>
          </cell>
          <cell r="BT1438">
            <v>5.3471500000000001</v>
          </cell>
          <cell r="BX1438">
            <v>5.3471500000000001</v>
          </cell>
          <cell r="CB1438">
            <v>5.3471500000000001</v>
          </cell>
          <cell r="CE1438" t="str">
            <v>17EU</v>
          </cell>
          <cell r="CF1438" t="str">
            <v>17EU</v>
          </cell>
          <cell r="CG1438" t="str">
            <v>17EU</v>
          </cell>
        </row>
        <row r="1439">
          <cell r="O1439">
            <v>17</v>
          </cell>
          <cell r="AN1439">
            <v>3.2223999877548803</v>
          </cell>
          <cell r="AO1439">
            <v>3.2223999877548803</v>
          </cell>
          <cell r="AP1439">
            <v>3.2223999877548803</v>
          </cell>
          <cell r="AZ1439">
            <v>3.4807999999999999</v>
          </cell>
          <cell r="BT1439">
            <v>3.2223999877548803</v>
          </cell>
          <cell r="BX1439">
            <v>3.2223999877548803</v>
          </cell>
          <cell r="CB1439">
            <v>3.2223999877548803</v>
          </cell>
          <cell r="CE1439" t="str">
            <v>17EU</v>
          </cell>
          <cell r="CF1439" t="str">
            <v>17EU</v>
          </cell>
          <cell r="CG1439" t="str">
            <v>17EU</v>
          </cell>
        </row>
        <row r="1440">
          <cell r="O1440">
            <v>17</v>
          </cell>
          <cell r="AN1440">
            <v>0</v>
          </cell>
          <cell r="AO1440">
            <v>0</v>
          </cell>
          <cell r="AP1440">
            <v>0</v>
          </cell>
          <cell r="AZ1440">
            <v>0</v>
          </cell>
          <cell r="BT1440">
            <v>0</v>
          </cell>
          <cell r="BX1440">
            <v>0</v>
          </cell>
          <cell r="CB1440">
            <v>0</v>
          </cell>
          <cell r="CE1440" t="str">
            <v>17EU</v>
          </cell>
          <cell r="CF1440" t="str">
            <v>17EU</v>
          </cell>
          <cell r="CG1440" t="str">
            <v>17EU</v>
          </cell>
        </row>
        <row r="1441">
          <cell r="O1441">
            <v>17</v>
          </cell>
          <cell r="AN1441">
            <v>0</v>
          </cell>
          <cell r="AO1441">
            <v>0</v>
          </cell>
          <cell r="AP1441">
            <v>0</v>
          </cell>
          <cell r="AZ1441">
            <v>0</v>
          </cell>
          <cell r="BT1441">
            <v>0</v>
          </cell>
          <cell r="BX1441">
            <v>0</v>
          </cell>
          <cell r="CB1441">
            <v>0</v>
          </cell>
          <cell r="CE1441" t="str">
            <v>17EU</v>
          </cell>
          <cell r="CF1441" t="str">
            <v>17EU</v>
          </cell>
          <cell r="CG1441" t="str">
            <v>17EU</v>
          </cell>
        </row>
        <row r="1442">
          <cell r="O1442">
            <v>17</v>
          </cell>
          <cell r="AN1442">
            <v>1.0076000000000001</v>
          </cell>
          <cell r="AO1442">
            <v>1.0076000000000001</v>
          </cell>
          <cell r="AP1442">
            <v>1.0076000000000001</v>
          </cell>
          <cell r="AZ1442">
            <v>1.0076000000000001</v>
          </cell>
          <cell r="BT1442">
            <v>1.0076000000000001</v>
          </cell>
          <cell r="BX1442">
            <v>1.0076000000000001</v>
          </cell>
          <cell r="CB1442">
            <v>1.0076000000000001</v>
          </cell>
          <cell r="CE1442" t="str">
            <v>17EU</v>
          </cell>
          <cell r="CF1442" t="str">
            <v>17EU</v>
          </cell>
          <cell r="CG1442" t="str">
            <v>17EU</v>
          </cell>
        </row>
        <row r="1443">
          <cell r="O1443">
            <v>17</v>
          </cell>
          <cell r="AN1443">
            <v>0.7631999970998401</v>
          </cell>
          <cell r="AO1443">
            <v>0.7631999970998401</v>
          </cell>
          <cell r="AP1443">
            <v>0.7631999970998401</v>
          </cell>
          <cell r="AZ1443">
            <v>0.82440000000000002</v>
          </cell>
          <cell r="BT1443">
            <v>0.7631999970998401</v>
          </cell>
          <cell r="BX1443">
            <v>0.7631999970998401</v>
          </cell>
          <cell r="CB1443">
            <v>0.7631999970998401</v>
          </cell>
          <cell r="CE1443" t="str">
            <v>17EU</v>
          </cell>
          <cell r="CF1443" t="str">
            <v>17EU</v>
          </cell>
          <cell r="CG1443" t="str">
            <v>17EU</v>
          </cell>
        </row>
        <row r="1444">
          <cell r="O1444">
            <v>17</v>
          </cell>
          <cell r="AN1444">
            <v>0.28166999999999998</v>
          </cell>
          <cell r="AO1444">
            <v>0.28166999999999998</v>
          </cell>
          <cell r="AP1444">
            <v>0.28166999999999998</v>
          </cell>
          <cell r="AZ1444">
            <v>0.28166999999999998</v>
          </cell>
          <cell r="BT1444">
            <v>0.28166999999999998</v>
          </cell>
          <cell r="BX1444">
            <v>0.28166999999999998</v>
          </cell>
          <cell r="CB1444">
            <v>0.28166999999999998</v>
          </cell>
          <cell r="CE1444" t="str">
            <v>17EU</v>
          </cell>
          <cell r="CF1444" t="str">
            <v>17EU</v>
          </cell>
          <cell r="CG1444" t="str">
            <v>17EU</v>
          </cell>
        </row>
        <row r="1445">
          <cell r="O1445">
            <v>17</v>
          </cell>
          <cell r="AN1445">
            <v>18.18959993087952</v>
          </cell>
          <cell r="AO1445">
            <v>18.18959993087952</v>
          </cell>
          <cell r="AP1445">
            <v>18.18959993087952</v>
          </cell>
          <cell r="AZ1445">
            <v>19.648199999999999</v>
          </cell>
          <cell r="BT1445">
            <v>18.18959993087952</v>
          </cell>
          <cell r="BX1445">
            <v>18.18959993087952</v>
          </cell>
          <cell r="CB1445">
            <v>18.18959993087952</v>
          </cell>
          <cell r="CE1445" t="str">
            <v>17EU</v>
          </cell>
          <cell r="CF1445" t="str">
            <v>17EU</v>
          </cell>
          <cell r="CG1445" t="str">
            <v>17EU</v>
          </cell>
        </row>
        <row r="1446">
          <cell r="O1446">
            <v>17</v>
          </cell>
          <cell r="AN1446">
            <v>18.18959993087952</v>
          </cell>
          <cell r="AO1446">
            <v>18.18959993087952</v>
          </cell>
          <cell r="AP1446">
            <v>18.18959993087952</v>
          </cell>
          <cell r="AZ1446">
            <v>19.648199999999999</v>
          </cell>
          <cell r="BT1446">
            <v>18.18959993087952</v>
          </cell>
          <cell r="BX1446">
            <v>18.18959993087952</v>
          </cell>
          <cell r="CB1446">
            <v>18.18959993087952</v>
          </cell>
          <cell r="CE1446" t="str">
            <v>17EU</v>
          </cell>
          <cell r="CF1446" t="str">
            <v>17EU</v>
          </cell>
          <cell r="CG1446" t="str">
            <v>17EU</v>
          </cell>
        </row>
        <row r="1447">
          <cell r="O1447">
            <v>17</v>
          </cell>
          <cell r="AN1447">
            <v>0.51431199804561445</v>
          </cell>
          <cell r="AO1447">
            <v>0.51431199804561445</v>
          </cell>
          <cell r="AP1447">
            <v>0.51431199804561445</v>
          </cell>
          <cell r="AZ1447">
            <v>0.55555399999999999</v>
          </cell>
          <cell r="BT1447">
            <v>0.51431199804561445</v>
          </cell>
          <cell r="BX1447">
            <v>0.51431199804561445</v>
          </cell>
          <cell r="CB1447">
            <v>0.51431199804561445</v>
          </cell>
          <cell r="CE1447" t="str">
            <v>17EU</v>
          </cell>
          <cell r="CF1447" t="str">
            <v>17EU</v>
          </cell>
          <cell r="CG1447" t="str">
            <v>17EU</v>
          </cell>
        </row>
        <row r="1448">
          <cell r="O1448">
            <v>17</v>
          </cell>
          <cell r="AN1448">
            <v>38.583999853380803</v>
          </cell>
          <cell r="AO1448">
            <v>38.583999853380803</v>
          </cell>
          <cell r="AP1448">
            <v>38.583999853380803</v>
          </cell>
          <cell r="AZ1448">
            <v>41.677999999999997</v>
          </cell>
          <cell r="BT1448">
            <v>38.583999853380803</v>
          </cell>
          <cell r="BX1448">
            <v>38.583999853380803</v>
          </cell>
          <cell r="CB1448">
            <v>38.583999853380803</v>
          </cell>
          <cell r="CE1448" t="str">
            <v>17EU</v>
          </cell>
          <cell r="CF1448" t="str">
            <v>17EU</v>
          </cell>
          <cell r="CG1448" t="str">
            <v>17EU</v>
          </cell>
        </row>
        <row r="1449">
          <cell r="O1449">
            <v>17</v>
          </cell>
          <cell r="AN1449">
            <v>0.38159999854992005</v>
          </cell>
          <cell r="AO1449">
            <v>0.38159999854992005</v>
          </cell>
          <cell r="AP1449">
            <v>0.38159999854992005</v>
          </cell>
          <cell r="AZ1449">
            <v>0.41220000000000001</v>
          </cell>
          <cell r="BT1449">
            <v>0.38159999854992005</v>
          </cell>
          <cell r="BX1449">
            <v>0.38159999854992005</v>
          </cell>
          <cell r="CB1449">
            <v>0.38159999854992005</v>
          </cell>
          <cell r="CE1449" t="str">
            <v>17EU</v>
          </cell>
          <cell r="CF1449" t="str">
            <v>17EU</v>
          </cell>
          <cell r="CG1449" t="str">
            <v>17EU</v>
          </cell>
        </row>
        <row r="1450">
          <cell r="O1450">
            <v>17</v>
          </cell>
          <cell r="AN1450">
            <v>6.4023999756708809</v>
          </cell>
          <cell r="AO1450">
            <v>6.4023999756708809</v>
          </cell>
          <cell r="AP1450">
            <v>6.4023999756708809</v>
          </cell>
          <cell r="AZ1450">
            <v>6.9157999999999999</v>
          </cell>
          <cell r="BT1450">
            <v>6.4023999756708809</v>
          </cell>
          <cell r="BX1450">
            <v>6.4023999756708809</v>
          </cell>
          <cell r="CB1450">
            <v>6.4023999756708809</v>
          </cell>
          <cell r="CE1450" t="str">
            <v>17EU</v>
          </cell>
          <cell r="CF1450" t="str">
            <v>17EU</v>
          </cell>
          <cell r="CG1450" t="str">
            <v>17EU</v>
          </cell>
        </row>
        <row r="1451">
          <cell r="O1451">
            <v>17</v>
          </cell>
          <cell r="AN1451">
            <v>0.87979999665676001</v>
          </cell>
          <cell r="AO1451">
            <v>0.87979999665676001</v>
          </cell>
          <cell r="AP1451">
            <v>0.87979999665676001</v>
          </cell>
          <cell r="AZ1451">
            <v>0.95034999999999992</v>
          </cell>
          <cell r="BT1451">
            <v>0.87979999665676001</v>
          </cell>
          <cell r="BX1451">
            <v>0.87979999665676001</v>
          </cell>
          <cell r="CB1451">
            <v>0.87979999665676001</v>
          </cell>
          <cell r="CE1451" t="str">
            <v>17EU</v>
          </cell>
          <cell r="CF1451" t="str">
            <v>17EU</v>
          </cell>
          <cell r="CG1451" t="str">
            <v>17EU</v>
          </cell>
        </row>
        <row r="1452">
          <cell r="O1452">
            <v>17</v>
          </cell>
          <cell r="AN1452">
            <v>19.970399924112481</v>
          </cell>
          <cell r="AO1452">
            <v>19.970399924112481</v>
          </cell>
          <cell r="AP1452">
            <v>19.970399924112481</v>
          </cell>
          <cell r="AZ1452">
            <v>21.5718</v>
          </cell>
          <cell r="BT1452">
            <v>19.970399924112481</v>
          </cell>
          <cell r="BX1452">
            <v>19.970399924112481</v>
          </cell>
          <cell r="CB1452">
            <v>19.970399924112481</v>
          </cell>
          <cell r="CE1452" t="str">
            <v>17EU</v>
          </cell>
          <cell r="CF1452" t="str">
            <v>17EU</v>
          </cell>
          <cell r="CG1452" t="str">
            <v>17EU</v>
          </cell>
        </row>
        <row r="1453">
          <cell r="O1453">
            <v>17</v>
          </cell>
          <cell r="AN1453">
            <v>0.5575599978812722</v>
          </cell>
          <cell r="AO1453">
            <v>0.5575599978812722</v>
          </cell>
          <cell r="AP1453">
            <v>0.5575599978812722</v>
          </cell>
          <cell r="AZ1453">
            <v>0.60227000000000008</v>
          </cell>
          <cell r="BT1453">
            <v>0.5575599978812722</v>
          </cell>
          <cell r="BX1453">
            <v>0.5575599978812722</v>
          </cell>
          <cell r="CB1453">
            <v>0.5575599978812722</v>
          </cell>
          <cell r="CE1453" t="str">
            <v>17EU</v>
          </cell>
          <cell r="CF1453" t="str">
            <v>17EU</v>
          </cell>
          <cell r="CG1453" t="str">
            <v>17EU</v>
          </cell>
        </row>
        <row r="1454">
          <cell r="O1454">
            <v>17</v>
          </cell>
          <cell r="AN1454">
            <v>0.17907800000000001</v>
          </cell>
          <cell r="AO1454">
            <v>0.17907800000000001</v>
          </cell>
          <cell r="AP1454">
            <v>0.17907800000000001</v>
          </cell>
          <cell r="AZ1454">
            <v>0.17907800000000001</v>
          </cell>
          <cell r="BT1454">
            <v>0.17907800000000001</v>
          </cell>
          <cell r="BX1454">
            <v>0.17907800000000001</v>
          </cell>
          <cell r="CB1454">
            <v>0.17907800000000001</v>
          </cell>
          <cell r="CE1454" t="str">
            <v>17EU</v>
          </cell>
          <cell r="CF1454" t="str">
            <v>17EU</v>
          </cell>
          <cell r="CG1454" t="str">
            <v>17EU</v>
          </cell>
        </row>
        <row r="1455">
          <cell r="O1455">
            <v>17</v>
          </cell>
          <cell r="AN1455">
            <v>5.5268122060723499</v>
          </cell>
          <cell r="AO1455">
            <v>5.5268122060723499</v>
          </cell>
          <cell r="AP1455">
            <v>5.5268122060723499</v>
          </cell>
          <cell r="AZ1455">
            <v>5.97</v>
          </cell>
          <cell r="BT1455">
            <v>5.5268122060723499</v>
          </cell>
          <cell r="BX1455">
            <v>5.5268122060723499</v>
          </cell>
          <cell r="CB1455">
            <v>5.5268122060723499</v>
          </cell>
          <cell r="CE1455" t="str">
            <v>17EU</v>
          </cell>
          <cell r="CF1455" t="str">
            <v>17EU</v>
          </cell>
          <cell r="CG1455" t="str">
            <v>17EU</v>
          </cell>
        </row>
        <row r="1456">
          <cell r="O1456">
            <v>17</v>
          </cell>
          <cell r="AN1456">
            <v>0</v>
          </cell>
          <cell r="AO1456">
            <v>0</v>
          </cell>
          <cell r="AP1456">
            <v>10</v>
          </cell>
          <cell r="AZ1456">
            <v>0</v>
          </cell>
          <cell r="BT1456">
            <v>0</v>
          </cell>
          <cell r="BX1456">
            <v>0</v>
          </cell>
          <cell r="CB1456">
            <v>10</v>
          </cell>
          <cell r="CE1456" t="str">
            <v>17EU</v>
          </cell>
          <cell r="CF1456" t="str">
            <v>17EU</v>
          </cell>
          <cell r="CG1456" t="str">
            <v>17EU</v>
          </cell>
        </row>
        <row r="1457">
          <cell r="O1457">
            <v>17</v>
          </cell>
          <cell r="AN1457">
            <v>0</v>
          </cell>
          <cell r="AO1457">
            <v>0</v>
          </cell>
          <cell r="AP1457">
            <v>0</v>
          </cell>
          <cell r="AZ1457">
            <v>0</v>
          </cell>
          <cell r="BT1457">
            <v>0</v>
          </cell>
          <cell r="BX1457">
            <v>0</v>
          </cell>
          <cell r="CB1457">
            <v>0</v>
          </cell>
          <cell r="CE1457" t="str">
            <v>17EU</v>
          </cell>
          <cell r="CF1457" t="str">
            <v>17EU</v>
          </cell>
          <cell r="CG1457" t="str">
            <v>17EU</v>
          </cell>
        </row>
        <row r="1458">
          <cell r="O1458">
            <v>18</v>
          </cell>
          <cell r="AN1458">
            <v>0</v>
          </cell>
          <cell r="AO1458">
            <v>0</v>
          </cell>
          <cell r="AP1458">
            <v>0</v>
          </cell>
          <cell r="AZ1458">
            <v>0</v>
          </cell>
          <cell r="BT1458">
            <v>0</v>
          </cell>
          <cell r="BX1458">
            <v>0</v>
          </cell>
          <cell r="CB1458">
            <v>0</v>
          </cell>
          <cell r="CE1458" t="str">
            <v>18EU</v>
          </cell>
          <cell r="CF1458" t="str">
            <v>18EU</v>
          </cell>
          <cell r="CG1458" t="str">
            <v>18EU</v>
          </cell>
        </row>
        <row r="1459">
          <cell r="O1459">
            <v>18</v>
          </cell>
          <cell r="AN1459">
            <v>0</v>
          </cell>
          <cell r="AO1459">
            <v>19.800799924756962</v>
          </cell>
          <cell r="AP1459">
            <v>0</v>
          </cell>
          <cell r="AZ1459">
            <v>21.3886</v>
          </cell>
          <cell r="BT1459">
            <v>0</v>
          </cell>
          <cell r="BX1459">
            <v>19.800799924756962</v>
          </cell>
          <cell r="CB1459">
            <v>0</v>
          </cell>
          <cell r="CE1459" t="str">
            <v>18EU</v>
          </cell>
          <cell r="CF1459" t="str">
            <v>18EU</v>
          </cell>
          <cell r="CG1459" t="str">
            <v>18EU</v>
          </cell>
        </row>
        <row r="1460">
          <cell r="O1460">
            <v>18</v>
          </cell>
          <cell r="AN1460">
            <v>0</v>
          </cell>
          <cell r="AO1460">
            <v>15.147399942439883</v>
          </cell>
          <cell r="AP1460">
            <v>0</v>
          </cell>
          <cell r="AZ1460">
            <v>16.36205</v>
          </cell>
          <cell r="BT1460">
            <v>0</v>
          </cell>
          <cell r="BX1460">
            <v>15.147399942439883</v>
          </cell>
          <cell r="CB1460">
            <v>0</v>
          </cell>
          <cell r="CE1460" t="str">
            <v>18EU</v>
          </cell>
          <cell r="CF1460" t="str">
            <v>18EU</v>
          </cell>
          <cell r="CG1460" t="str">
            <v>18EU</v>
          </cell>
        </row>
        <row r="1461">
          <cell r="O1461">
            <v>18</v>
          </cell>
          <cell r="AN1461">
            <v>0</v>
          </cell>
          <cell r="AO1461">
            <v>15.147399942439883</v>
          </cell>
          <cell r="AP1461">
            <v>0</v>
          </cell>
          <cell r="AZ1461">
            <v>16.36205</v>
          </cell>
          <cell r="BT1461">
            <v>0</v>
          </cell>
          <cell r="BX1461">
            <v>15.147399942439883</v>
          </cell>
          <cell r="CB1461">
            <v>0</v>
          </cell>
          <cell r="CE1461" t="str">
            <v>18EU</v>
          </cell>
          <cell r="CF1461" t="str">
            <v>18EU</v>
          </cell>
          <cell r="CG1461" t="str">
            <v>18EU</v>
          </cell>
        </row>
        <row r="1462">
          <cell r="O1462">
            <v>18</v>
          </cell>
          <cell r="AN1462">
            <v>0</v>
          </cell>
          <cell r="AO1462">
            <v>0</v>
          </cell>
          <cell r="AP1462">
            <v>0</v>
          </cell>
          <cell r="AZ1462">
            <v>0</v>
          </cell>
          <cell r="BT1462">
            <v>0</v>
          </cell>
          <cell r="BX1462">
            <v>0</v>
          </cell>
          <cell r="CB1462">
            <v>0</v>
          </cell>
          <cell r="CE1462" t="str">
            <v>18EU</v>
          </cell>
          <cell r="CF1462" t="str">
            <v>18EU</v>
          </cell>
          <cell r="CG1462" t="str">
            <v>18EU</v>
          </cell>
        </row>
        <row r="1463">
          <cell r="O1463">
            <v>18</v>
          </cell>
          <cell r="AN1463">
            <v>0</v>
          </cell>
          <cell r="AO1463">
            <v>0</v>
          </cell>
          <cell r="AP1463">
            <v>0</v>
          </cell>
          <cell r="AZ1463">
            <v>0</v>
          </cell>
          <cell r="BT1463">
            <v>0</v>
          </cell>
          <cell r="BX1463">
            <v>0</v>
          </cell>
          <cell r="CB1463">
            <v>0</v>
          </cell>
          <cell r="CE1463" t="str">
            <v>18EU</v>
          </cell>
          <cell r="CF1463" t="str">
            <v>18EU</v>
          </cell>
          <cell r="CG1463" t="str">
            <v>18EU</v>
          </cell>
        </row>
        <row r="1464">
          <cell r="O1464">
            <v>18</v>
          </cell>
          <cell r="AN1464">
            <v>25.878451080701186</v>
          </cell>
          <cell r="AO1464">
            <v>25.878451080701186</v>
          </cell>
          <cell r="AP1464">
            <v>25.878451080701186</v>
          </cell>
          <cell r="AZ1464">
            <v>27.953609999999998</v>
          </cell>
          <cell r="BT1464">
            <v>19.537508703778354</v>
          </cell>
          <cell r="BX1464">
            <v>26.546015155211396</v>
          </cell>
          <cell r="CB1464">
            <v>26.546015155211396</v>
          </cell>
          <cell r="CE1464" t="str">
            <v>18LOCAL</v>
          </cell>
          <cell r="CF1464" t="str">
            <v>18LOCAL</v>
          </cell>
          <cell r="CG1464" t="str">
            <v>18LOCAL</v>
          </cell>
        </row>
        <row r="1465">
          <cell r="O1465">
            <v>18</v>
          </cell>
          <cell r="AN1465">
            <v>25.249199904053043</v>
          </cell>
          <cell r="AO1465">
            <v>25.249199904053043</v>
          </cell>
          <cell r="AP1465">
            <v>25.249199904053043</v>
          </cell>
          <cell r="AZ1465">
            <v>27.273900000000001</v>
          </cell>
          <cell r="BT1465">
            <v>27.933272806379982</v>
          </cell>
          <cell r="BX1465">
            <v>27.933272806379982</v>
          </cell>
          <cell r="CB1465">
            <v>27.933272806379982</v>
          </cell>
          <cell r="CE1465" t="str">
            <v>18LOCAL</v>
          </cell>
          <cell r="CF1465" t="str">
            <v>18LOCAL</v>
          </cell>
          <cell r="CG1465" t="str">
            <v>18LOCAL</v>
          </cell>
        </row>
        <row r="1466">
          <cell r="O1466">
            <v>18</v>
          </cell>
          <cell r="AN1466">
            <v>25.249199904053043</v>
          </cell>
          <cell r="AO1466">
            <v>25.249199904053043</v>
          </cell>
          <cell r="AP1466">
            <v>25.249199904053043</v>
          </cell>
          <cell r="AZ1466">
            <v>27.273900000000001</v>
          </cell>
          <cell r="BT1466">
            <v>27.933272806379982</v>
          </cell>
          <cell r="BX1466">
            <v>27.933272806379982</v>
          </cell>
          <cell r="CB1466">
            <v>27.933272806379982</v>
          </cell>
          <cell r="CE1466" t="str">
            <v>18LOCAL</v>
          </cell>
          <cell r="CF1466" t="str">
            <v>18LOCAL</v>
          </cell>
          <cell r="CG1466" t="str">
            <v>18LOCAL</v>
          </cell>
        </row>
        <row r="1467">
          <cell r="O1467">
            <v>18</v>
          </cell>
          <cell r="AN1467">
            <v>0</v>
          </cell>
          <cell r="AO1467">
            <v>0</v>
          </cell>
          <cell r="AP1467">
            <v>0</v>
          </cell>
          <cell r="AZ1467">
            <v>0</v>
          </cell>
          <cell r="BT1467">
            <v>0</v>
          </cell>
          <cell r="BX1467">
            <v>0</v>
          </cell>
          <cell r="CB1467">
            <v>0</v>
          </cell>
          <cell r="CE1467" t="str">
            <v>18EU</v>
          </cell>
          <cell r="CF1467" t="str">
            <v>18EU</v>
          </cell>
          <cell r="CG1467" t="str">
            <v>18EU</v>
          </cell>
        </row>
        <row r="1468">
          <cell r="O1468">
            <v>18</v>
          </cell>
          <cell r="AN1468">
            <v>0</v>
          </cell>
          <cell r="AO1468">
            <v>0</v>
          </cell>
          <cell r="AP1468">
            <v>0</v>
          </cell>
          <cell r="AZ1468">
            <v>0</v>
          </cell>
          <cell r="BT1468">
            <v>0</v>
          </cell>
          <cell r="BX1468">
            <v>0</v>
          </cell>
          <cell r="CB1468">
            <v>0</v>
          </cell>
          <cell r="CE1468" t="str">
            <v>18EU</v>
          </cell>
          <cell r="CF1468" t="str">
            <v>18EU</v>
          </cell>
          <cell r="CG1468" t="str">
            <v>18EU</v>
          </cell>
        </row>
        <row r="1469">
          <cell r="O1469">
            <v>18</v>
          </cell>
          <cell r="AN1469">
            <v>19.737801671721243</v>
          </cell>
          <cell r="AO1469">
            <v>0</v>
          </cell>
          <cell r="AP1469">
            <v>19.737801671721243</v>
          </cell>
          <cell r="AZ1469">
            <v>0</v>
          </cell>
          <cell r="BT1469">
            <v>13.955363359841682</v>
          </cell>
          <cell r="BX1469">
            <v>0</v>
          </cell>
          <cell r="CB1469">
            <v>20.133846722616376</v>
          </cell>
          <cell r="CE1469" t="str">
            <v>18LOCAL</v>
          </cell>
          <cell r="CF1469" t="str">
            <v>18LOCAL</v>
          </cell>
          <cell r="CG1469" t="str">
            <v>18LOCAL</v>
          </cell>
        </row>
        <row r="1470">
          <cell r="O1470">
            <v>18</v>
          </cell>
          <cell r="AN1470">
            <v>26.192599900468124</v>
          </cell>
          <cell r="AO1470">
            <v>0</v>
          </cell>
          <cell r="AP1470">
            <v>26.192599900468124</v>
          </cell>
          <cell r="AZ1470">
            <v>0</v>
          </cell>
          <cell r="BT1470">
            <v>26.192599900468124</v>
          </cell>
          <cell r="BX1470">
            <v>0</v>
          </cell>
          <cell r="CB1470">
            <v>26.192599900468124</v>
          </cell>
          <cell r="CE1470" t="str">
            <v>18EU</v>
          </cell>
          <cell r="CF1470" t="str">
            <v>18LOCAL</v>
          </cell>
          <cell r="CG1470" t="str">
            <v>18EU</v>
          </cell>
        </row>
        <row r="1471">
          <cell r="O1471">
            <v>18</v>
          </cell>
          <cell r="AN1471">
            <v>26.192599900468124</v>
          </cell>
          <cell r="AO1471">
            <v>0</v>
          </cell>
          <cell r="AP1471">
            <v>26.192599900468124</v>
          </cell>
          <cell r="AZ1471">
            <v>0</v>
          </cell>
          <cell r="BT1471">
            <v>26.192599900468124</v>
          </cell>
          <cell r="BX1471">
            <v>0</v>
          </cell>
          <cell r="CB1471">
            <v>26.192599900468124</v>
          </cell>
          <cell r="CE1471" t="str">
            <v>18EU</v>
          </cell>
          <cell r="CF1471" t="str">
            <v>18EU</v>
          </cell>
          <cell r="CG1471" t="str">
            <v>18EU</v>
          </cell>
        </row>
        <row r="1472">
          <cell r="O1472">
            <v>18</v>
          </cell>
          <cell r="AN1472">
            <v>1.4839999943608002</v>
          </cell>
          <cell r="AO1472">
            <v>0</v>
          </cell>
          <cell r="AP1472">
            <v>1.4839999943608002</v>
          </cell>
          <cell r="AZ1472">
            <v>0</v>
          </cell>
          <cell r="BT1472">
            <v>1.4839999943608002</v>
          </cell>
          <cell r="BX1472">
            <v>0</v>
          </cell>
          <cell r="CB1472">
            <v>1.4839999943608002</v>
          </cell>
          <cell r="CE1472" t="str">
            <v>18EU</v>
          </cell>
          <cell r="CF1472" t="str">
            <v>18EU</v>
          </cell>
          <cell r="CG1472" t="str">
            <v>18EU</v>
          </cell>
        </row>
        <row r="1473">
          <cell r="O1473">
            <v>18</v>
          </cell>
          <cell r="AN1473">
            <v>0</v>
          </cell>
          <cell r="AO1473">
            <v>0</v>
          </cell>
          <cell r="AP1473">
            <v>0</v>
          </cell>
          <cell r="AZ1473">
            <v>0</v>
          </cell>
          <cell r="BT1473">
            <v>0</v>
          </cell>
          <cell r="BX1473">
            <v>0</v>
          </cell>
          <cell r="CB1473">
            <v>0</v>
          </cell>
          <cell r="CE1473" t="str">
            <v>18EU</v>
          </cell>
          <cell r="CF1473" t="str">
            <v>18EU</v>
          </cell>
          <cell r="CG1473" t="str">
            <v>18EU</v>
          </cell>
        </row>
        <row r="1474">
          <cell r="O1474">
            <v>18</v>
          </cell>
          <cell r="AN1474">
            <v>7.7591999705150423</v>
          </cell>
          <cell r="AO1474">
            <v>7.7591999705150423</v>
          </cell>
          <cell r="AP1474">
            <v>7.7591999705150423</v>
          </cell>
          <cell r="AZ1474">
            <v>8.3814000000000011</v>
          </cell>
          <cell r="BT1474">
            <v>7.7591999705150423</v>
          </cell>
          <cell r="BX1474">
            <v>7.7591999705150423</v>
          </cell>
          <cell r="CB1474">
            <v>7.7591999705150423</v>
          </cell>
          <cell r="CE1474" t="str">
            <v>18EU</v>
          </cell>
          <cell r="CF1474" t="str">
            <v>18EU</v>
          </cell>
          <cell r="CG1474" t="str">
            <v>18EU</v>
          </cell>
        </row>
        <row r="1475">
          <cell r="O1475">
            <v>18</v>
          </cell>
          <cell r="AN1475">
            <v>0</v>
          </cell>
          <cell r="AO1475">
            <v>4.9183999813100803</v>
          </cell>
          <cell r="AP1475">
            <v>0</v>
          </cell>
          <cell r="AZ1475">
            <v>5.3127999999999993</v>
          </cell>
          <cell r="BT1475">
            <v>0</v>
          </cell>
          <cell r="BX1475">
            <v>4.9183999813100803</v>
          </cell>
          <cell r="CB1475">
            <v>0</v>
          </cell>
          <cell r="CE1475" t="str">
            <v>18EU</v>
          </cell>
          <cell r="CF1475" t="str">
            <v>18EU</v>
          </cell>
          <cell r="CG1475" t="str">
            <v>18EU</v>
          </cell>
        </row>
        <row r="1476">
          <cell r="O1476">
            <v>18</v>
          </cell>
          <cell r="AN1476">
            <v>0</v>
          </cell>
          <cell r="AO1476">
            <v>0</v>
          </cell>
          <cell r="AP1476">
            <v>0</v>
          </cell>
          <cell r="AZ1476">
            <v>0</v>
          </cell>
          <cell r="BT1476">
            <v>0</v>
          </cell>
          <cell r="BX1476">
            <v>0</v>
          </cell>
          <cell r="CB1476">
            <v>0</v>
          </cell>
          <cell r="CE1476" t="str">
            <v>18EU</v>
          </cell>
          <cell r="CF1476" t="str">
            <v>18EU</v>
          </cell>
          <cell r="CG1476" t="str">
            <v>18EU</v>
          </cell>
        </row>
        <row r="1477">
          <cell r="O1477">
            <v>18</v>
          </cell>
          <cell r="AN1477">
            <v>4.7169999820754009</v>
          </cell>
          <cell r="AO1477">
            <v>0</v>
          </cell>
          <cell r="AP1477">
            <v>4.7169999820754009</v>
          </cell>
          <cell r="AZ1477">
            <v>0</v>
          </cell>
          <cell r="BT1477">
            <v>4.7169999820754009</v>
          </cell>
          <cell r="BX1477">
            <v>0</v>
          </cell>
          <cell r="CB1477">
            <v>4.7169999820754009</v>
          </cell>
          <cell r="CE1477" t="str">
            <v>18EU</v>
          </cell>
          <cell r="CF1477" t="str">
            <v>18EU</v>
          </cell>
          <cell r="CG1477" t="str">
            <v>18EU</v>
          </cell>
        </row>
        <row r="1478">
          <cell r="O1478">
            <v>18</v>
          </cell>
          <cell r="AN1478">
            <v>0.23199698736746396</v>
          </cell>
          <cell r="AO1478">
            <v>0.23199698736746396</v>
          </cell>
          <cell r="AP1478">
            <v>0.23199698736746396</v>
          </cell>
          <cell r="AZ1478">
            <v>0.22900000000000001</v>
          </cell>
          <cell r="BT1478">
            <v>0.23199698736746396</v>
          </cell>
          <cell r="BX1478">
            <v>0.23199698736746396</v>
          </cell>
          <cell r="CB1478">
            <v>0.23199698736746396</v>
          </cell>
          <cell r="CE1478" t="str">
            <v>18EU</v>
          </cell>
          <cell r="CF1478" t="str">
            <v>18EU</v>
          </cell>
          <cell r="CG1478" t="str">
            <v>18EU</v>
          </cell>
        </row>
        <row r="1479">
          <cell r="O1479">
            <v>18</v>
          </cell>
          <cell r="AN1479">
            <v>0</v>
          </cell>
          <cell r="AO1479">
            <v>0</v>
          </cell>
          <cell r="AP1479">
            <v>0</v>
          </cell>
          <cell r="AZ1479">
            <v>0</v>
          </cell>
          <cell r="BT1479">
            <v>0</v>
          </cell>
          <cell r="BX1479">
            <v>0</v>
          </cell>
          <cell r="CB1479">
            <v>0</v>
          </cell>
          <cell r="CE1479" t="str">
            <v>18EU</v>
          </cell>
          <cell r="CF1479" t="str">
            <v>18EU</v>
          </cell>
          <cell r="CG1479" t="str">
            <v>18EU</v>
          </cell>
        </row>
        <row r="1480">
          <cell r="O1480">
            <v>18</v>
          </cell>
          <cell r="AN1480">
            <v>0</v>
          </cell>
          <cell r="AO1480">
            <v>0</v>
          </cell>
          <cell r="AP1480">
            <v>0</v>
          </cell>
          <cell r="AZ1480">
            <v>0</v>
          </cell>
          <cell r="BT1480">
            <v>0</v>
          </cell>
          <cell r="BX1480">
            <v>0</v>
          </cell>
          <cell r="CB1480">
            <v>0</v>
          </cell>
          <cell r="CE1480" t="str">
            <v>18EU</v>
          </cell>
          <cell r="CF1480" t="str">
            <v>18EU</v>
          </cell>
          <cell r="CG1480" t="str">
            <v>18EU</v>
          </cell>
        </row>
        <row r="1481">
          <cell r="O1481">
            <v>18</v>
          </cell>
          <cell r="AN1481">
            <v>3.2255799877427966</v>
          </cell>
          <cell r="AO1481">
            <v>0</v>
          </cell>
          <cell r="AP1481">
            <v>0</v>
          </cell>
          <cell r="AZ1481">
            <v>0</v>
          </cell>
          <cell r="BT1481">
            <v>3.2255799877427966</v>
          </cell>
          <cell r="BX1481">
            <v>0</v>
          </cell>
          <cell r="CB1481">
            <v>0</v>
          </cell>
          <cell r="CE1481" t="str">
            <v>18EU</v>
          </cell>
          <cell r="CF1481" t="str">
            <v>18EU</v>
          </cell>
          <cell r="CG1481" t="str">
            <v>18EU</v>
          </cell>
        </row>
        <row r="1482">
          <cell r="O1482">
            <v>18</v>
          </cell>
          <cell r="AN1482">
            <v>0</v>
          </cell>
          <cell r="AO1482">
            <v>3.2223999877548803</v>
          </cell>
          <cell r="AP1482">
            <v>3.2223999877548803</v>
          </cell>
          <cell r="AZ1482">
            <v>3.4807999999999999</v>
          </cell>
          <cell r="BT1482">
            <v>0</v>
          </cell>
          <cell r="BX1482">
            <v>3.2223999877548803</v>
          </cell>
          <cell r="CB1482">
            <v>3.2223999877548803</v>
          </cell>
          <cell r="CE1482" t="str">
            <v>18EU</v>
          </cell>
          <cell r="CF1482" t="str">
            <v>18EU</v>
          </cell>
          <cell r="CG1482" t="str">
            <v>18EU</v>
          </cell>
        </row>
        <row r="1483">
          <cell r="O1483">
            <v>18</v>
          </cell>
          <cell r="AN1483">
            <v>0</v>
          </cell>
          <cell r="AO1483">
            <v>0</v>
          </cell>
          <cell r="AP1483">
            <v>0</v>
          </cell>
          <cell r="AZ1483">
            <v>0</v>
          </cell>
          <cell r="BT1483">
            <v>0</v>
          </cell>
          <cell r="BX1483">
            <v>0</v>
          </cell>
          <cell r="CB1483">
            <v>0</v>
          </cell>
          <cell r="CE1483" t="str">
            <v>18EU</v>
          </cell>
          <cell r="CF1483" t="str">
            <v>18EU</v>
          </cell>
          <cell r="CG1483" t="str">
            <v>18EU</v>
          </cell>
        </row>
        <row r="1484">
          <cell r="O1484">
            <v>18</v>
          </cell>
          <cell r="AN1484">
            <v>0</v>
          </cell>
          <cell r="AO1484">
            <v>0</v>
          </cell>
          <cell r="AP1484">
            <v>1.4850599943567724</v>
          </cell>
          <cell r="AZ1484">
            <v>0</v>
          </cell>
          <cell r="BT1484">
            <v>0</v>
          </cell>
          <cell r="BX1484">
            <v>0</v>
          </cell>
          <cell r="CB1484">
            <v>1.4850599943567724</v>
          </cell>
          <cell r="CE1484" t="str">
            <v>18EU</v>
          </cell>
          <cell r="CF1484" t="str">
            <v>18EU</v>
          </cell>
          <cell r="CG1484" t="str">
            <v>18EU</v>
          </cell>
        </row>
        <row r="1485">
          <cell r="O1485">
            <v>18</v>
          </cell>
          <cell r="AN1485">
            <v>0</v>
          </cell>
          <cell r="AO1485">
            <v>0</v>
          </cell>
          <cell r="AP1485">
            <v>0</v>
          </cell>
          <cell r="AZ1485">
            <v>0</v>
          </cell>
          <cell r="BT1485">
            <v>0</v>
          </cell>
          <cell r="BX1485">
            <v>0</v>
          </cell>
          <cell r="CB1485">
            <v>0</v>
          </cell>
          <cell r="CE1485" t="str">
            <v>18EU</v>
          </cell>
          <cell r="CF1485" t="str">
            <v>18EU</v>
          </cell>
          <cell r="CG1485" t="str">
            <v>18EU</v>
          </cell>
        </row>
        <row r="1486">
          <cell r="O1486">
            <v>18</v>
          </cell>
          <cell r="AN1486">
            <v>0.18147199931040642</v>
          </cell>
          <cell r="AO1486">
            <v>0.18147199931040642</v>
          </cell>
          <cell r="AP1486">
            <v>0.18147199931040642</v>
          </cell>
          <cell r="AZ1486">
            <v>0.196024</v>
          </cell>
          <cell r="BT1486">
            <v>0.18147199931040642</v>
          </cell>
          <cell r="BX1486">
            <v>0.18147199931040642</v>
          </cell>
          <cell r="CB1486">
            <v>0.18147199931040642</v>
          </cell>
          <cell r="CE1486" t="str">
            <v>18EU</v>
          </cell>
          <cell r="CF1486" t="str">
            <v>18EU</v>
          </cell>
          <cell r="CG1486" t="str">
            <v>18EU</v>
          </cell>
        </row>
        <row r="1487">
          <cell r="O1487">
            <v>18</v>
          </cell>
          <cell r="AN1487">
            <v>0.18147199931040642</v>
          </cell>
          <cell r="AO1487">
            <v>0.18147199931040642</v>
          </cell>
          <cell r="AP1487">
            <v>0.18147199931040642</v>
          </cell>
          <cell r="AZ1487">
            <v>0.196024</v>
          </cell>
          <cell r="BT1487">
            <v>0.18147199931040642</v>
          </cell>
          <cell r="BX1487">
            <v>0.18147199931040642</v>
          </cell>
          <cell r="CB1487">
            <v>0.18147199931040642</v>
          </cell>
          <cell r="CE1487" t="str">
            <v>18EU</v>
          </cell>
          <cell r="CF1487" t="str">
            <v>18EU</v>
          </cell>
          <cell r="CG1487" t="str">
            <v>18EU</v>
          </cell>
        </row>
        <row r="1488">
          <cell r="O1488">
            <v>18</v>
          </cell>
          <cell r="AN1488">
            <v>4.7911999817934401</v>
          </cell>
          <cell r="AO1488">
            <v>4.7911999817934401</v>
          </cell>
          <cell r="AP1488">
            <v>4.7911999817934401</v>
          </cell>
          <cell r="AZ1488">
            <v>5.1753999999999998</v>
          </cell>
          <cell r="BT1488">
            <v>4.7911999817934401</v>
          </cell>
          <cell r="BX1488">
            <v>4.7911999817934401</v>
          </cell>
          <cell r="CB1488">
            <v>4.7911999817934401</v>
          </cell>
          <cell r="CE1488" t="str">
            <v>18EU</v>
          </cell>
          <cell r="CF1488" t="str">
            <v>18EU</v>
          </cell>
          <cell r="CG1488" t="str">
            <v>18EU</v>
          </cell>
        </row>
        <row r="1489">
          <cell r="O1489">
            <v>18</v>
          </cell>
          <cell r="AN1489">
            <v>4.0279999846936008</v>
          </cell>
          <cell r="AO1489">
            <v>0</v>
          </cell>
          <cell r="AP1489">
            <v>4.0279999846936008</v>
          </cell>
          <cell r="AZ1489">
            <v>0</v>
          </cell>
          <cell r="BT1489">
            <v>4.0279999846936008</v>
          </cell>
          <cell r="BX1489">
            <v>0</v>
          </cell>
          <cell r="CB1489">
            <v>4.0279999846936008</v>
          </cell>
          <cell r="CE1489" t="str">
            <v>18EU</v>
          </cell>
          <cell r="CF1489" t="str">
            <v>18EU</v>
          </cell>
          <cell r="CG1489" t="str">
            <v>18EU</v>
          </cell>
        </row>
        <row r="1490">
          <cell r="O1490">
            <v>18</v>
          </cell>
          <cell r="AN1490">
            <v>0</v>
          </cell>
          <cell r="AO1490">
            <v>3.900799985176961</v>
          </cell>
          <cell r="AP1490">
            <v>0</v>
          </cell>
          <cell r="AZ1490">
            <v>4.2136000000000005</v>
          </cell>
          <cell r="BT1490">
            <v>0</v>
          </cell>
          <cell r="BX1490">
            <v>3.900799985176961</v>
          </cell>
          <cell r="CB1490">
            <v>0</v>
          </cell>
          <cell r="CE1490" t="str">
            <v>18EU</v>
          </cell>
          <cell r="CF1490" t="str">
            <v>18EU</v>
          </cell>
          <cell r="CG1490" t="str">
            <v>18EU</v>
          </cell>
        </row>
        <row r="1491">
          <cell r="O1491">
            <v>18</v>
          </cell>
          <cell r="AN1491">
            <v>0</v>
          </cell>
          <cell r="AO1491">
            <v>0</v>
          </cell>
          <cell r="AP1491">
            <v>0</v>
          </cell>
          <cell r="AZ1491">
            <v>0</v>
          </cell>
          <cell r="BT1491">
            <v>0</v>
          </cell>
          <cell r="BX1491">
            <v>0</v>
          </cell>
          <cell r="CB1491">
            <v>0</v>
          </cell>
          <cell r="CE1491" t="str">
            <v>18EU</v>
          </cell>
          <cell r="CF1491" t="str">
            <v>18EU</v>
          </cell>
          <cell r="CG1491" t="str">
            <v>18EU</v>
          </cell>
        </row>
        <row r="1492">
          <cell r="O1492">
            <v>18</v>
          </cell>
          <cell r="AN1492">
            <v>0</v>
          </cell>
          <cell r="AO1492">
            <v>0</v>
          </cell>
          <cell r="AP1492">
            <v>0</v>
          </cell>
          <cell r="AZ1492">
            <v>0</v>
          </cell>
          <cell r="BT1492">
            <v>0</v>
          </cell>
          <cell r="BX1492">
            <v>0</v>
          </cell>
          <cell r="CB1492">
            <v>0</v>
          </cell>
          <cell r="CE1492" t="str">
            <v>18EU</v>
          </cell>
          <cell r="CF1492" t="str">
            <v>18LOCAL</v>
          </cell>
          <cell r="CG1492" t="str">
            <v>18EU</v>
          </cell>
        </row>
        <row r="1493">
          <cell r="O1493">
            <v>18</v>
          </cell>
          <cell r="AN1493">
            <v>0</v>
          </cell>
          <cell r="AO1493">
            <v>3.416379987017756</v>
          </cell>
          <cell r="AP1493">
            <v>0</v>
          </cell>
          <cell r="AZ1493">
            <v>3.6903349999999997</v>
          </cell>
          <cell r="BT1493">
            <v>0</v>
          </cell>
          <cell r="BX1493">
            <v>3.416379987017756</v>
          </cell>
          <cell r="CB1493">
            <v>0</v>
          </cell>
          <cell r="CE1493" t="str">
            <v>18EU</v>
          </cell>
          <cell r="CF1493" t="str">
            <v>18EU</v>
          </cell>
          <cell r="CG1493" t="str">
            <v>18EU</v>
          </cell>
        </row>
        <row r="1494">
          <cell r="O1494">
            <v>18</v>
          </cell>
          <cell r="AN1494">
            <v>2.6362199899823646</v>
          </cell>
          <cell r="AO1494">
            <v>0</v>
          </cell>
          <cell r="AP1494">
            <v>0</v>
          </cell>
          <cell r="AZ1494">
            <v>0</v>
          </cell>
          <cell r="BT1494">
            <v>2.6362199899823646</v>
          </cell>
          <cell r="BX1494">
            <v>0</v>
          </cell>
          <cell r="CB1494">
            <v>0</v>
          </cell>
          <cell r="CE1494" t="str">
            <v>18EU</v>
          </cell>
          <cell r="CF1494" t="str">
            <v>18EU</v>
          </cell>
          <cell r="CG1494" t="str">
            <v>18EU</v>
          </cell>
        </row>
        <row r="1495">
          <cell r="O1495">
            <v>18</v>
          </cell>
          <cell r="AN1495">
            <v>0</v>
          </cell>
          <cell r="AO1495">
            <v>0</v>
          </cell>
          <cell r="AP1495">
            <v>3.2594999876139008</v>
          </cell>
          <cell r="AZ1495">
            <v>0</v>
          </cell>
          <cell r="BT1495">
            <v>0</v>
          </cell>
          <cell r="BX1495">
            <v>0</v>
          </cell>
          <cell r="CB1495">
            <v>3.2594999876139008</v>
          </cell>
          <cell r="CE1495" t="str">
            <v>18EU</v>
          </cell>
          <cell r="CF1495" t="str">
            <v>18EU</v>
          </cell>
          <cell r="CG1495" t="str">
            <v>18EU</v>
          </cell>
        </row>
        <row r="1496">
          <cell r="O1496">
            <v>18</v>
          </cell>
          <cell r="AN1496">
            <v>0</v>
          </cell>
          <cell r="AO1496">
            <v>0</v>
          </cell>
          <cell r="AP1496">
            <v>0</v>
          </cell>
          <cell r="AZ1496">
            <v>0</v>
          </cell>
          <cell r="BT1496">
            <v>0</v>
          </cell>
          <cell r="BX1496">
            <v>0</v>
          </cell>
          <cell r="CB1496">
            <v>0</v>
          </cell>
          <cell r="CE1496" t="str">
            <v>18EU</v>
          </cell>
          <cell r="CF1496" t="str">
            <v>18EU</v>
          </cell>
          <cell r="CG1496" t="str">
            <v>18EU</v>
          </cell>
        </row>
        <row r="1497">
          <cell r="O1497">
            <v>18</v>
          </cell>
          <cell r="AN1497">
            <v>0</v>
          </cell>
          <cell r="AO1497">
            <v>35.594799864739763</v>
          </cell>
          <cell r="AP1497">
            <v>35.594799864739763</v>
          </cell>
          <cell r="AZ1497">
            <v>38.449100000000001</v>
          </cell>
          <cell r="BT1497">
            <v>0</v>
          </cell>
          <cell r="BX1497">
            <v>35.594799864739763</v>
          </cell>
          <cell r="CB1497">
            <v>35.594799864739763</v>
          </cell>
          <cell r="CE1497" t="str">
            <v>18EU</v>
          </cell>
          <cell r="CF1497" t="str">
            <v>18EU</v>
          </cell>
          <cell r="CG1497" t="str">
            <v>18EU</v>
          </cell>
        </row>
        <row r="1498">
          <cell r="O1498">
            <v>18</v>
          </cell>
          <cell r="AN1498">
            <v>0</v>
          </cell>
          <cell r="AO1498">
            <v>0</v>
          </cell>
          <cell r="AP1498">
            <v>0</v>
          </cell>
          <cell r="AZ1498">
            <v>0</v>
          </cell>
          <cell r="BT1498">
            <v>0</v>
          </cell>
          <cell r="BX1498">
            <v>0</v>
          </cell>
          <cell r="CB1498">
            <v>0</v>
          </cell>
          <cell r="CE1498" t="str">
            <v>18EU</v>
          </cell>
          <cell r="CF1498" t="str">
            <v>18EU</v>
          </cell>
          <cell r="CG1498" t="str">
            <v>18EU</v>
          </cell>
        </row>
        <row r="1499">
          <cell r="O1499">
            <v>18</v>
          </cell>
          <cell r="AN1499">
            <v>26.457599899461123</v>
          </cell>
          <cell r="AO1499">
            <v>0</v>
          </cell>
          <cell r="AP1499">
            <v>0</v>
          </cell>
          <cell r="AZ1499">
            <v>0</v>
          </cell>
          <cell r="BT1499">
            <v>26.457599899461123</v>
          </cell>
          <cell r="BX1499">
            <v>0</v>
          </cell>
          <cell r="CB1499">
            <v>0</v>
          </cell>
          <cell r="CE1499" t="str">
            <v>18EU</v>
          </cell>
          <cell r="CF1499" t="str">
            <v>18EU</v>
          </cell>
          <cell r="CG1499" t="str">
            <v>18EU</v>
          </cell>
        </row>
        <row r="1500">
          <cell r="O1500">
            <v>18</v>
          </cell>
          <cell r="AN1500">
            <v>0.51039337220842074</v>
          </cell>
          <cell r="AO1500">
            <v>0.51039337220842074</v>
          </cell>
          <cell r="AP1500">
            <v>0.51039337220842074</v>
          </cell>
          <cell r="AZ1500">
            <v>0.50380000000000003</v>
          </cell>
          <cell r="BT1500">
            <v>0.51039337220842074</v>
          </cell>
          <cell r="BX1500">
            <v>0.51039337220842074</v>
          </cell>
          <cell r="CB1500">
            <v>0.51039337220842074</v>
          </cell>
          <cell r="CE1500" t="str">
            <v>18EU</v>
          </cell>
          <cell r="CF1500" t="str">
            <v>18EU</v>
          </cell>
          <cell r="CG1500" t="str">
            <v>18EU</v>
          </cell>
        </row>
        <row r="1501">
          <cell r="O1501">
            <v>18</v>
          </cell>
          <cell r="AN1501">
            <v>0.10439864431535878</v>
          </cell>
          <cell r="AO1501">
            <v>0.10439864431535878</v>
          </cell>
          <cell r="AP1501">
            <v>0.10439864431535878</v>
          </cell>
          <cell r="AZ1501">
            <v>0.10305</v>
          </cell>
          <cell r="BT1501">
            <v>0.10439864431535878</v>
          </cell>
          <cell r="BX1501">
            <v>0.10439864431535878</v>
          </cell>
          <cell r="CB1501">
            <v>0.10439864431535878</v>
          </cell>
          <cell r="CE1501" t="str">
            <v>18EU</v>
          </cell>
          <cell r="CF1501" t="str">
            <v>18EU</v>
          </cell>
          <cell r="CG1501" t="str">
            <v>18EU</v>
          </cell>
        </row>
        <row r="1502">
          <cell r="O1502">
            <v>18</v>
          </cell>
          <cell r="AN1502">
            <v>0</v>
          </cell>
          <cell r="AO1502">
            <v>0</v>
          </cell>
          <cell r="AP1502">
            <v>0</v>
          </cell>
          <cell r="AZ1502">
            <v>0</v>
          </cell>
          <cell r="BT1502">
            <v>0</v>
          </cell>
          <cell r="BX1502">
            <v>0</v>
          </cell>
          <cell r="CB1502">
            <v>0</v>
          </cell>
          <cell r="CE1502" t="str">
            <v>18EU</v>
          </cell>
          <cell r="CF1502" t="str">
            <v>18EU</v>
          </cell>
          <cell r="CG1502" t="str">
            <v>18EU</v>
          </cell>
        </row>
        <row r="1503">
          <cell r="O1503">
            <v>18</v>
          </cell>
          <cell r="AN1503">
            <v>4.7063999821156806</v>
          </cell>
          <cell r="AO1503">
            <v>0</v>
          </cell>
          <cell r="AP1503">
            <v>0</v>
          </cell>
          <cell r="AZ1503">
            <v>0</v>
          </cell>
          <cell r="BT1503">
            <v>4.7063999821156806</v>
          </cell>
          <cell r="BX1503">
            <v>0</v>
          </cell>
          <cell r="CB1503">
            <v>0</v>
          </cell>
          <cell r="CE1503" t="str">
            <v>18EU</v>
          </cell>
          <cell r="CF1503" t="str">
            <v>18EU</v>
          </cell>
          <cell r="CG1503" t="str">
            <v>18EU</v>
          </cell>
        </row>
        <row r="1504">
          <cell r="O1504">
            <v>18</v>
          </cell>
          <cell r="AN1504">
            <v>4.7063999821156806</v>
          </cell>
          <cell r="AO1504">
            <v>0</v>
          </cell>
          <cell r="AP1504">
            <v>0</v>
          </cell>
          <cell r="AZ1504">
            <v>0</v>
          </cell>
          <cell r="BT1504">
            <v>4.7063999821156806</v>
          </cell>
          <cell r="BX1504">
            <v>0</v>
          </cell>
          <cell r="CB1504">
            <v>0</v>
          </cell>
          <cell r="CE1504" t="str">
            <v>18EU</v>
          </cell>
          <cell r="CF1504" t="str">
            <v>18EU</v>
          </cell>
          <cell r="CG1504" t="str">
            <v>18EU</v>
          </cell>
        </row>
        <row r="1505">
          <cell r="O1505">
            <v>18</v>
          </cell>
          <cell r="AN1505">
            <v>0</v>
          </cell>
          <cell r="AO1505">
            <v>0</v>
          </cell>
          <cell r="AP1505">
            <v>0</v>
          </cell>
          <cell r="AZ1505">
            <v>0</v>
          </cell>
          <cell r="BT1505">
            <v>0</v>
          </cell>
          <cell r="BX1505">
            <v>0</v>
          </cell>
          <cell r="CB1505">
            <v>0</v>
          </cell>
          <cell r="CE1505" t="str">
            <v>18EU</v>
          </cell>
          <cell r="CF1505" t="str">
            <v>18EU</v>
          </cell>
          <cell r="CG1505" t="str">
            <v>18EU</v>
          </cell>
        </row>
        <row r="1506">
          <cell r="O1506">
            <v>18</v>
          </cell>
          <cell r="AN1506">
            <v>0.86919999669704007</v>
          </cell>
          <cell r="AO1506">
            <v>0</v>
          </cell>
          <cell r="AP1506">
            <v>0</v>
          </cell>
          <cell r="AZ1506">
            <v>0</v>
          </cell>
          <cell r="BT1506">
            <v>0.86919999669704007</v>
          </cell>
          <cell r="BX1506">
            <v>0</v>
          </cell>
          <cell r="CB1506">
            <v>0</v>
          </cell>
          <cell r="CE1506" t="str">
            <v>18EU</v>
          </cell>
          <cell r="CF1506" t="str">
            <v>18EU</v>
          </cell>
          <cell r="CG1506" t="str">
            <v>18EU</v>
          </cell>
        </row>
        <row r="1507">
          <cell r="O1507">
            <v>18</v>
          </cell>
          <cell r="AN1507">
            <v>87.810399666320507</v>
          </cell>
          <cell r="AO1507">
            <v>0</v>
          </cell>
          <cell r="AP1507">
            <v>0</v>
          </cell>
          <cell r="AZ1507">
            <v>0</v>
          </cell>
          <cell r="BT1507">
            <v>87.810399666320507</v>
          </cell>
          <cell r="BX1507">
            <v>0</v>
          </cell>
          <cell r="CB1507">
            <v>0</v>
          </cell>
          <cell r="CE1507" t="str">
            <v>18EU</v>
          </cell>
          <cell r="CF1507" t="str">
            <v>18EU</v>
          </cell>
          <cell r="CG1507" t="str">
            <v>18EU</v>
          </cell>
        </row>
        <row r="1508">
          <cell r="O1508">
            <v>18</v>
          </cell>
          <cell r="AN1508">
            <v>0</v>
          </cell>
          <cell r="AO1508">
            <v>0</v>
          </cell>
          <cell r="AP1508">
            <v>0</v>
          </cell>
          <cell r="AZ1508">
            <v>0</v>
          </cell>
          <cell r="BT1508">
            <v>0</v>
          </cell>
          <cell r="BX1508">
            <v>0</v>
          </cell>
          <cell r="CB1508">
            <v>0</v>
          </cell>
          <cell r="CE1508" t="str">
            <v>18EU</v>
          </cell>
          <cell r="CF1508" t="str">
            <v>18EU</v>
          </cell>
          <cell r="CG1508" t="str">
            <v>18EU</v>
          </cell>
        </row>
        <row r="1509">
          <cell r="O1509">
            <v>18</v>
          </cell>
          <cell r="AN1509">
            <v>5.8765275773058782E-2</v>
          </cell>
          <cell r="AO1509">
            <v>0</v>
          </cell>
          <cell r="AP1509">
            <v>0</v>
          </cell>
          <cell r="AZ1509">
            <v>0</v>
          </cell>
          <cell r="BT1509">
            <v>5.8765275773058782E-2</v>
          </cell>
          <cell r="BX1509">
            <v>0</v>
          </cell>
          <cell r="CB1509">
            <v>0</v>
          </cell>
          <cell r="CE1509" t="str">
            <v>18EU</v>
          </cell>
          <cell r="CF1509" t="str">
            <v>18EU</v>
          </cell>
          <cell r="CG1509" t="str">
            <v>18EU</v>
          </cell>
        </row>
        <row r="1510">
          <cell r="O1510">
            <v>18</v>
          </cell>
          <cell r="AN1510">
            <v>5.8765275773058782E-2</v>
          </cell>
          <cell r="AO1510">
            <v>0</v>
          </cell>
          <cell r="AP1510">
            <v>0</v>
          </cell>
          <cell r="AZ1510">
            <v>0</v>
          </cell>
          <cell r="BT1510">
            <v>5.8765275773058782E-2</v>
          </cell>
          <cell r="BX1510">
            <v>0</v>
          </cell>
          <cell r="CB1510">
            <v>0</v>
          </cell>
          <cell r="CE1510" t="str">
            <v>18EU</v>
          </cell>
          <cell r="CF1510" t="str">
            <v>18EU</v>
          </cell>
          <cell r="CG1510" t="str">
            <v>18EU</v>
          </cell>
        </row>
        <row r="1511">
          <cell r="O1511">
            <v>18</v>
          </cell>
          <cell r="AN1511">
            <v>2.0139614712989119E-2</v>
          </cell>
          <cell r="AO1511">
            <v>2.0139614712989119E-2</v>
          </cell>
          <cell r="AP1511">
            <v>2.0139614712989119E-2</v>
          </cell>
          <cell r="AZ1511">
            <v>2.1754583900000003E-2</v>
          </cell>
          <cell r="BT1511">
            <v>2.0139614712989119E-2</v>
          </cell>
          <cell r="BX1511">
            <v>2.0139614712989119E-2</v>
          </cell>
          <cell r="CB1511">
            <v>2.0139614712989119E-2</v>
          </cell>
          <cell r="CE1511" t="str">
            <v>18EU</v>
          </cell>
          <cell r="CF1511" t="str">
            <v>18EU</v>
          </cell>
          <cell r="CG1511" t="str">
            <v>18EU</v>
          </cell>
        </row>
        <row r="1512">
          <cell r="O1512">
            <v>18</v>
          </cell>
          <cell r="AN1512">
            <v>2.5736307643756621E-2</v>
          </cell>
          <cell r="AO1512">
            <v>2.5736307643756621E-2</v>
          </cell>
          <cell r="AP1512">
            <v>0</v>
          </cell>
          <cell r="AZ1512">
            <v>2.7800068268000001E-2</v>
          </cell>
          <cell r="BT1512">
            <v>2.5736307643756621E-2</v>
          </cell>
          <cell r="BX1512">
            <v>2.5736307643756621E-2</v>
          </cell>
          <cell r="CB1512">
            <v>0</v>
          </cell>
          <cell r="CE1512" t="str">
            <v>18EU</v>
          </cell>
          <cell r="CF1512" t="str">
            <v>18EU</v>
          </cell>
          <cell r="CG1512" t="str">
            <v>18EU</v>
          </cell>
        </row>
        <row r="1513">
          <cell r="O1513">
            <v>18</v>
          </cell>
          <cell r="AN1513">
            <v>4.9310256655171247E-2</v>
          </cell>
          <cell r="AO1513">
            <v>0</v>
          </cell>
          <cell r="AP1513">
            <v>0</v>
          </cell>
          <cell r="AZ1513">
            <v>0</v>
          </cell>
          <cell r="BT1513">
            <v>4.9310256655171247E-2</v>
          </cell>
          <cell r="BX1513">
            <v>0</v>
          </cell>
          <cell r="CB1513">
            <v>0</v>
          </cell>
          <cell r="CE1513" t="str">
            <v>18EU</v>
          </cell>
          <cell r="CF1513" t="str">
            <v>18EU</v>
          </cell>
          <cell r="CG1513" t="str">
            <v>18EU</v>
          </cell>
        </row>
        <row r="1514">
          <cell r="O1514">
            <v>18</v>
          </cell>
          <cell r="AN1514">
            <v>5.0137040838125535E-2</v>
          </cell>
          <cell r="AO1514">
            <v>5.0137040838125535E-2</v>
          </cell>
          <cell r="AP1514">
            <v>5.0137040838125535E-2</v>
          </cell>
          <cell r="AZ1514">
            <v>5.4157464129999992E-2</v>
          </cell>
          <cell r="BT1514">
            <v>5.0137040838125535E-2</v>
          </cell>
          <cell r="BX1514">
            <v>5.0137040838125535E-2</v>
          </cell>
          <cell r="CB1514">
            <v>5.0137040838125535E-2</v>
          </cell>
          <cell r="CE1514" t="str">
            <v>18EU</v>
          </cell>
          <cell r="CF1514" t="str">
            <v>18EU</v>
          </cell>
          <cell r="CG1514" t="str">
            <v>18EU</v>
          </cell>
        </row>
        <row r="1515">
          <cell r="O1515">
            <v>18</v>
          </cell>
          <cell r="AN1515">
            <v>5.5545851317310047E-2</v>
          </cell>
          <cell r="AO1515">
            <v>5.5545851317310047E-2</v>
          </cell>
          <cell r="AP1515">
            <v>5.5545851317310047E-2</v>
          </cell>
          <cell r="AZ1515">
            <v>0.06</v>
          </cell>
          <cell r="BT1515">
            <v>5.5545851317310047E-2</v>
          </cell>
          <cell r="BX1515">
            <v>5.5545851317310047E-2</v>
          </cell>
          <cell r="CB1515">
            <v>5.5545851317310047E-2</v>
          </cell>
          <cell r="CE1515" t="str">
            <v>18EU</v>
          </cell>
          <cell r="CF1515" t="str">
            <v>18EU</v>
          </cell>
          <cell r="CG1515" t="str">
            <v>18EU</v>
          </cell>
        </row>
        <row r="1516">
          <cell r="O1516">
            <v>18</v>
          </cell>
          <cell r="AN1516">
            <v>4.7529490722654319E-2</v>
          </cell>
          <cell r="AO1516">
            <v>4.7529490722654319E-2</v>
          </cell>
          <cell r="AP1516">
            <v>0</v>
          </cell>
          <cell r="AZ1516">
            <v>5.1340818004000005E-2</v>
          </cell>
          <cell r="BT1516">
            <v>4.7529490722654319E-2</v>
          </cell>
          <cell r="BX1516">
            <v>4.7529490722654319E-2</v>
          </cell>
          <cell r="CB1516">
            <v>0</v>
          </cell>
          <cell r="CE1516" t="str">
            <v>18EU</v>
          </cell>
          <cell r="CF1516" t="str">
            <v>18EU</v>
          </cell>
          <cell r="CG1516" t="str">
            <v>18EU</v>
          </cell>
        </row>
        <row r="1517">
          <cell r="O1517">
            <v>18</v>
          </cell>
          <cell r="AN1517">
            <v>0.14373325026743816</v>
          </cell>
          <cell r="AO1517">
            <v>0.14373325026743816</v>
          </cell>
          <cell r="AP1517">
            <v>0.14373325026743816</v>
          </cell>
          <cell r="AZ1517">
            <v>0.15525903036000005</v>
          </cell>
          <cell r="BT1517">
            <v>0.14373325026743816</v>
          </cell>
          <cell r="BX1517">
            <v>0.14373325026743816</v>
          </cell>
          <cell r="CB1517">
            <v>0.14373325026743816</v>
          </cell>
          <cell r="CE1517" t="str">
            <v>18EU</v>
          </cell>
          <cell r="CF1517" t="str">
            <v>18EU</v>
          </cell>
          <cell r="CG1517" t="str">
            <v>18EU</v>
          </cell>
        </row>
        <row r="1518">
          <cell r="O1518">
            <v>18</v>
          </cell>
          <cell r="AN1518">
            <v>0.62411606015831544</v>
          </cell>
          <cell r="AO1518">
            <v>0.62411606015831544</v>
          </cell>
          <cell r="AP1518">
            <v>0.62411606015831544</v>
          </cell>
          <cell r="AZ1518">
            <v>0.67416310528000012</v>
          </cell>
          <cell r="BT1518">
            <v>0.62411606015831544</v>
          </cell>
          <cell r="BX1518">
            <v>0.62411606015831544</v>
          </cell>
          <cell r="CB1518">
            <v>0.62411606015831544</v>
          </cell>
          <cell r="CE1518" t="str">
            <v>18EU</v>
          </cell>
          <cell r="CF1518" t="str">
            <v>18EU</v>
          </cell>
          <cell r="CG1518" t="str">
            <v>18EU</v>
          </cell>
        </row>
        <row r="1519">
          <cell r="O1519">
            <v>18</v>
          </cell>
          <cell r="AN1519">
            <v>0.18876118884679485</v>
          </cell>
          <cell r="AO1519">
            <v>0</v>
          </cell>
          <cell r="AP1519">
            <v>0.18876118884679485</v>
          </cell>
          <cell r="AZ1519">
            <v>0</v>
          </cell>
          <cell r="BT1519">
            <v>0.18876118884679485</v>
          </cell>
          <cell r="BX1519">
            <v>0</v>
          </cell>
          <cell r="CB1519">
            <v>0.18876118884679485</v>
          </cell>
          <cell r="CE1519" t="str">
            <v>18EU</v>
          </cell>
          <cell r="CF1519" t="str">
            <v>18EU</v>
          </cell>
          <cell r="CG1519" t="str">
            <v>18EU</v>
          </cell>
        </row>
        <row r="1520">
          <cell r="O1520">
            <v>18</v>
          </cell>
          <cell r="AN1520">
            <v>0.4388316047988155</v>
          </cell>
          <cell r="AO1520">
            <v>0.4388316047988155</v>
          </cell>
          <cell r="AP1520">
            <v>0</v>
          </cell>
          <cell r="AZ1520">
            <v>0.47402093340000001</v>
          </cell>
          <cell r="BT1520">
            <v>0.4388316047988155</v>
          </cell>
          <cell r="BX1520">
            <v>0.4388316047988155</v>
          </cell>
          <cell r="CB1520">
            <v>0</v>
          </cell>
          <cell r="CE1520" t="str">
            <v>18EU</v>
          </cell>
          <cell r="CF1520" t="str">
            <v>18EU</v>
          </cell>
          <cell r="CG1520" t="str">
            <v>18EU</v>
          </cell>
        </row>
        <row r="1521">
          <cell r="O1521">
            <v>18</v>
          </cell>
          <cell r="AN1521">
            <v>0</v>
          </cell>
          <cell r="AO1521">
            <v>3.5179656187439068E-2</v>
          </cell>
          <cell r="AP1521">
            <v>3.5179656187439068E-2</v>
          </cell>
          <cell r="AZ1521">
            <v>3.8000666497815486E-2</v>
          </cell>
          <cell r="BT1521">
            <v>0</v>
          </cell>
          <cell r="BX1521">
            <v>3.5179656187439068E-2</v>
          </cell>
          <cell r="CB1521">
            <v>3.5179656187439068E-2</v>
          </cell>
          <cell r="CE1521" t="str">
            <v>18EU</v>
          </cell>
          <cell r="CF1521" t="str">
            <v>18EU</v>
          </cell>
          <cell r="CG1521" t="str">
            <v>18EU</v>
          </cell>
        </row>
        <row r="1522">
          <cell r="O1522">
            <v>18</v>
          </cell>
          <cell r="AN1522">
            <v>2.5736307643756621E-2</v>
          </cell>
          <cell r="AO1522">
            <v>2.5736307643756621E-2</v>
          </cell>
          <cell r="AP1522">
            <v>0</v>
          </cell>
          <cell r="AZ1522">
            <v>2.7800068268000001E-2</v>
          </cell>
          <cell r="BT1522">
            <v>2.5736307643756621E-2</v>
          </cell>
          <cell r="BX1522">
            <v>2.5736307643756621E-2</v>
          </cell>
          <cell r="CB1522">
            <v>0</v>
          </cell>
          <cell r="CE1522" t="str">
            <v>18EU</v>
          </cell>
          <cell r="CF1522" t="str">
            <v>18EU</v>
          </cell>
          <cell r="CG1522" t="str">
            <v>18EU</v>
          </cell>
        </row>
        <row r="1523">
          <cell r="O1523">
            <v>18</v>
          </cell>
          <cell r="AN1523">
            <v>0</v>
          </cell>
          <cell r="AO1523">
            <v>0</v>
          </cell>
          <cell r="AP1523">
            <v>0</v>
          </cell>
          <cell r="AZ1523">
            <v>0</v>
          </cell>
          <cell r="BT1523">
            <v>0</v>
          </cell>
          <cell r="BX1523">
            <v>0</v>
          </cell>
          <cell r="CB1523">
            <v>0</v>
          </cell>
          <cell r="CE1523" t="str">
            <v>18EU</v>
          </cell>
          <cell r="CF1523" t="str">
            <v>18EU</v>
          </cell>
          <cell r="CG1523" t="str">
            <v>18EU</v>
          </cell>
        </row>
        <row r="1524">
          <cell r="O1524">
            <v>18</v>
          </cell>
          <cell r="AN1524">
            <v>0</v>
          </cell>
          <cell r="AO1524">
            <v>6.2009999764362007</v>
          </cell>
          <cell r="AP1524">
            <v>6.2009999764362007</v>
          </cell>
          <cell r="AZ1524">
            <v>6.6982499999999998</v>
          </cell>
          <cell r="BT1524">
            <v>0</v>
          </cell>
          <cell r="BX1524">
            <v>6.2009999764362007</v>
          </cell>
          <cell r="CB1524">
            <v>6.2009999764362007</v>
          </cell>
          <cell r="CE1524" t="str">
            <v>18EU</v>
          </cell>
          <cell r="CF1524" t="str">
            <v>18EU</v>
          </cell>
          <cell r="CG1524" t="str">
            <v>18EU</v>
          </cell>
        </row>
        <row r="1525">
          <cell r="O1525">
            <v>18</v>
          </cell>
          <cell r="AN1525">
            <v>3.6357999861839607</v>
          </cell>
          <cell r="AO1525">
            <v>0</v>
          </cell>
          <cell r="AP1525">
            <v>0</v>
          </cell>
          <cell r="AZ1525">
            <v>0</v>
          </cell>
          <cell r="BT1525">
            <v>3.6357999861839607</v>
          </cell>
          <cell r="BX1525">
            <v>0</v>
          </cell>
          <cell r="CB1525">
            <v>0</v>
          </cell>
          <cell r="CE1525" t="str">
            <v>18EU</v>
          </cell>
          <cell r="CF1525" t="str">
            <v>18EU</v>
          </cell>
          <cell r="CG1525" t="str">
            <v>18EU</v>
          </cell>
        </row>
        <row r="1526">
          <cell r="O1526">
            <v>18</v>
          </cell>
          <cell r="AN1526">
            <v>1.1023999958108803</v>
          </cell>
          <cell r="AO1526">
            <v>1.1023999958108803</v>
          </cell>
          <cell r="AP1526">
            <v>1.1023999958108803</v>
          </cell>
          <cell r="AZ1526">
            <v>1.1908000000000001</v>
          </cell>
          <cell r="BT1526">
            <v>1.1023999958108803</v>
          </cell>
          <cell r="BX1526">
            <v>1.1023999958108803</v>
          </cell>
          <cell r="CB1526">
            <v>1.1023999958108803</v>
          </cell>
          <cell r="CE1526" t="str">
            <v>18EU</v>
          </cell>
          <cell r="CF1526" t="str">
            <v>18EU</v>
          </cell>
          <cell r="CG1526" t="str">
            <v>18EU</v>
          </cell>
        </row>
        <row r="1527">
          <cell r="O1527">
            <v>18</v>
          </cell>
          <cell r="AN1527">
            <v>0.73139999722068005</v>
          </cell>
          <cell r="AO1527">
            <v>0.73139999722068005</v>
          </cell>
          <cell r="AP1527">
            <v>0.73139999722068005</v>
          </cell>
          <cell r="AZ1527">
            <v>0.79004999999999992</v>
          </cell>
          <cell r="BT1527">
            <v>0.73139999722068005</v>
          </cell>
          <cell r="BX1527">
            <v>0.73139999722068005</v>
          </cell>
          <cell r="CB1527">
            <v>0.73139999722068005</v>
          </cell>
          <cell r="CE1527" t="str">
            <v>18EU</v>
          </cell>
          <cell r="CF1527" t="str">
            <v>18EU</v>
          </cell>
          <cell r="CG1527" t="str">
            <v>18EU</v>
          </cell>
        </row>
        <row r="1528">
          <cell r="O1528">
            <v>18</v>
          </cell>
          <cell r="AN1528">
            <v>0.89039999661648006</v>
          </cell>
          <cell r="AO1528">
            <v>0</v>
          </cell>
          <cell r="AP1528">
            <v>0</v>
          </cell>
          <cell r="AZ1528">
            <v>0</v>
          </cell>
          <cell r="BT1528">
            <v>0.89039999661648006</v>
          </cell>
          <cell r="BX1528">
            <v>0</v>
          </cell>
          <cell r="CB1528">
            <v>0</v>
          </cell>
          <cell r="CE1528" t="str">
            <v>18EU</v>
          </cell>
          <cell r="CF1528" t="str">
            <v>18EU</v>
          </cell>
          <cell r="CG1528" t="str">
            <v>18EU</v>
          </cell>
        </row>
        <row r="1529">
          <cell r="O1529">
            <v>18</v>
          </cell>
          <cell r="AN1529">
            <v>1.5369999941594001</v>
          </cell>
          <cell r="AO1529">
            <v>0</v>
          </cell>
          <cell r="AP1529">
            <v>0</v>
          </cell>
          <cell r="AZ1529">
            <v>0</v>
          </cell>
          <cell r="BT1529">
            <v>1.5369999941594001</v>
          </cell>
          <cell r="BX1529">
            <v>0</v>
          </cell>
          <cell r="CB1529">
            <v>0</v>
          </cell>
          <cell r="CE1529" t="str">
            <v>18EU</v>
          </cell>
          <cell r="CF1529" t="str">
            <v>18EU</v>
          </cell>
          <cell r="CG1529" t="str">
            <v>18EU</v>
          </cell>
        </row>
        <row r="1530">
          <cell r="O1530">
            <v>18</v>
          </cell>
          <cell r="AN1530">
            <v>1.4627999944413601</v>
          </cell>
          <cell r="AO1530">
            <v>0</v>
          </cell>
          <cell r="AP1530">
            <v>0</v>
          </cell>
          <cell r="AZ1530">
            <v>0</v>
          </cell>
          <cell r="BT1530">
            <v>1.4627999944413601</v>
          </cell>
          <cell r="BX1530">
            <v>0</v>
          </cell>
          <cell r="CB1530">
            <v>0</v>
          </cell>
          <cell r="CE1530" t="str">
            <v>18EU</v>
          </cell>
          <cell r="CF1530" t="str">
            <v>18EU</v>
          </cell>
          <cell r="CG1530" t="str">
            <v>18EU</v>
          </cell>
        </row>
        <row r="1531">
          <cell r="O1531">
            <v>18</v>
          </cell>
          <cell r="AN1531">
            <v>0</v>
          </cell>
          <cell r="AO1531">
            <v>1.4415999945219202</v>
          </cell>
          <cell r="AP1531">
            <v>1.4415999945219202</v>
          </cell>
          <cell r="AZ1531">
            <v>1.5572000000000001</v>
          </cell>
          <cell r="BT1531">
            <v>0</v>
          </cell>
          <cell r="BX1531">
            <v>1.4415999945219202</v>
          </cell>
          <cell r="CB1531">
            <v>1.4415999945219202</v>
          </cell>
          <cell r="CE1531" t="str">
            <v>18EU</v>
          </cell>
          <cell r="CF1531" t="str">
            <v>18EU</v>
          </cell>
          <cell r="CG1531" t="str">
            <v>18EU</v>
          </cell>
        </row>
        <row r="1532">
          <cell r="O1532">
            <v>18</v>
          </cell>
          <cell r="AN1532">
            <v>0</v>
          </cell>
          <cell r="AO1532">
            <v>0</v>
          </cell>
          <cell r="AP1532">
            <v>0</v>
          </cell>
          <cell r="AZ1532">
            <v>0</v>
          </cell>
          <cell r="BT1532">
            <v>0</v>
          </cell>
          <cell r="BX1532">
            <v>0</v>
          </cell>
          <cell r="CB1532">
            <v>0</v>
          </cell>
          <cell r="CE1532" t="str">
            <v>18EU</v>
          </cell>
          <cell r="CF1532" t="str">
            <v>18EU</v>
          </cell>
          <cell r="CG1532" t="str">
            <v>18EU</v>
          </cell>
        </row>
        <row r="1533">
          <cell r="O1533">
            <v>18</v>
          </cell>
          <cell r="AN1533">
            <v>0.80541484410099573</v>
          </cell>
          <cell r="AO1533">
            <v>0.80541484410099573</v>
          </cell>
          <cell r="AP1533">
            <v>0.80541484410099573</v>
          </cell>
          <cell r="AZ1533">
            <v>0.87</v>
          </cell>
          <cell r="BT1533">
            <v>0.80541484410099573</v>
          </cell>
          <cell r="BX1533">
            <v>0.80541484410099573</v>
          </cell>
          <cell r="CB1533">
            <v>0.80541484410099573</v>
          </cell>
          <cell r="CE1533" t="str">
            <v>18EU</v>
          </cell>
          <cell r="CF1533" t="str">
            <v>18EU</v>
          </cell>
          <cell r="CG1533" t="str">
            <v>18EU</v>
          </cell>
        </row>
        <row r="1534">
          <cell r="O1534">
            <v>18</v>
          </cell>
          <cell r="AN1534">
            <v>4.6288209431091705</v>
          </cell>
          <cell r="AO1534">
            <v>4.6288209431091705</v>
          </cell>
          <cell r="AP1534">
            <v>4.6288209431091705</v>
          </cell>
          <cell r="AZ1534">
            <v>5</v>
          </cell>
          <cell r="BT1534">
            <v>4.6288209431091705</v>
          </cell>
          <cell r="BX1534">
            <v>4.6288209431091705</v>
          </cell>
          <cell r="CB1534">
            <v>4.6288209431091705</v>
          </cell>
          <cell r="CE1534" t="str">
            <v>18EU</v>
          </cell>
          <cell r="CF1534" t="str">
            <v>18EU</v>
          </cell>
          <cell r="CG1534" t="str">
            <v>18EU</v>
          </cell>
        </row>
        <row r="1535">
          <cell r="O1535">
            <v>18</v>
          </cell>
          <cell r="AN1535">
            <v>0</v>
          </cell>
          <cell r="AO1535">
            <v>0</v>
          </cell>
          <cell r="AP1535">
            <v>0</v>
          </cell>
          <cell r="AZ1535">
            <v>0</v>
          </cell>
          <cell r="BT1535">
            <v>0</v>
          </cell>
          <cell r="BX1535">
            <v>0</v>
          </cell>
          <cell r="CB1535">
            <v>0</v>
          </cell>
          <cell r="CE1535" t="str">
            <v>18EU</v>
          </cell>
          <cell r="CF1535" t="str">
            <v>18EU</v>
          </cell>
          <cell r="CG1535" t="str">
            <v>18EU</v>
          </cell>
        </row>
        <row r="1536">
          <cell r="O1536">
            <v>18</v>
          </cell>
          <cell r="AN1536">
            <v>0.351790391676297</v>
          </cell>
          <cell r="AO1536">
            <v>0.351790391676297</v>
          </cell>
          <cell r="AP1536">
            <v>0</v>
          </cell>
          <cell r="AZ1536">
            <v>0.38</v>
          </cell>
          <cell r="BT1536">
            <v>0.351790391676297</v>
          </cell>
          <cell r="BX1536">
            <v>0.351790391676297</v>
          </cell>
          <cell r="CB1536">
            <v>0</v>
          </cell>
          <cell r="CE1536" t="str">
            <v>18EU</v>
          </cell>
          <cell r="CF1536" t="str">
            <v>18EU</v>
          </cell>
          <cell r="CG1536" t="str">
            <v>18EU</v>
          </cell>
        </row>
        <row r="1537">
          <cell r="O1537">
            <v>19</v>
          </cell>
          <cell r="AN1537">
            <v>7.8227999702733619</v>
          </cell>
          <cell r="AO1537">
            <v>0</v>
          </cell>
          <cell r="AP1537">
            <v>0</v>
          </cell>
          <cell r="AZ1537">
            <v>0</v>
          </cell>
          <cell r="BT1537">
            <v>7.8227999702733619</v>
          </cell>
          <cell r="BX1537">
            <v>0</v>
          </cell>
          <cell r="CB1537">
            <v>0</v>
          </cell>
          <cell r="CE1537" t="str">
            <v>19EU</v>
          </cell>
          <cell r="CF1537" t="str">
            <v>19EU</v>
          </cell>
          <cell r="CG1537" t="str">
            <v>19EU</v>
          </cell>
        </row>
        <row r="1538">
          <cell r="O1538">
            <v>19</v>
          </cell>
          <cell r="AN1538">
            <v>0</v>
          </cell>
          <cell r="AO1538">
            <v>0</v>
          </cell>
          <cell r="AP1538">
            <v>9.0311999656814415</v>
          </cell>
          <cell r="AZ1538">
            <v>0</v>
          </cell>
          <cell r="BT1538">
            <v>0</v>
          </cell>
          <cell r="BX1538">
            <v>0</v>
          </cell>
          <cell r="CB1538">
            <v>9.0311999656814415</v>
          </cell>
          <cell r="CE1538" t="str">
            <v>19EU</v>
          </cell>
          <cell r="CF1538" t="str">
            <v>19EU</v>
          </cell>
          <cell r="CG1538" t="str">
            <v>19EU</v>
          </cell>
        </row>
        <row r="1539">
          <cell r="O1539">
            <v>19</v>
          </cell>
          <cell r="AN1539">
            <v>0</v>
          </cell>
          <cell r="AO1539">
            <v>9.3385999645133211</v>
          </cell>
          <cell r="AP1539">
            <v>0</v>
          </cell>
          <cell r="AZ1539">
            <v>10.08745</v>
          </cell>
          <cell r="BT1539">
            <v>0</v>
          </cell>
          <cell r="BX1539">
            <v>9.3385999645133211</v>
          </cell>
          <cell r="CB1539">
            <v>0</v>
          </cell>
          <cell r="CE1539" t="str">
            <v>19EU</v>
          </cell>
          <cell r="CF1539" t="str">
            <v>19EU</v>
          </cell>
          <cell r="CG1539" t="str">
            <v>19EU</v>
          </cell>
        </row>
        <row r="1540">
          <cell r="O1540">
            <v>19</v>
          </cell>
          <cell r="AN1540">
            <v>0.3</v>
          </cell>
          <cell r="AO1540">
            <v>0.3</v>
          </cell>
          <cell r="AP1540">
            <v>0.3</v>
          </cell>
          <cell r="AZ1540">
            <v>0.3</v>
          </cell>
          <cell r="BT1540">
            <v>0.3</v>
          </cell>
          <cell r="BX1540">
            <v>0.3</v>
          </cell>
          <cell r="CB1540">
            <v>0.3</v>
          </cell>
          <cell r="CE1540" t="str">
            <v>19EU</v>
          </cell>
          <cell r="CF1540" t="str">
            <v>19EU</v>
          </cell>
          <cell r="CG1540" t="str">
            <v>19EU</v>
          </cell>
        </row>
        <row r="1541">
          <cell r="O1541">
            <v>19</v>
          </cell>
          <cell r="AN1541">
            <v>0.09</v>
          </cell>
          <cell r="AO1541">
            <v>0</v>
          </cell>
          <cell r="AP1541">
            <v>0</v>
          </cell>
          <cell r="AZ1541">
            <v>0</v>
          </cell>
          <cell r="BT1541">
            <v>0.09</v>
          </cell>
          <cell r="BX1541">
            <v>0</v>
          </cell>
          <cell r="CB1541">
            <v>0</v>
          </cell>
          <cell r="CE1541" t="str">
            <v>19EU</v>
          </cell>
          <cell r="CF1541" t="str">
            <v>19EU</v>
          </cell>
          <cell r="CG1541" t="str">
            <v>19EU</v>
          </cell>
        </row>
        <row r="1542">
          <cell r="O1542">
            <v>19</v>
          </cell>
          <cell r="AN1542">
            <v>0</v>
          </cell>
          <cell r="AO1542">
            <v>0</v>
          </cell>
          <cell r="AP1542">
            <v>5.7764882226980729</v>
          </cell>
          <cell r="AZ1542">
            <v>0</v>
          </cell>
          <cell r="BT1542">
            <v>0</v>
          </cell>
          <cell r="BX1542">
            <v>0</v>
          </cell>
          <cell r="CB1542">
            <v>5.7764882226980729</v>
          </cell>
          <cell r="CE1542" t="str">
            <v>19EU</v>
          </cell>
          <cell r="CF1542" t="str">
            <v>19EU</v>
          </cell>
          <cell r="CG1542" t="str">
            <v>19EU</v>
          </cell>
        </row>
        <row r="1543">
          <cell r="O1543">
            <v>19</v>
          </cell>
          <cell r="AN1543">
            <v>0</v>
          </cell>
          <cell r="AO1543">
            <v>3.6065907206470378</v>
          </cell>
          <cell r="AP1543">
            <v>0</v>
          </cell>
          <cell r="AZ1543">
            <v>3.56</v>
          </cell>
          <cell r="BT1543">
            <v>0</v>
          </cell>
          <cell r="BX1543">
            <v>3.6065907206470378</v>
          </cell>
          <cell r="CB1543">
            <v>0</v>
          </cell>
          <cell r="CE1543" t="str">
            <v>19EU</v>
          </cell>
          <cell r="CF1543" t="str">
            <v>19EU</v>
          </cell>
          <cell r="CG1543" t="str">
            <v>19EU</v>
          </cell>
        </row>
        <row r="1544">
          <cell r="O1544">
            <v>19</v>
          </cell>
          <cell r="AN1544">
            <v>0</v>
          </cell>
          <cell r="AO1544">
            <v>0</v>
          </cell>
          <cell r="AP1544">
            <v>12.359599953033522</v>
          </cell>
          <cell r="AZ1544">
            <v>0</v>
          </cell>
          <cell r="BT1544">
            <v>0</v>
          </cell>
          <cell r="BX1544">
            <v>0</v>
          </cell>
          <cell r="CB1544">
            <v>12.359599953033522</v>
          </cell>
          <cell r="CE1544" t="str">
            <v>19EU</v>
          </cell>
          <cell r="CF1544" t="str">
            <v>19EU</v>
          </cell>
          <cell r="CG1544" t="str">
            <v>19EU</v>
          </cell>
        </row>
        <row r="1545">
          <cell r="O1545">
            <v>19</v>
          </cell>
          <cell r="AN1545">
            <v>12.359599953033522</v>
          </cell>
          <cell r="AO1545">
            <v>0</v>
          </cell>
          <cell r="AP1545">
            <v>0</v>
          </cell>
          <cell r="AZ1545">
            <v>0</v>
          </cell>
          <cell r="BT1545">
            <v>12.359599953033522</v>
          </cell>
          <cell r="BX1545">
            <v>0</v>
          </cell>
          <cell r="CB1545">
            <v>0</v>
          </cell>
          <cell r="CE1545" t="str">
            <v>19EU</v>
          </cell>
          <cell r="CF1545" t="str">
            <v>19EU</v>
          </cell>
          <cell r="CG1545" t="str">
            <v>19EU</v>
          </cell>
        </row>
        <row r="1546">
          <cell r="O1546">
            <v>19</v>
          </cell>
          <cell r="AN1546">
            <v>0</v>
          </cell>
          <cell r="AO1546">
            <v>2.3604933649178648</v>
          </cell>
          <cell r="AP1546">
            <v>0</v>
          </cell>
          <cell r="AZ1546">
            <v>2.33</v>
          </cell>
          <cell r="BT1546">
            <v>0</v>
          </cell>
          <cell r="BX1546">
            <v>2.3604933649178648</v>
          </cell>
          <cell r="CB1546">
            <v>0</v>
          </cell>
          <cell r="CE1546" t="str">
            <v>19EU</v>
          </cell>
          <cell r="CF1546" t="str">
            <v>19EU</v>
          </cell>
          <cell r="CG1546" t="str">
            <v>19EU</v>
          </cell>
        </row>
        <row r="1547">
          <cell r="O1547">
            <v>19</v>
          </cell>
          <cell r="AN1547">
            <v>6.1054831972009116E-2</v>
          </cell>
          <cell r="AO1547">
            <v>0</v>
          </cell>
          <cell r="AP1547">
            <v>0</v>
          </cell>
          <cell r="AZ1547">
            <v>0</v>
          </cell>
          <cell r="BT1547">
            <v>6.1054831972009116E-2</v>
          </cell>
          <cell r="BX1547">
            <v>0</v>
          </cell>
          <cell r="CB1547">
            <v>0</v>
          </cell>
          <cell r="CE1547" t="str">
            <v>19EU</v>
          </cell>
          <cell r="CF1547" t="str">
            <v>19EU</v>
          </cell>
          <cell r="CG1547" t="str">
            <v>19EU</v>
          </cell>
        </row>
        <row r="1548">
          <cell r="O1548">
            <v>19</v>
          </cell>
          <cell r="AN1548">
            <v>5.7746987852285436E-2</v>
          </cell>
          <cell r="AO1548">
            <v>5.7746987852285436E-2</v>
          </cell>
          <cell r="AP1548">
            <v>5.7746987852285436E-2</v>
          </cell>
          <cell r="AZ1548">
            <v>5.7000999746723229E-2</v>
          </cell>
          <cell r="BT1548">
            <v>5.7746987852285436E-2</v>
          </cell>
          <cell r="BX1548">
            <v>5.7746987852285436E-2</v>
          </cell>
          <cell r="CB1548">
            <v>5.7746987852285436E-2</v>
          </cell>
          <cell r="CE1548" t="str">
            <v>19EU</v>
          </cell>
          <cell r="CF1548" t="str">
            <v>19EU</v>
          </cell>
          <cell r="CG1548" t="str">
            <v>19EU</v>
          </cell>
        </row>
        <row r="1549">
          <cell r="O1549">
            <v>19</v>
          </cell>
          <cell r="AN1549">
            <v>0.14606520565525793</v>
          </cell>
          <cell r="AO1549">
            <v>0.14606520565525793</v>
          </cell>
          <cell r="AP1549">
            <v>0.26291737017946432</v>
          </cell>
          <cell r="AZ1549">
            <v>0.15777798218000003</v>
          </cell>
          <cell r="BT1549">
            <v>0.14606520565525793</v>
          </cell>
          <cell r="BX1549">
            <v>0.14606520565525793</v>
          </cell>
          <cell r="CB1549">
            <v>0.26291737017946432</v>
          </cell>
          <cell r="CE1549" t="str">
            <v>19EU</v>
          </cell>
          <cell r="CF1549" t="str">
            <v>19EU</v>
          </cell>
          <cell r="CG1549" t="str">
            <v>19EU</v>
          </cell>
        </row>
        <row r="1550">
          <cell r="O1550" t="str">
            <v>20-</v>
          </cell>
          <cell r="AN1550">
            <v>0</v>
          </cell>
          <cell r="AO1550">
            <v>0</v>
          </cell>
          <cell r="AP1550">
            <v>0</v>
          </cell>
          <cell r="AZ1550">
            <v>0</v>
          </cell>
          <cell r="BT1550">
            <v>0</v>
          </cell>
          <cell r="BX1550">
            <v>0</v>
          </cell>
          <cell r="CB1550">
            <v>0</v>
          </cell>
          <cell r="CE1550" t="str">
            <v>20-EU</v>
          </cell>
          <cell r="CF1550" t="str">
            <v>20-EU</v>
          </cell>
          <cell r="CG1550" t="str">
            <v>20-EU</v>
          </cell>
        </row>
        <row r="1551">
          <cell r="O1551" t="str">
            <v>20-</v>
          </cell>
          <cell r="AN1551">
            <v>0</v>
          </cell>
          <cell r="AO1551">
            <v>0</v>
          </cell>
          <cell r="AP1551">
            <v>0</v>
          </cell>
          <cell r="AZ1551">
            <v>0</v>
          </cell>
          <cell r="BT1551">
            <v>0</v>
          </cell>
          <cell r="BX1551">
            <v>0</v>
          </cell>
          <cell r="CB1551">
            <v>0</v>
          </cell>
          <cell r="CE1551" t="str">
            <v>20-EU</v>
          </cell>
          <cell r="CF1551" t="str">
            <v>20-EU</v>
          </cell>
          <cell r="CG1551" t="str">
            <v>20-EU</v>
          </cell>
        </row>
        <row r="1552">
          <cell r="O1552">
            <v>20</v>
          </cell>
          <cell r="AN1552">
            <v>114.10899956638582</v>
          </cell>
          <cell r="AO1552">
            <v>0</v>
          </cell>
          <cell r="AP1552">
            <v>114.10899956638582</v>
          </cell>
          <cell r="AZ1552">
            <v>0</v>
          </cell>
          <cell r="BT1552">
            <v>113.70388519425971</v>
          </cell>
          <cell r="BX1552">
            <v>0</v>
          </cell>
          <cell r="CB1552">
            <v>113.70388519425971</v>
          </cell>
          <cell r="CE1552" t="str">
            <v>20LOCAL</v>
          </cell>
          <cell r="CF1552" t="str">
            <v>20EU</v>
          </cell>
          <cell r="CG1552" t="str">
            <v>20LOCAL</v>
          </cell>
        </row>
        <row r="1553">
          <cell r="O1553">
            <v>20</v>
          </cell>
          <cell r="AN1553">
            <v>4.5007415549288003</v>
          </cell>
          <cell r="AO1553">
            <v>0</v>
          </cell>
          <cell r="AP1553">
            <v>4.5007415549288003</v>
          </cell>
          <cell r="AZ1553">
            <v>0</v>
          </cell>
          <cell r="BT1553">
            <v>4.5007415549288003</v>
          </cell>
          <cell r="BX1553">
            <v>0</v>
          </cell>
          <cell r="CB1553">
            <v>4.5007415549288003</v>
          </cell>
          <cell r="CE1553" t="str">
            <v>20EU</v>
          </cell>
          <cell r="CF1553" t="str">
            <v>20EU</v>
          </cell>
          <cell r="CG1553" t="str">
            <v>20EU</v>
          </cell>
        </row>
        <row r="1554">
          <cell r="O1554">
            <v>20</v>
          </cell>
          <cell r="AN1554">
            <v>121.22882050002917</v>
          </cell>
          <cell r="AO1554">
            <v>0</v>
          </cell>
          <cell r="AP1554">
            <v>121.22882050002917</v>
          </cell>
          <cell r="AZ1554">
            <v>0</v>
          </cell>
          <cell r="BT1554">
            <v>95.498774938746948</v>
          </cell>
          <cell r="BX1554">
            <v>0</v>
          </cell>
          <cell r="CB1554">
            <v>95.498774938746948</v>
          </cell>
          <cell r="CE1554" t="str">
            <v>20LOCAL</v>
          </cell>
          <cell r="CF1554" t="str">
            <v>20LOCAL</v>
          </cell>
          <cell r="CG1554" t="str">
            <v>20LOCAL</v>
          </cell>
        </row>
        <row r="1555">
          <cell r="O1555">
            <v>20</v>
          </cell>
          <cell r="AN1555">
            <v>1.083144100687546</v>
          </cell>
          <cell r="AO1555">
            <v>0</v>
          </cell>
          <cell r="AP1555">
            <v>1.083144100687546</v>
          </cell>
          <cell r="AZ1555">
            <v>0</v>
          </cell>
          <cell r="BT1555">
            <v>1.083144100687546</v>
          </cell>
          <cell r="BX1555">
            <v>0</v>
          </cell>
          <cell r="CB1555">
            <v>1.083144100687546</v>
          </cell>
          <cell r="CE1555" t="str">
            <v>20EU</v>
          </cell>
          <cell r="CF1555" t="str">
            <v>20EU</v>
          </cell>
          <cell r="CG1555" t="str">
            <v>20EU</v>
          </cell>
        </row>
        <row r="1556">
          <cell r="O1556">
            <v>20</v>
          </cell>
          <cell r="AN1556">
            <v>2.9161571941587776</v>
          </cell>
          <cell r="AO1556">
            <v>0</v>
          </cell>
          <cell r="AP1556">
            <v>2.9161571941587776</v>
          </cell>
          <cell r="AZ1556">
            <v>0</v>
          </cell>
          <cell r="BT1556">
            <v>2.9161571941587776</v>
          </cell>
          <cell r="BX1556">
            <v>0</v>
          </cell>
          <cell r="CB1556">
            <v>2.9161571941587776</v>
          </cell>
          <cell r="CE1556" t="str">
            <v>20EU</v>
          </cell>
          <cell r="CF1556" t="str">
            <v>20EU</v>
          </cell>
          <cell r="CG1556" t="str">
            <v>20EU</v>
          </cell>
        </row>
        <row r="1557">
          <cell r="O1557">
            <v>20</v>
          </cell>
          <cell r="AN1557">
            <v>17.224999934545</v>
          </cell>
          <cell r="AO1557">
            <v>0</v>
          </cell>
          <cell r="AP1557">
            <v>0</v>
          </cell>
          <cell r="AZ1557">
            <v>0</v>
          </cell>
          <cell r="BT1557">
            <v>18.077606955402032</v>
          </cell>
          <cell r="BX1557">
            <v>0</v>
          </cell>
          <cell r="CB1557">
            <v>0</v>
          </cell>
          <cell r="CE1557" t="str">
            <v>20LOCAL</v>
          </cell>
          <cell r="CF1557" t="str">
            <v>20EU</v>
          </cell>
          <cell r="CG1557" t="str">
            <v>20EU</v>
          </cell>
        </row>
        <row r="1558">
          <cell r="O1558">
            <v>20</v>
          </cell>
          <cell r="AN1558">
            <v>0</v>
          </cell>
          <cell r="AO1558">
            <v>0</v>
          </cell>
          <cell r="AP1558">
            <v>16.843399935995084</v>
          </cell>
          <cell r="AZ1558">
            <v>0</v>
          </cell>
          <cell r="BT1558">
            <v>0</v>
          </cell>
          <cell r="BX1558">
            <v>0</v>
          </cell>
          <cell r="CB1558">
            <v>17.663139839896989</v>
          </cell>
          <cell r="CE1558" t="str">
            <v>20EU</v>
          </cell>
          <cell r="CF1558" t="str">
            <v>20EU</v>
          </cell>
          <cell r="CG1558" t="str">
            <v>20LOCAL</v>
          </cell>
        </row>
        <row r="1559">
          <cell r="O1559">
            <v>20</v>
          </cell>
          <cell r="AN1559">
            <v>1.0646288169151092</v>
          </cell>
          <cell r="AO1559">
            <v>0</v>
          </cell>
          <cell r="AP1559">
            <v>1.0646288169151092</v>
          </cell>
          <cell r="AZ1559">
            <v>0</v>
          </cell>
          <cell r="BT1559">
            <v>1.0646288169151092</v>
          </cell>
          <cell r="BX1559">
            <v>0</v>
          </cell>
          <cell r="CB1559">
            <v>1.0646288169151092</v>
          </cell>
          <cell r="CE1559" t="str">
            <v>20EU</v>
          </cell>
          <cell r="CF1559" t="str">
            <v>20EU</v>
          </cell>
          <cell r="CG1559" t="str">
            <v>20EU</v>
          </cell>
        </row>
        <row r="1560">
          <cell r="O1560">
            <v>20</v>
          </cell>
          <cell r="AN1560">
            <v>1.0646288169151092</v>
          </cell>
          <cell r="AO1560">
            <v>0</v>
          </cell>
          <cell r="AP1560">
            <v>1.0646288169151092</v>
          </cell>
          <cell r="AZ1560">
            <v>0</v>
          </cell>
          <cell r="BT1560">
            <v>1.0646288169151092</v>
          </cell>
          <cell r="BX1560">
            <v>0</v>
          </cell>
          <cell r="CB1560">
            <v>1.0646288169151092</v>
          </cell>
          <cell r="CE1560" t="str">
            <v>20EU</v>
          </cell>
          <cell r="CF1560" t="str">
            <v>20EU</v>
          </cell>
          <cell r="CG1560" t="str">
            <v>20EU</v>
          </cell>
        </row>
        <row r="1561">
          <cell r="O1561">
            <v>20</v>
          </cell>
          <cell r="AN1561">
            <v>0.15737991206571184</v>
          </cell>
          <cell r="AO1561">
            <v>0</v>
          </cell>
          <cell r="AP1561">
            <v>0.15737991206571184</v>
          </cell>
          <cell r="AZ1561">
            <v>0</v>
          </cell>
          <cell r="BT1561">
            <v>0.15737991206571184</v>
          </cell>
          <cell r="BX1561">
            <v>0</v>
          </cell>
          <cell r="CB1561">
            <v>0.15737991206571184</v>
          </cell>
          <cell r="CE1561" t="str">
            <v>20EU</v>
          </cell>
          <cell r="CF1561" t="str">
            <v>20EU</v>
          </cell>
          <cell r="CG1561" t="str">
            <v>20EU</v>
          </cell>
        </row>
        <row r="1562">
          <cell r="O1562">
            <v>20</v>
          </cell>
          <cell r="AN1562">
            <v>0.37030567544873372</v>
          </cell>
          <cell r="AO1562">
            <v>0</v>
          </cell>
          <cell r="AP1562">
            <v>0.37030567544873372</v>
          </cell>
          <cell r="AZ1562">
            <v>0</v>
          </cell>
          <cell r="BT1562">
            <v>0.37030567544873372</v>
          </cell>
          <cell r="BX1562">
            <v>0</v>
          </cell>
          <cell r="CB1562">
            <v>0.37030567544873372</v>
          </cell>
          <cell r="CE1562" t="str">
            <v>20EU</v>
          </cell>
          <cell r="CF1562" t="str">
            <v>20EU</v>
          </cell>
          <cell r="CG1562" t="str">
            <v>20EU</v>
          </cell>
        </row>
        <row r="1563">
          <cell r="O1563">
            <v>20</v>
          </cell>
          <cell r="AN1563">
            <v>0</v>
          </cell>
          <cell r="AO1563">
            <v>38.255399854629488</v>
          </cell>
          <cell r="AP1563">
            <v>0</v>
          </cell>
          <cell r="AZ1563">
            <v>41.323050000000002</v>
          </cell>
          <cell r="BT1563">
            <v>0</v>
          </cell>
          <cell r="BX1563">
            <v>34.955081087387704</v>
          </cell>
          <cell r="CB1563">
            <v>0</v>
          </cell>
          <cell r="CE1563" t="str">
            <v>20EU</v>
          </cell>
          <cell r="CF1563" t="str">
            <v>20LOCAL</v>
          </cell>
          <cell r="CG1563" t="str">
            <v>20EU</v>
          </cell>
        </row>
        <row r="1564">
          <cell r="O1564">
            <v>20</v>
          </cell>
          <cell r="AN1564">
            <v>0</v>
          </cell>
          <cell r="AO1564">
            <v>104.44775343764472</v>
          </cell>
          <cell r="AP1564">
            <v>0</v>
          </cell>
          <cell r="AZ1564">
            <v>103.09847472</v>
          </cell>
          <cell r="BT1564">
            <v>0</v>
          </cell>
          <cell r="BX1564">
            <v>95.498774938746948</v>
          </cell>
          <cell r="CB1564">
            <v>0</v>
          </cell>
          <cell r="CE1564" t="str">
            <v>20LOCAL</v>
          </cell>
          <cell r="CF1564" t="str">
            <v>20LOCAL</v>
          </cell>
          <cell r="CG1564" t="str">
            <v>20LOCAL</v>
          </cell>
        </row>
        <row r="1565">
          <cell r="O1565">
            <v>20</v>
          </cell>
          <cell r="AN1565">
            <v>0</v>
          </cell>
          <cell r="AO1565">
            <v>0.37099999859020005</v>
          </cell>
          <cell r="AP1565">
            <v>0</v>
          </cell>
          <cell r="AZ1565">
            <v>0.40075</v>
          </cell>
          <cell r="BT1565">
            <v>0</v>
          </cell>
          <cell r="BX1565">
            <v>0.37099999859020005</v>
          </cell>
          <cell r="CB1565">
            <v>0</v>
          </cell>
          <cell r="CE1565" t="str">
            <v>20EU</v>
          </cell>
          <cell r="CF1565" t="str">
            <v>20EU</v>
          </cell>
          <cell r="CG1565" t="str">
            <v>20EU</v>
          </cell>
        </row>
        <row r="1566">
          <cell r="O1566">
            <v>20</v>
          </cell>
          <cell r="AN1566">
            <v>0</v>
          </cell>
          <cell r="AO1566">
            <v>30.379599884557525</v>
          </cell>
          <cell r="AP1566">
            <v>0</v>
          </cell>
          <cell r="AZ1566">
            <v>32.8157</v>
          </cell>
          <cell r="BT1566">
            <v>0</v>
          </cell>
          <cell r="BX1566">
            <v>30.379599884557525</v>
          </cell>
          <cell r="CB1566">
            <v>0</v>
          </cell>
          <cell r="CE1566" t="str">
            <v>20EU</v>
          </cell>
          <cell r="CF1566" t="str">
            <v>20EU</v>
          </cell>
          <cell r="CG1566" t="str">
            <v>20EU</v>
          </cell>
        </row>
        <row r="1567">
          <cell r="O1567">
            <v>20</v>
          </cell>
          <cell r="AN1567">
            <v>0</v>
          </cell>
          <cell r="AO1567">
            <v>1.20839999540808</v>
          </cell>
          <cell r="AP1567">
            <v>0</v>
          </cell>
          <cell r="AZ1567">
            <v>1.3052999999999999</v>
          </cell>
          <cell r="BT1567">
            <v>0</v>
          </cell>
          <cell r="BX1567">
            <v>1.20839999540808</v>
          </cell>
          <cell r="CB1567">
            <v>0</v>
          </cell>
          <cell r="CE1567" t="str">
            <v>20EU</v>
          </cell>
          <cell r="CF1567" t="str">
            <v>20EU</v>
          </cell>
          <cell r="CG1567" t="str">
            <v>20EU</v>
          </cell>
        </row>
        <row r="1568">
          <cell r="O1568">
            <v>20</v>
          </cell>
          <cell r="AN1568">
            <v>0</v>
          </cell>
          <cell r="AO1568">
            <v>1.0599999959720001</v>
          </cell>
          <cell r="AP1568">
            <v>0</v>
          </cell>
          <cell r="AZ1568">
            <v>1.145</v>
          </cell>
          <cell r="BT1568">
            <v>0</v>
          </cell>
          <cell r="BX1568">
            <v>1.0599999959720001</v>
          </cell>
          <cell r="CB1568">
            <v>0</v>
          </cell>
          <cell r="CE1568" t="str">
            <v>20EU</v>
          </cell>
          <cell r="CF1568" t="str">
            <v>20EU</v>
          </cell>
          <cell r="CG1568" t="str">
            <v>20EU</v>
          </cell>
        </row>
        <row r="1569">
          <cell r="O1569">
            <v>20</v>
          </cell>
          <cell r="AN1569">
            <v>0</v>
          </cell>
          <cell r="AO1569">
            <v>1.08119999589144</v>
          </cell>
          <cell r="AP1569">
            <v>0</v>
          </cell>
          <cell r="AZ1569">
            <v>1.1678999999999999</v>
          </cell>
          <cell r="BT1569">
            <v>0</v>
          </cell>
          <cell r="BX1569">
            <v>1.08119999589144</v>
          </cell>
          <cell r="CB1569">
            <v>0</v>
          </cell>
          <cell r="CE1569" t="str">
            <v>20EU</v>
          </cell>
          <cell r="CF1569" t="str">
            <v>20EU</v>
          </cell>
          <cell r="CG1569" t="str">
            <v>20EU</v>
          </cell>
        </row>
        <row r="1570">
          <cell r="O1570">
            <v>20</v>
          </cell>
          <cell r="AN1570">
            <v>0</v>
          </cell>
          <cell r="AO1570">
            <v>2.9149999889230007</v>
          </cell>
          <cell r="AP1570">
            <v>0</v>
          </cell>
          <cell r="AZ1570">
            <v>3.1487500000000002</v>
          </cell>
          <cell r="BT1570">
            <v>0</v>
          </cell>
          <cell r="BX1570">
            <v>2.9149999889230007</v>
          </cell>
          <cell r="CB1570">
            <v>0</v>
          </cell>
          <cell r="CE1570" t="str">
            <v>20EU</v>
          </cell>
          <cell r="CF1570" t="str">
            <v>20EU</v>
          </cell>
          <cell r="CG1570" t="str">
            <v>20EU</v>
          </cell>
        </row>
        <row r="1571">
          <cell r="O1571">
            <v>20</v>
          </cell>
          <cell r="AN1571">
            <v>0</v>
          </cell>
          <cell r="AO1571">
            <v>8.7979999665676019</v>
          </cell>
          <cell r="AP1571">
            <v>0</v>
          </cell>
          <cell r="AZ1571">
            <v>9.5035000000000007</v>
          </cell>
          <cell r="BT1571">
            <v>0</v>
          </cell>
          <cell r="BX1571">
            <v>8.7979999665676019</v>
          </cell>
          <cell r="CB1571">
            <v>0</v>
          </cell>
          <cell r="CE1571" t="str">
            <v>20EU</v>
          </cell>
          <cell r="CF1571" t="str">
            <v>20EU</v>
          </cell>
          <cell r="CG1571" t="str">
            <v>20EU</v>
          </cell>
        </row>
        <row r="1572">
          <cell r="O1572">
            <v>21</v>
          </cell>
          <cell r="AN1572">
            <v>0</v>
          </cell>
          <cell r="AO1572">
            <v>0</v>
          </cell>
          <cell r="AP1572">
            <v>0</v>
          </cell>
          <cell r="AZ1572">
            <v>0</v>
          </cell>
          <cell r="BT1572">
            <v>0</v>
          </cell>
          <cell r="BX1572">
            <v>0</v>
          </cell>
          <cell r="CB1572">
            <v>0</v>
          </cell>
          <cell r="CE1572" t="str">
            <v>21EU</v>
          </cell>
          <cell r="CF1572" t="str">
            <v>21EU</v>
          </cell>
          <cell r="CG1572" t="str">
            <v>21EU</v>
          </cell>
        </row>
        <row r="1573">
          <cell r="O1573">
            <v>21</v>
          </cell>
          <cell r="AN1573">
            <v>0</v>
          </cell>
          <cell r="AO1573">
            <v>0</v>
          </cell>
          <cell r="AP1573">
            <v>0</v>
          </cell>
          <cell r="AZ1573">
            <v>0</v>
          </cell>
          <cell r="BT1573">
            <v>0</v>
          </cell>
          <cell r="BX1573">
            <v>0</v>
          </cell>
          <cell r="CB1573">
            <v>0</v>
          </cell>
          <cell r="CE1573" t="str">
            <v>21EU</v>
          </cell>
          <cell r="CF1573" t="str">
            <v>21EU</v>
          </cell>
          <cell r="CG1573" t="str">
            <v>21EU</v>
          </cell>
        </row>
        <row r="1574">
          <cell r="O1574">
            <v>21</v>
          </cell>
          <cell r="AN1574">
            <v>0</v>
          </cell>
          <cell r="AO1574">
            <v>0</v>
          </cell>
          <cell r="AP1574">
            <v>0</v>
          </cell>
          <cell r="AZ1574">
            <v>0</v>
          </cell>
          <cell r="BT1574">
            <v>0</v>
          </cell>
          <cell r="BX1574">
            <v>0</v>
          </cell>
          <cell r="CB1574">
            <v>0</v>
          </cell>
          <cell r="CE1574" t="str">
            <v>21EU</v>
          </cell>
          <cell r="CF1574" t="str">
            <v>21EU</v>
          </cell>
          <cell r="CG1574" t="str">
            <v>21EU</v>
          </cell>
        </row>
        <row r="1575">
          <cell r="O1575">
            <v>21</v>
          </cell>
          <cell r="AN1575">
            <v>0</v>
          </cell>
          <cell r="AO1575">
            <v>0</v>
          </cell>
          <cell r="AP1575">
            <v>0</v>
          </cell>
          <cell r="AZ1575">
            <v>0</v>
          </cell>
          <cell r="BT1575">
            <v>0</v>
          </cell>
          <cell r="BX1575">
            <v>0</v>
          </cell>
          <cell r="CB1575">
            <v>0</v>
          </cell>
          <cell r="CE1575" t="str">
            <v>21EU</v>
          </cell>
          <cell r="CF1575" t="str">
            <v>21EU</v>
          </cell>
          <cell r="CG1575" t="str">
            <v>21EU</v>
          </cell>
        </row>
        <row r="1576">
          <cell r="O1576">
            <v>21</v>
          </cell>
          <cell r="AN1576">
            <v>1E-3</v>
          </cell>
          <cell r="AO1576">
            <v>1E-3</v>
          </cell>
          <cell r="AP1576">
            <v>1E-3</v>
          </cell>
          <cell r="AZ1576">
            <v>1E-3</v>
          </cell>
          <cell r="BT1576">
            <v>1E-3</v>
          </cell>
          <cell r="BX1576">
            <v>1E-3</v>
          </cell>
          <cell r="CB1576">
            <v>1E-3</v>
          </cell>
          <cell r="CE1576" t="str">
            <v>21EU</v>
          </cell>
          <cell r="CF1576" t="str">
            <v>21EU</v>
          </cell>
          <cell r="CG1576" t="str">
            <v>21EU</v>
          </cell>
        </row>
        <row r="1577">
          <cell r="O1577">
            <v>21</v>
          </cell>
          <cell r="AN1577">
            <v>1E-3</v>
          </cell>
          <cell r="AO1577">
            <v>1E-3</v>
          </cell>
          <cell r="AP1577">
            <v>1E-3</v>
          </cell>
          <cell r="AZ1577">
            <v>1E-3</v>
          </cell>
          <cell r="BT1577">
            <v>1E-3</v>
          </cell>
          <cell r="BX1577">
            <v>1E-3</v>
          </cell>
          <cell r="CB1577">
            <v>1E-3</v>
          </cell>
          <cell r="CE1577" t="str">
            <v>21EU</v>
          </cell>
          <cell r="CF1577" t="str">
            <v>21EU</v>
          </cell>
          <cell r="CG1577" t="str">
            <v>21EU</v>
          </cell>
        </row>
        <row r="1578">
          <cell r="O1578">
            <v>21</v>
          </cell>
          <cell r="AN1578">
            <v>0</v>
          </cell>
          <cell r="AO1578">
            <v>0</v>
          </cell>
          <cell r="AP1578">
            <v>0</v>
          </cell>
          <cell r="AZ1578">
            <v>0</v>
          </cell>
          <cell r="BT1578">
            <v>0</v>
          </cell>
          <cell r="BX1578">
            <v>0</v>
          </cell>
          <cell r="CB1578">
            <v>0</v>
          </cell>
          <cell r="CE1578" t="str">
            <v>21EU</v>
          </cell>
          <cell r="CF1578" t="str">
            <v>21EU</v>
          </cell>
          <cell r="CG1578" t="str">
            <v>21EU</v>
          </cell>
        </row>
        <row r="1579">
          <cell r="O1579">
            <v>21</v>
          </cell>
          <cell r="AN1579">
            <v>0</v>
          </cell>
          <cell r="AO1579">
            <v>0</v>
          </cell>
          <cell r="AP1579">
            <v>0</v>
          </cell>
          <cell r="AZ1579">
            <v>0</v>
          </cell>
          <cell r="BT1579">
            <v>0</v>
          </cell>
          <cell r="BX1579">
            <v>0</v>
          </cell>
          <cell r="CB1579">
            <v>0</v>
          </cell>
          <cell r="CE1579" t="str">
            <v>21EU</v>
          </cell>
          <cell r="CF1579" t="str">
            <v>21EU</v>
          </cell>
          <cell r="CG1579" t="str">
            <v>21EU</v>
          </cell>
        </row>
        <row r="1580">
          <cell r="O1580">
            <v>21</v>
          </cell>
          <cell r="AN1580">
            <v>0</v>
          </cell>
          <cell r="AO1580">
            <v>0</v>
          </cell>
          <cell r="AP1580">
            <v>0</v>
          </cell>
          <cell r="AZ1580">
            <v>0</v>
          </cell>
          <cell r="BT1580">
            <v>0</v>
          </cell>
          <cell r="BX1580">
            <v>0</v>
          </cell>
          <cell r="CB1580">
            <v>0</v>
          </cell>
          <cell r="CE1580" t="str">
            <v>21EU</v>
          </cell>
          <cell r="CF1580" t="str">
            <v>21EU</v>
          </cell>
          <cell r="CG1580" t="str">
            <v>21EU</v>
          </cell>
        </row>
        <row r="1581">
          <cell r="O1581">
            <v>21</v>
          </cell>
          <cell r="AN1581">
            <v>0</v>
          </cell>
          <cell r="AO1581">
            <v>0</v>
          </cell>
          <cell r="AP1581">
            <v>0</v>
          </cell>
          <cell r="AZ1581">
            <v>0</v>
          </cell>
          <cell r="BT1581">
            <v>0</v>
          </cell>
          <cell r="BX1581">
            <v>0</v>
          </cell>
          <cell r="CB1581">
            <v>0</v>
          </cell>
          <cell r="CE1581" t="str">
            <v>21EU</v>
          </cell>
          <cell r="CF1581" t="str">
            <v>21EU</v>
          </cell>
          <cell r="CG1581" t="str">
            <v>21EU</v>
          </cell>
        </row>
        <row r="1582">
          <cell r="O1582">
            <v>21</v>
          </cell>
          <cell r="AN1582">
            <v>0</v>
          </cell>
          <cell r="AO1582">
            <v>0</v>
          </cell>
          <cell r="AP1582">
            <v>0</v>
          </cell>
          <cell r="AZ1582">
            <v>0</v>
          </cell>
          <cell r="BT1582">
            <v>0</v>
          </cell>
          <cell r="BX1582">
            <v>0</v>
          </cell>
          <cell r="CB1582">
            <v>0</v>
          </cell>
          <cell r="CE1582" t="str">
            <v>21EU</v>
          </cell>
          <cell r="CF1582" t="str">
            <v>21EU</v>
          </cell>
          <cell r="CG1582" t="str">
            <v>21EU</v>
          </cell>
        </row>
        <row r="1583">
          <cell r="O1583">
            <v>21</v>
          </cell>
          <cell r="AN1583">
            <v>0</v>
          </cell>
          <cell r="AO1583">
            <v>0</v>
          </cell>
          <cell r="AP1583">
            <v>0</v>
          </cell>
          <cell r="AZ1583">
            <v>0</v>
          </cell>
          <cell r="BT1583">
            <v>0</v>
          </cell>
          <cell r="BX1583">
            <v>0</v>
          </cell>
          <cell r="CB1583">
            <v>0</v>
          </cell>
          <cell r="CE1583" t="str">
            <v>21EU</v>
          </cell>
          <cell r="CF1583" t="str">
            <v>21EU</v>
          </cell>
          <cell r="CG1583" t="str">
            <v>21EU</v>
          </cell>
        </row>
        <row r="1584">
          <cell r="O1584">
            <v>21</v>
          </cell>
          <cell r="AN1584">
            <v>0</v>
          </cell>
          <cell r="AO1584">
            <v>0</v>
          </cell>
          <cell r="AP1584">
            <v>0</v>
          </cell>
          <cell r="AZ1584">
            <v>0</v>
          </cell>
          <cell r="BT1584">
            <v>0</v>
          </cell>
          <cell r="BX1584">
            <v>0</v>
          </cell>
          <cell r="CB1584">
            <v>0</v>
          </cell>
          <cell r="CE1584" t="str">
            <v>21EU</v>
          </cell>
          <cell r="CF1584" t="str">
            <v>21EU</v>
          </cell>
          <cell r="CG1584" t="str">
            <v>21EU</v>
          </cell>
        </row>
        <row r="1585">
          <cell r="O1585">
            <v>21</v>
          </cell>
          <cell r="AN1585">
            <v>0</v>
          </cell>
          <cell r="AO1585">
            <v>0</v>
          </cell>
          <cell r="AP1585">
            <v>0</v>
          </cell>
          <cell r="AZ1585">
            <v>0</v>
          </cell>
          <cell r="BT1585">
            <v>0</v>
          </cell>
          <cell r="BX1585">
            <v>0</v>
          </cell>
          <cell r="CB1585">
            <v>0</v>
          </cell>
          <cell r="CE1585" t="str">
            <v>21EU</v>
          </cell>
          <cell r="CF1585" t="str">
            <v>21EU</v>
          </cell>
          <cell r="CG1585" t="str">
            <v>21EU</v>
          </cell>
        </row>
        <row r="1586">
          <cell r="O1586">
            <v>21</v>
          </cell>
          <cell r="AN1586">
            <v>0</v>
          </cell>
          <cell r="AO1586">
            <v>0</v>
          </cell>
          <cell r="AP1586">
            <v>0</v>
          </cell>
          <cell r="AZ1586">
            <v>0</v>
          </cell>
          <cell r="BT1586">
            <v>0</v>
          </cell>
          <cell r="BX1586">
            <v>0</v>
          </cell>
          <cell r="CB1586">
            <v>0</v>
          </cell>
          <cell r="CE1586" t="str">
            <v>21EU</v>
          </cell>
          <cell r="CF1586" t="str">
            <v>21EU</v>
          </cell>
          <cell r="CG1586" t="str">
            <v>21EU</v>
          </cell>
        </row>
        <row r="1587">
          <cell r="O1587">
            <v>21</v>
          </cell>
          <cell r="AN1587">
            <v>0</v>
          </cell>
          <cell r="AO1587">
            <v>0</v>
          </cell>
          <cell r="AP1587">
            <v>0</v>
          </cell>
          <cell r="AZ1587">
            <v>0</v>
          </cell>
          <cell r="BT1587">
            <v>0</v>
          </cell>
          <cell r="BX1587">
            <v>0</v>
          </cell>
          <cell r="CB1587">
            <v>0</v>
          </cell>
          <cell r="CE1587" t="str">
            <v>21EU</v>
          </cell>
          <cell r="CF1587" t="str">
            <v>21EU</v>
          </cell>
          <cell r="CG1587" t="str">
            <v>21EU</v>
          </cell>
        </row>
        <row r="1588">
          <cell r="O1588">
            <v>21</v>
          </cell>
          <cell r="AN1588">
            <v>0</v>
          </cell>
          <cell r="AO1588">
            <v>0</v>
          </cell>
          <cell r="AP1588">
            <v>0</v>
          </cell>
          <cell r="AZ1588">
            <v>0</v>
          </cell>
          <cell r="BT1588">
            <v>0</v>
          </cell>
          <cell r="BX1588">
            <v>0</v>
          </cell>
          <cell r="CB1588">
            <v>0</v>
          </cell>
          <cell r="CE1588" t="str">
            <v>21EU</v>
          </cell>
          <cell r="CF1588" t="str">
            <v>21EU</v>
          </cell>
          <cell r="CG1588" t="str">
            <v>21EU</v>
          </cell>
        </row>
        <row r="1589">
          <cell r="O1589">
            <v>21</v>
          </cell>
          <cell r="AN1589">
            <v>0.10948530545813925</v>
          </cell>
          <cell r="AO1589">
            <v>0.10948530545813925</v>
          </cell>
          <cell r="AP1589">
            <v>0.10948530545813925</v>
          </cell>
          <cell r="AZ1589">
            <v>0.11826478794900001</v>
          </cell>
          <cell r="BT1589">
            <v>0.10948530545813925</v>
          </cell>
          <cell r="BX1589">
            <v>0.10948530545813925</v>
          </cell>
          <cell r="CB1589">
            <v>0.10948530545813925</v>
          </cell>
          <cell r="CE1589" t="str">
            <v>21EU</v>
          </cell>
          <cell r="CF1589" t="str">
            <v>21EU</v>
          </cell>
          <cell r="CG1589" t="str">
            <v>21EU</v>
          </cell>
        </row>
        <row r="1590">
          <cell r="O1590">
            <v>21</v>
          </cell>
          <cell r="AN1590">
            <v>6.6789322266602336E-2</v>
          </cell>
          <cell r="AO1590">
            <v>6.6789322266602336E-2</v>
          </cell>
          <cell r="AP1590">
            <v>6.6789322266602336E-2</v>
          </cell>
          <cell r="AZ1590">
            <v>7.2145070081000004E-2</v>
          </cell>
          <cell r="BT1590">
            <v>6.6789322266602336E-2</v>
          </cell>
          <cell r="BX1590">
            <v>6.6789322266602336E-2</v>
          </cell>
          <cell r="CB1590">
            <v>6.6789322266602336E-2</v>
          </cell>
          <cell r="CE1590" t="str">
            <v>21EU</v>
          </cell>
          <cell r="CF1590" t="str">
            <v>21EU</v>
          </cell>
          <cell r="CG1590" t="str">
            <v>21EU</v>
          </cell>
        </row>
        <row r="1591">
          <cell r="O1591">
            <v>21</v>
          </cell>
          <cell r="AN1591">
            <v>53.744073867047597</v>
          </cell>
          <cell r="AO1591">
            <v>0</v>
          </cell>
          <cell r="AP1591">
            <v>0</v>
          </cell>
          <cell r="AZ1591">
            <v>0</v>
          </cell>
          <cell r="BT1591">
            <v>53.744073867047597</v>
          </cell>
          <cell r="BX1591">
            <v>0</v>
          </cell>
          <cell r="CB1591">
            <v>0</v>
          </cell>
          <cell r="CE1591" t="str">
            <v>21EU</v>
          </cell>
          <cell r="CF1591" t="str">
            <v>21EU</v>
          </cell>
          <cell r="CG1591" t="str">
            <v>21EU</v>
          </cell>
        </row>
        <row r="1592">
          <cell r="O1592">
            <v>21</v>
          </cell>
          <cell r="AN1592">
            <v>0</v>
          </cell>
          <cell r="AO1592">
            <v>54.893070823758357</v>
          </cell>
          <cell r="AP1592">
            <v>54.893070823758357</v>
          </cell>
          <cell r="AZ1592">
            <v>53.03</v>
          </cell>
          <cell r="BT1592">
            <v>0</v>
          </cell>
          <cell r="BX1592">
            <v>54.893070823758357</v>
          </cell>
          <cell r="CB1592">
            <v>54.893070823758357</v>
          </cell>
          <cell r="CE1592" t="str">
            <v>21EU</v>
          </cell>
          <cell r="CF1592" t="str">
            <v>21EU</v>
          </cell>
          <cell r="CG1592" t="str">
            <v>21EU</v>
          </cell>
        </row>
        <row r="1593">
          <cell r="O1593">
            <v>22</v>
          </cell>
          <cell r="AN1593">
            <v>0</v>
          </cell>
          <cell r="AO1593">
            <v>0</v>
          </cell>
          <cell r="AP1593">
            <v>8.9030742019761799</v>
          </cell>
          <cell r="AZ1593">
            <v>0</v>
          </cell>
          <cell r="BT1593">
            <v>0</v>
          </cell>
          <cell r="BX1593">
            <v>0</v>
          </cell>
          <cell r="CB1593">
            <v>8.2090372704951076</v>
          </cell>
          <cell r="CE1593" t="str">
            <v>22LOCAL</v>
          </cell>
          <cell r="CF1593" t="str">
            <v>22LOCAL</v>
          </cell>
          <cell r="CG1593" t="str">
            <v>22LOCAL</v>
          </cell>
        </row>
        <row r="1594">
          <cell r="O1594">
            <v>22</v>
          </cell>
          <cell r="AN1594">
            <v>0</v>
          </cell>
          <cell r="AO1594">
            <v>0</v>
          </cell>
          <cell r="AP1594">
            <v>35.61229680790472</v>
          </cell>
          <cell r="AZ1594">
            <v>0</v>
          </cell>
          <cell r="BT1594">
            <v>0</v>
          </cell>
          <cell r="BX1594">
            <v>0</v>
          </cell>
          <cell r="CB1594">
            <v>32.83614908198043</v>
          </cell>
          <cell r="CE1594" t="str">
            <v>22LOCAL</v>
          </cell>
          <cell r="CF1594" t="str">
            <v>22LOCAL</v>
          </cell>
          <cell r="CG1594" t="str">
            <v>22LOCAL</v>
          </cell>
        </row>
        <row r="1595">
          <cell r="O1595">
            <v>22</v>
          </cell>
          <cell r="AN1595">
            <v>6.9217999736971612</v>
          </cell>
          <cell r="AO1595">
            <v>6.9217999736971612</v>
          </cell>
          <cell r="AP1595">
            <v>0</v>
          </cell>
          <cell r="AZ1595">
            <v>7.4768500000000007</v>
          </cell>
          <cell r="BT1595">
            <v>6.9217999736971612</v>
          </cell>
          <cell r="BX1595">
            <v>6.9217999736971612</v>
          </cell>
          <cell r="CB1595">
            <v>0</v>
          </cell>
          <cell r="CE1595" t="str">
            <v>22EU</v>
          </cell>
          <cell r="CF1595" t="str">
            <v>22EU</v>
          </cell>
          <cell r="CG1595" t="str">
            <v>22EU</v>
          </cell>
        </row>
        <row r="1596">
          <cell r="O1596">
            <v>22</v>
          </cell>
          <cell r="AN1596">
            <v>20.055199923790244</v>
          </cell>
          <cell r="AO1596">
            <v>20.055199923790244</v>
          </cell>
          <cell r="AP1596">
            <v>0</v>
          </cell>
          <cell r="AZ1596">
            <v>21.663400000000003</v>
          </cell>
          <cell r="BT1596">
            <v>14.365815223366438</v>
          </cell>
          <cell r="BX1596">
            <v>30.492468941254074</v>
          </cell>
          <cell r="CB1596">
            <v>0</v>
          </cell>
          <cell r="CE1596" t="str">
            <v>22LOCAL</v>
          </cell>
          <cell r="CF1596" t="str">
            <v>22LOCAL</v>
          </cell>
          <cell r="CG1596" t="str">
            <v>22LOCAL</v>
          </cell>
        </row>
        <row r="1597">
          <cell r="O1597">
            <v>22</v>
          </cell>
          <cell r="AN1597">
            <v>0</v>
          </cell>
          <cell r="AO1597">
            <v>0</v>
          </cell>
          <cell r="AP1597">
            <v>9.3279999645536016</v>
          </cell>
          <cell r="AZ1597">
            <v>0</v>
          </cell>
          <cell r="BT1597">
            <v>0</v>
          </cell>
          <cell r="BX1597">
            <v>0</v>
          </cell>
          <cell r="CB1597">
            <v>9.3279999645536016</v>
          </cell>
          <cell r="CE1597" t="str">
            <v>22EU</v>
          </cell>
          <cell r="CF1597" t="str">
            <v>22EU</v>
          </cell>
          <cell r="CG1597" t="str">
            <v>22EU</v>
          </cell>
        </row>
        <row r="1598">
          <cell r="O1598">
            <v>22</v>
          </cell>
          <cell r="AN1598">
            <v>154.75999941191205</v>
          </cell>
          <cell r="AO1598">
            <v>154.75999941191205</v>
          </cell>
          <cell r="AP1598">
            <v>0</v>
          </cell>
          <cell r="AZ1598">
            <v>167.17000000000002</v>
          </cell>
          <cell r="BT1598">
            <v>121.20526257925019</v>
          </cell>
          <cell r="BX1598">
            <v>162.75402892780755</v>
          </cell>
          <cell r="CB1598">
            <v>0</v>
          </cell>
          <cell r="CE1598" t="str">
            <v>22LOCAL</v>
          </cell>
          <cell r="CF1598" t="str">
            <v>22LOCAL</v>
          </cell>
          <cell r="CG1598" t="str">
            <v>22LOCAL</v>
          </cell>
        </row>
        <row r="1599">
          <cell r="O1599">
            <v>22</v>
          </cell>
          <cell r="AN1599">
            <v>6.3599999758320012</v>
          </cell>
          <cell r="AO1599">
            <v>6.3599999758320012</v>
          </cell>
          <cell r="AP1599">
            <v>0</v>
          </cell>
          <cell r="AZ1599">
            <v>6.87</v>
          </cell>
          <cell r="BT1599">
            <v>6.3599999758320012</v>
          </cell>
          <cell r="BX1599">
            <v>6.3599999758320012</v>
          </cell>
          <cell r="CB1599">
            <v>0</v>
          </cell>
          <cell r="CE1599" t="str">
            <v>22EU</v>
          </cell>
          <cell r="CF1599" t="str">
            <v>22EU</v>
          </cell>
          <cell r="CG1599" t="str">
            <v>22EU</v>
          </cell>
        </row>
        <row r="1600">
          <cell r="O1600">
            <v>22</v>
          </cell>
          <cell r="AN1600">
            <v>5.9571999773626407</v>
          </cell>
          <cell r="AO1600">
            <v>5.9571999773626407</v>
          </cell>
          <cell r="AP1600">
            <v>5.9571999773626407</v>
          </cell>
          <cell r="AZ1600">
            <v>6.4348999999999998</v>
          </cell>
          <cell r="BT1600">
            <v>3.5118110236220468</v>
          </cell>
          <cell r="BX1600">
            <v>3.5118110236220468</v>
          </cell>
          <cell r="CB1600">
            <v>3.5118110236220468</v>
          </cell>
          <cell r="CE1600" t="str">
            <v>22LOCAL</v>
          </cell>
          <cell r="CF1600" t="str">
            <v>22LOCAL</v>
          </cell>
          <cell r="CG1600" t="str">
            <v>22LOCAL</v>
          </cell>
        </row>
        <row r="1601">
          <cell r="O1601">
            <v>22</v>
          </cell>
          <cell r="AN1601">
            <v>0</v>
          </cell>
          <cell r="AO1601">
            <v>0</v>
          </cell>
          <cell r="AP1601">
            <v>0.41196506393671622</v>
          </cell>
          <cell r="AZ1601">
            <v>0</v>
          </cell>
          <cell r="BT1601">
            <v>0</v>
          </cell>
          <cell r="BX1601">
            <v>0</v>
          </cell>
          <cell r="CB1601">
            <v>0.41196506393671622</v>
          </cell>
          <cell r="CE1601" t="str">
            <v>22EU</v>
          </cell>
          <cell r="CF1601" t="str">
            <v>22EU</v>
          </cell>
          <cell r="CG1601" t="str">
            <v>22EU</v>
          </cell>
        </row>
        <row r="1602">
          <cell r="O1602">
            <v>22</v>
          </cell>
          <cell r="AN1602">
            <v>0</v>
          </cell>
          <cell r="AO1602">
            <v>0</v>
          </cell>
          <cell r="AP1602">
            <v>28.091388539540937</v>
          </cell>
          <cell r="AZ1602">
            <v>0</v>
          </cell>
          <cell r="BT1602">
            <v>0</v>
          </cell>
          <cell r="BX1602">
            <v>0</v>
          </cell>
          <cell r="CB1602">
            <v>26.402158850557946</v>
          </cell>
          <cell r="CE1602" t="str">
            <v>22EU</v>
          </cell>
          <cell r="CF1602" t="str">
            <v>22EU</v>
          </cell>
          <cell r="CG1602" t="str">
            <v>22LOCAL</v>
          </cell>
        </row>
        <row r="1603">
          <cell r="O1603">
            <v>22</v>
          </cell>
          <cell r="AN1603">
            <v>0</v>
          </cell>
          <cell r="AO1603">
            <v>0</v>
          </cell>
          <cell r="AP1603">
            <v>0</v>
          </cell>
          <cell r="AZ1603">
            <v>0</v>
          </cell>
          <cell r="BT1603">
            <v>0</v>
          </cell>
          <cell r="BX1603">
            <v>0</v>
          </cell>
          <cell r="CB1603">
            <v>0</v>
          </cell>
          <cell r="CE1603" t="str">
            <v>22LOCAL</v>
          </cell>
          <cell r="CF1603" t="str">
            <v>22LOCAL</v>
          </cell>
          <cell r="CG1603" t="str">
            <v>22EU</v>
          </cell>
        </row>
        <row r="1604">
          <cell r="O1604">
            <v>22</v>
          </cell>
          <cell r="AN1604">
            <v>0</v>
          </cell>
          <cell r="AO1604">
            <v>0</v>
          </cell>
          <cell r="AP1604">
            <v>112.36555415816375</v>
          </cell>
          <cell r="AZ1604">
            <v>0</v>
          </cell>
          <cell r="BT1604">
            <v>0</v>
          </cell>
          <cell r="BX1604">
            <v>0</v>
          </cell>
          <cell r="CB1604">
            <v>105.60863540223178</v>
          </cell>
          <cell r="CE1604" t="str">
            <v>22EU</v>
          </cell>
          <cell r="CF1604" t="str">
            <v>22EU</v>
          </cell>
          <cell r="CG1604" t="str">
            <v>22LOCAL</v>
          </cell>
        </row>
        <row r="1605">
          <cell r="O1605">
            <v>22</v>
          </cell>
          <cell r="AN1605">
            <v>103.47821794739414</v>
          </cell>
          <cell r="AO1605">
            <v>103.47821794739414</v>
          </cell>
          <cell r="AP1605">
            <v>0</v>
          </cell>
          <cell r="AZ1605">
            <v>111.77600000000001</v>
          </cell>
          <cell r="BT1605">
            <v>71.066808370286211</v>
          </cell>
          <cell r="BX1605">
            <v>75.559602719129202</v>
          </cell>
          <cell r="CB1605">
            <v>0</v>
          </cell>
          <cell r="CE1605" t="str">
            <v>22LOCAL</v>
          </cell>
          <cell r="CF1605" t="str">
            <v>22LOCAL</v>
          </cell>
          <cell r="CG1605" t="str">
            <v>22EU</v>
          </cell>
        </row>
        <row r="1606">
          <cell r="O1606">
            <v>22</v>
          </cell>
          <cell r="AN1606">
            <v>0.44436681053848037</v>
          </cell>
          <cell r="AO1606">
            <v>0.44436681053848037</v>
          </cell>
          <cell r="AP1606">
            <v>0</v>
          </cell>
          <cell r="AZ1606">
            <v>0.48</v>
          </cell>
          <cell r="BT1606">
            <v>0.44436681053848037</v>
          </cell>
          <cell r="BX1606">
            <v>0.44436681053848037</v>
          </cell>
          <cell r="CB1606">
            <v>0</v>
          </cell>
          <cell r="CE1606" t="str">
            <v>22EU</v>
          </cell>
          <cell r="CF1606" t="str">
            <v>22EU</v>
          </cell>
          <cell r="CG1606" t="str">
            <v>22EU</v>
          </cell>
        </row>
        <row r="1607">
          <cell r="O1607">
            <v>22</v>
          </cell>
          <cell r="AN1607">
            <v>0</v>
          </cell>
          <cell r="AO1607">
            <v>0</v>
          </cell>
          <cell r="AP1607">
            <v>0.49991266185579047</v>
          </cell>
          <cell r="AZ1607">
            <v>0</v>
          </cell>
          <cell r="BT1607">
            <v>0</v>
          </cell>
          <cell r="BX1607">
            <v>0</v>
          </cell>
          <cell r="CB1607">
            <v>0.49991266185579047</v>
          </cell>
          <cell r="CE1607" t="str">
            <v>22EU</v>
          </cell>
          <cell r="CF1607" t="str">
            <v>22EU</v>
          </cell>
          <cell r="CG1607" t="str">
            <v>22EU</v>
          </cell>
        </row>
        <row r="1608">
          <cell r="O1608">
            <v>22</v>
          </cell>
          <cell r="AN1608">
            <v>0.12497816546394762</v>
          </cell>
          <cell r="AO1608">
            <v>0.12497816546394762</v>
          </cell>
          <cell r="AP1608">
            <v>0</v>
          </cell>
          <cell r="AZ1608">
            <v>0.13500000000000001</v>
          </cell>
          <cell r="BT1608">
            <v>0.12497816546394762</v>
          </cell>
          <cell r="BX1608">
            <v>0.12497816546394762</v>
          </cell>
          <cell r="CB1608">
            <v>0</v>
          </cell>
          <cell r="CE1608" t="str">
            <v>22EU</v>
          </cell>
          <cell r="CF1608" t="str">
            <v>22EU</v>
          </cell>
          <cell r="CG1608" t="str">
            <v>22EU</v>
          </cell>
        </row>
        <row r="1609">
          <cell r="O1609">
            <v>22</v>
          </cell>
          <cell r="AN1609">
            <v>0</v>
          </cell>
          <cell r="AO1609">
            <v>0</v>
          </cell>
          <cell r="AP1609">
            <v>0.12497816546394762</v>
          </cell>
          <cell r="AZ1609">
            <v>0</v>
          </cell>
          <cell r="BT1609">
            <v>0</v>
          </cell>
          <cell r="BX1609">
            <v>0</v>
          </cell>
          <cell r="CB1609">
            <v>0.12497816546394762</v>
          </cell>
          <cell r="CE1609" t="str">
            <v>22EU</v>
          </cell>
          <cell r="CF1609" t="str">
            <v>22EU</v>
          </cell>
          <cell r="CG1609" t="str">
            <v>22EU</v>
          </cell>
        </row>
        <row r="1610">
          <cell r="O1610">
            <v>22</v>
          </cell>
          <cell r="AN1610">
            <v>0</v>
          </cell>
          <cell r="AO1610">
            <v>0</v>
          </cell>
          <cell r="AP1610">
            <v>0.63980376004001216</v>
          </cell>
          <cell r="AZ1610">
            <v>0</v>
          </cell>
          <cell r="BT1610">
            <v>0</v>
          </cell>
          <cell r="BX1610">
            <v>0</v>
          </cell>
          <cell r="CB1610">
            <v>0.63980376004001216</v>
          </cell>
          <cell r="CE1610" t="str">
            <v>22EU</v>
          </cell>
          <cell r="CF1610" t="str">
            <v>22EU</v>
          </cell>
          <cell r="CG1610" t="str">
            <v>22EU</v>
          </cell>
        </row>
        <row r="1611">
          <cell r="O1611">
            <v>22</v>
          </cell>
          <cell r="AN1611">
            <v>11.923842749449225</v>
          </cell>
          <cell r="AO1611">
            <v>11.923842749449225</v>
          </cell>
          <cell r="AP1611">
            <v>0</v>
          </cell>
          <cell r="AZ1611">
            <v>12.88</v>
          </cell>
          <cell r="BT1611">
            <v>11.923842749449225</v>
          </cell>
          <cell r="BX1611">
            <v>11.923842749449225</v>
          </cell>
          <cell r="CB1611">
            <v>0</v>
          </cell>
          <cell r="CE1611" t="str">
            <v>22EU</v>
          </cell>
          <cell r="CF1611" t="str">
            <v>22EU</v>
          </cell>
          <cell r="CG1611" t="str">
            <v>22EU</v>
          </cell>
        </row>
        <row r="1612">
          <cell r="O1612">
            <v>22</v>
          </cell>
          <cell r="AN1612">
            <v>0</v>
          </cell>
          <cell r="AO1612">
            <v>0</v>
          </cell>
          <cell r="AP1612">
            <v>0</v>
          </cell>
          <cell r="AZ1612">
            <v>0</v>
          </cell>
          <cell r="BT1612">
            <v>0</v>
          </cell>
          <cell r="BX1612">
            <v>0</v>
          </cell>
          <cell r="CB1612">
            <v>0</v>
          </cell>
          <cell r="CE1612" t="str">
            <v>22EU</v>
          </cell>
          <cell r="CF1612" t="str">
            <v>22EU</v>
          </cell>
          <cell r="CG1612" t="str">
            <v>22EU</v>
          </cell>
        </row>
        <row r="1613">
          <cell r="O1613">
            <v>23</v>
          </cell>
          <cell r="AN1613">
            <v>2.5</v>
          </cell>
          <cell r="AO1613">
            <v>2.5</v>
          </cell>
          <cell r="AP1613">
            <v>2.5</v>
          </cell>
          <cell r="AZ1613">
            <v>2.5</v>
          </cell>
          <cell r="BT1613">
            <v>2.5</v>
          </cell>
          <cell r="BX1613">
            <v>2.5</v>
          </cell>
          <cell r="CB1613">
            <v>2.5</v>
          </cell>
          <cell r="CE1613" t="str">
            <v>23EU</v>
          </cell>
          <cell r="CF1613" t="str">
            <v>23EU</v>
          </cell>
          <cell r="CG1613" t="str">
            <v>23EU</v>
          </cell>
        </row>
        <row r="1614">
          <cell r="O1614">
            <v>23</v>
          </cell>
          <cell r="AN1614">
            <v>0</v>
          </cell>
          <cell r="AO1614">
            <v>0</v>
          </cell>
          <cell r="AP1614">
            <v>56.24017445877643</v>
          </cell>
          <cell r="AZ1614">
            <v>0</v>
          </cell>
          <cell r="BT1614">
            <v>0</v>
          </cell>
          <cell r="BX1614">
            <v>0</v>
          </cell>
          <cell r="CB1614">
            <v>56.392019600980049</v>
          </cell>
          <cell r="CE1614" t="str">
            <v>23EU</v>
          </cell>
          <cell r="CF1614" t="str">
            <v>23LOCAL</v>
          </cell>
          <cell r="CG1614" t="str">
            <v>23LOCAL</v>
          </cell>
        </row>
        <row r="1615">
          <cell r="O1615">
            <v>23</v>
          </cell>
          <cell r="AN1615">
            <v>72.48943422316222</v>
          </cell>
          <cell r="AO1615">
            <v>72.48943422316222</v>
          </cell>
          <cell r="AP1615">
            <v>0</v>
          </cell>
          <cell r="AZ1615">
            <v>71.552999999999997</v>
          </cell>
          <cell r="BT1615">
            <v>62.494924746237309</v>
          </cell>
          <cell r="BX1615">
            <v>62.494924746237309</v>
          </cell>
          <cell r="CB1615">
            <v>0</v>
          </cell>
          <cell r="CE1615" t="str">
            <v>23LOCAL</v>
          </cell>
          <cell r="CF1615" t="str">
            <v>23LOCAL</v>
          </cell>
          <cell r="CG1615" t="str">
            <v>23LOCAL</v>
          </cell>
        </row>
        <row r="1616">
          <cell r="O1616">
            <v>23</v>
          </cell>
          <cell r="AN1616">
            <v>6.0785236864837717</v>
          </cell>
          <cell r="AO1616">
            <v>6.0785236864837717</v>
          </cell>
          <cell r="AP1616">
            <v>0</v>
          </cell>
          <cell r="AZ1616">
            <v>6</v>
          </cell>
          <cell r="BT1616">
            <v>6.0785236864837717</v>
          </cell>
          <cell r="BX1616">
            <v>6.0785236864837717</v>
          </cell>
          <cell r="CB1616">
            <v>0</v>
          </cell>
          <cell r="CE1616" t="str">
            <v>23EU</v>
          </cell>
          <cell r="CF1616" t="str">
            <v>23EU</v>
          </cell>
          <cell r="CG1616" t="str">
            <v>23EU</v>
          </cell>
        </row>
        <row r="1617">
          <cell r="O1617">
            <v>23</v>
          </cell>
          <cell r="AN1617">
            <v>0</v>
          </cell>
          <cell r="AO1617">
            <v>0</v>
          </cell>
          <cell r="AP1617">
            <v>1.590547031296587</v>
          </cell>
          <cell r="AZ1617">
            <v>0</v>
          </cell>
          <cell r="BT1617">
            <v>0</v>
          </cell>
          <cell r="BX1617">
            <v>0</v>
          </cell>
          <cell r="CB1617">
            <v>1.590547031296587</v>
          </cell>
          <cell r="CE1617" t="str">
            <v>23EU</v>
          </cell>
          <cell r="CF1617" t="str">
            <v>23EU</v>
          </cell>
          <cell r="CG1617" t="str">
            <v>23EU</v>
          </cell>
        </row>
        <row r="1618">
          <cell r="O1618">
            <v>23</v>
          </cell>
          <cell r="AN1618">
            <v>0.86</v>
          </cell>
          <cell r="AO1618">
            <v>0.86</v>
          </cell>
          <cell r="AP1618">
            <v>0.86</v>
          </cell>
          <cell r="AZ1618">
            <v>0.86</v>
          </cell>
          <cell r="BT1618">
            <v>0.86</v>
          </cell>
          <cell r="BX1618">
            <v>0.86</v>
          </cell>
          <cell r="CB1618">
            <v>0.86</v>
          </cell>
          <cell r="CE1618" t="str">
            <v>23EU</v>
          </cell>
          <cell r="CF1618" t="str">
            <v>23EU</v>
          </cell>
          <cell r="CG1618" t="str">
            <v>23EU</v>
          </cell>
        </row>
        <row r="1619">
          <cell r="O1619">
            <v>23</v>
          </cell>
          <cell r="AN1619">
            <v>2.427</v>
          </cell>
          <cell r="AO1619">
            <v>2.427</v>
          </cell>
          <cell r="AP1619">
            <v>2.427</v>
          </cell>
          <cell r="AZ1619">
            <v>2.427</v>
          </cell>
          <cell r="BT1619">
            <v>2.427</v>
          </cell>
          <cell r="BX1619">
            <v>2.427</v>
          </cell>
          <cell r="CB1619">
            <v>2.427</v>
          </cell>
          <cell r="CE1619" t="str">
            <v>23EU</v>
          </cell>
          <cell r="CF1619" t="str">
            <v>23EU</v>
          </cell>
          <cell r="CG1619" t="str">
            <v>23EU</v>
          </cell>
        </row>
        <row r="1620">
          <cell r="O1620">
            <v>23</v>
          </cell>
          <cell r="AN1620">
            <v>1.946</v>
          </cell>
          <cell r="AO1620">
            <v>0</v>
          </cell>
          <cell r="AP1620">
            <v>0</v>
          </cell>
          <cell r="AZ1620">
            <v>0</v>
          </cell>
          <cell r="BT1620">
            <v>1.946</v>
          </cell>
          <cell r="BX1620">
            <v>0</v>
          </cell>
          <cell r="CB1620">
            <v>0</v>
          </cell>
          <cell r="CE1620" t="str">
            <v>23EU</v>
          </cell>
          <cell r="CF1620" t="str">
            <v>23EU</v>
          </cell>
          <cell r="CG1620" t="str">
            <v>23EU</v>
          </cell>
        </row>
        <row r="1621">
          <cell r="O1621">
            <v>23</v>
          </cell>
          <cell r="AN1621">
            <v>5.4046113331742678</v>
          </cell>
          <cell r="AO1621">
            <v>5.4046113331742678</v>
          </cell>
          <cell r="AP1621">
            <v>0</v>
          </cell>
          <cell r="AZ1621">
            <v>5.8380000000000001</v>
          </cell>
          <cell r="BT1621">
            <v>5.4046113331742678</v>
          </cell>
          <cell r="BX1621">
            <v>5.4046113331742678</v>
          </cell>
          <cell r="CB1621">
            <v>0</v>
          </cell>
          <cell r="CE1621" t="str">
            <v>23EU</v>
          </cell>
          <cell r="CF1621" t="str">
            <v>23EU</v>
          </cell>
          <cell r="CG1621" t="str">
            <v>23EU</v>
          </cell>
        </row>
        <row r="1622">
          <cell r="O1622">
            <v>23</v>
          </cell>
          <cell r="AN1622">
            <v>0</v>
          </cell>
          <cell r="AO1622">
            <v>0</v>
          </cell>
          <cell r="AP1622">
            <v>2.0459388568542534</v>
          </cell>
          <cell r="AZ1622">
            <v>0</v>
          </cell>
          <cell r="BT1622">
            <v>0</v>
          </cell>
          <cell r="BX1622">
            <v>0</v>
          </cell>
          <cell r="CB1622">
            <v>2.0459388568542534</v>
          </cell>
          <cell r="CE1622" t="str">
            <v>23EU</v>
          </cell>
          <cell r="CF1622" t="str">
            <v>23EU</v>
          </cell>
          <cell r="CG1622" t="str">
            <v>23EU</v>
          </cell>
        </row>
        <row r="1623">
          <cell r="O1623">
            <v>23</v>
          </cell>
          <cell r="AN1623">
            <v>0</v>
          </cell>
          <cell r="AO1623">
            <v>0</v>
          </cell>
          <cell r="AP1623">
            <v>10.970305635168735</v>
          </cell>
          <cell r="AZ1623">
            <v>0</v>
          </cell>
          <cell r="BT1623">
            <v>0</v>
          </cell>
          <cell r="BX1623">
            <v>0</v>
          </cell>
          <cell r="CB1623">
            <v>10.970305635168735</v>
          </cell>
          <cell r="CE1623" t="str">
            <v>23EU</v>
          </cell>
          <cell r="CF1623" t="str">
            <v>23EU</v>
          </cell>
          <cell r="CG1623" t="str">
            <v>23EU</v>
          </cell>
        </row>
        <row r="1624">
          <cell r="O1624">
            <v>23</v>
          </cell>
          <cell r="AN1624">
            <v>0.75264628534955114</v>
          </cell>
          <cell r="AO1624">
            <v>0.75264628534955114</v>
          </cell>
          <cell r="AP1624">
            <v>0.75264628534955114</v>
          </cell>
          <cell r="AZ1624">
            <v>0.81299999999999994</v>
          </cell>
          <cell r="BT1624">
            <v>0.75264628534955114</v>
          </cell>
          <cell r="BX1624">
            <v>0.75264628534955114</v>
          </cell>
          <cell r="CB1624">
            <v>0.75264628534955114</v>
          </cell>
          <cell r="CE1624" t="str">
            <v>23EU</v>
          </cell>
          <cell r="CF1624" t="str">
            <v>23EU</v>
          </cell>
          <cell r="CG1624" t="str">
            <v>23EU</v>
          </cell>
        </row>
        <row r="1625">
          <cell r="O1625">
            <v>23</v>
          </cell>
          <cell r="AN1625">
            <v>0</v>
          </cell>
          <cell r="AO1625">
            <v>0</v>
          </cell>
          <cell r="AP1625">
            <v>1.6571178976330831</v>
          </cell>
          <cell r="AZ1625">
            <v>0</v>
          </cell>
          <cell r="BT1625">
            <v>0</v>
          </cell>
          <cell r="BX1625">
            <v>0</v>
          </cell>
          <cell r="CB1625">
            <v>1.6571178976330831</v>
          </cell>
          <cell r="CE1625" t="str">
            <v>23EU</v>
          </cell>
          <cell r="CF1625" t="str">
            <v>23EU</v>
          </cell>
          <cell r="CG1625" t="str">
            <v>23EU</v>
          </cell>
        </row>
        <row r="1626">
          <cell r="O1626">
            <v>23</v>
          </cell>
          <cell r="AN1626">
            <v>13.886462829327513</v>
          </cell>
          <cell r="AO1626">
            <v>0</v>
          </cell>
          <cell r="AP1626">
            <v>0</v>
          </cell>
          <cell r="AZ1626">
            <v>0</v>
          </cell>
          <cell r="BT1626">
            <v>11.313812438157363</v>
          </cell>
          <cell r="BX1626">
            <v>0</v>
          </cell>
          <cell r="CB1626">
            <v>0</v>
          </cell>
          <cell r="CE1626" t="str">
            <v>23LOCAL</v>
          </cell>
          <cell r="CF1626" t="str">
            <v>23EU</v>
          </cell>
          <cell r="CG1626" t="str">
            <v>23EU</v>
          </cell>
        </row>
        <row r="1627">
          <cell r="O1627">
            <v>23</v>
          </cell>
          <cell r="AN1627">
            <v>0</v>
          </cell>
          <cell r="AO1627">
            <v>4.6288209431091705</v>
          </cell>
          <cell r="AP1627">
            <v>4.6288209431091705</v>
          </cell>
          <cell r="AZ1627">
            <v>5</v>
          </cell>
          <cell r="BT1627">
            <v>0</v>
          </cell>
          <cell r="BX1627">
            <v>4.6288209431091705</v>
          </cell>
          <cell r="CB1627">
            <v>4.6288209431091705</v>
          </cell>
          <cell r="CE1627" t="str">
            <v>23EU</v>
          </cell>
          <cell r="CF1627" t="str">
            <v>23EU</v>
          </cell>
          <cell r="CG1627" t="str">
            <v>23EU</v>
          </cell>
        </row>
        <row r="1628">
          <cell r="O1628">
            <v>23</v>
          </cell>
          <cell r="AN1628">
            <v>0</v>
          </cell>
          <cell r="AO1628">
            <v>0</v>
          </cell>
          <cell r="AP1628">
            <v>1.1784978121155949</v>
          </cell>
          <cell r="AZ1628">
            <v>0</v>
          </cell>
          <cell r="BT1628">
            <v>0</v>
          </cell>
          <cell r="BX1628">
            <v>0</v>
          </cell>
          <cell r="CB1628">
            <v>1.1784978121155949</v>
          </cell>
          <cell r="CE1628" t="str">
            <v>23EU</v>
          </cell>
          <cell r="CF1628" t="str">
            <v>23EU</v>
          </cell>
          <cell r="CG1628" t="str">
            <v>23EU</v>
          </cell>
        </row>
        <row r="1629">
          <cell r="O1629">
            <v>23</v>
          </cell>
          <cell r="AN1629">
            <v>1.05</v>
          </cell>
          <cell r="AO1629">
            <v>0</v>
          </cell>
          <cell r="AP1629">
            <v>1.05</v>
          </cell>
          <cell r="AZ1629">
            <v>0</v>
          </cell>
          <cell r="BT1629">
            <v>1.05</v>
          </cell>
          <cell r="BX1629">
            <v>0</v>
          </cell>
          <cell r="CB1629">
            <v>1.05</v>
          </cell>
          <cell r="CE1629" t="str">
            <v>23EU</v>
          </cell>
          <cell r="CF1629" t="str">
            <v>23EU</v>
          </cell>
          <cell r="CG1629" t="str">
            <v>23EU</v>
          </cell>
        </row>
        <row r="1630">
          <cell r="O1630">
            <v>23</v>
          </cell>
          <cell r="AN1630">
            <v>12.457000000000001</v>
          </cell>
          <cell r="AO1630">
            <v>12.457000000000001</v>
          </cell>
          <cell r="AP1630">
            <v>12.457000000000001</v>
          </cell>
          <cell r="AZ1630">
            <v>12.457000000000001</v>
          </cell>
          <cell r="BT1630">
            <v>12.457000000000001</v>
          </cell>
          <cell r="BX1630">
            <v>12.457000000000001</v>
          </cell>
          <cell r="CB1630">
            <v>12.457000000000001</v>
          </cell>
          <cell r="CE1630" t="str">
            <v>23EU</v>
          </cell>
          <cell r="CF1630" t="str">
            <v>23EU</v>
          </cell>
          <cell r="CG1630" t="str">
            <v>23EU</v>
          </cell>
        </row>
        <row r="1631">
          <cell r="O1631">
            <v>23</v>
          </cell>
          <cell r="AN1631">
            <v>2.617</v>
          </cell>
          <cell r="AO1631">
            <v>2.617</v>
          </cell>
          <cell r="AP1631">
            <v>2.617</v>
          </cell>
          <cell r="AZ1631">
            <v>2.617</v>
          </cell>
          <cell r="BT1631">
            <v>2.617</v>
          </cell>
          <cell r="BX1631">
            <v>2.617</v>
          </cell>
          <cell r="CB1631">
            <v>2.617</v>
          </cell>
          <cell r="CE1631" t="str">
            <v>23EU</v>
          </cell>
          <cell r="CF1631" t="str">
            <v>23EU</v>
          </cell>
          <cell r="CG1631" t="str">
            <v>23EU</v>
          </cell>
        </row>
        <row r="1632">
          <cell r="O1632">
            <v>23</v>
          </cell>
          <cell r="AN1632">
            <v>25.89</v>
          </cell>
          <cell r="AO1632">
            <v>0</v>
          </cell>
          <cell r="AP1632">
            <v>0</v>
          </cell>
          <cell r="AZ1632">
            <v>0</v>
          </cell>
          <cell r="BT1632">
            <v>18.680332902733955</v>
          </cell>
          <cell r="BX1632">
            <v>0</v>
          </cell>
          <cell r="CB1632">
            <v>0</v>
          </cell>
          <cell r="CE1632" t="str">
            <v>23LOCAL</v>
          </cell>
          <cell r="CF1632" t="str">
            <v>23LOCAL</v>
          </cell>
          <cell r="CG1632" t="str">
            <v>23LOCAL</v>
          </cell>
        </row>
        <row r="1633">
          <cell r="O1633">
            <v>23</v>
          </cell>
          <cell r="AN1633">
            <v>0</v>
          </cell>
          <cell r="AO1633">
            <v>25.75</v>
          </cell>
          <cell r="AP1633">
            <v>0</v>
          </cell>
          <cell r="AZ1633">
            <v>25.75</v>
          </cell>
          <cell r="BT1633">
            <v>0</v>
          </cell>
          <cell r="BX1633">
            <v>18.680332902733955</v>
          </cell>
          <cell r="CB1633">
            <v>0</v>
          </cell>
          <cell r="CE1633" t="str">
            <v>23LOCAL</v>
          </cell>
          <cell r="CF1633" t="str">
            <v>23LOCAL</v>
          </cell>
          <cell r="CG1633" t="str">
            <v>23LOCAL</v>
          </cell>
        </row>
        <row r="1634">
          <cell r="O1634">
            <v>23</v>
          </cell>
          <cell r="AN1634">
            <v>0</v>
          </cell>
          <cell r="AO1634">
            <v>0</v>
          </cell>
          <cell r="AP1634">
            <v>22.44</v>
          </cell>
          <cell r="AZ1634">
            <v>0</v>
          </cell>
          <cell r="BT1634">
            <v>0</v>
          </cell>
          <cell r="BX1634">
            <v>0</v>
          </cell>
          <cell r="CB1634">
            <v>18.680332902733955</v>
          </cell>
          <cell r="CE1634" t="str">
            <v>23LOCAL</v>
          </cell>
          <cell r="CF1634" t="str">
            <v>23LOCAL</v>
          </cell>
          <cell r="CG1634" t="str">
            <v>23LOCAL</v>
          </cell>
        </row>
        <row r="1635">
          <cell r="O1635">
            <v>23</v>
          </cell>
          <cell r="AN1635">
            <v>11.497991222683181</v>
          </cell>
          <cell r="AO1635">
            <v>11.497991222683181</v>
          </cell>
          <cell r="AP1635">
            <v>0</v>
          </cell>
          <cell r="AZ1635">
            <v>12.42</v>
          </cell>
          <cell r="BT1635">
            <v>11.497991222683181</v>
          </cell>
          <cell r="BX1635">
            <v>11.497991222683181</v>
          </cell>
          <cell r="CB1635">
            <v>0</v>
          </cell>
          <cell r="CE1635" t="str">
            <v>23EU</v>
          </cell>
          <cell r="CF1635" t="str">
            <v>23EU</v>
          </cell>
          <cell r="CG1635" t="str">
            <v>23EU</v>
          </cell>
        </row>
        <row r="1636">
          <cell r="O1636">
            <v>23</v>
          </cell>
          <cell r="AN1636">
            <v>8.702</v>
          </cell>
          <cell r="AO1636">
            <v>8.702</v>
          </cell>
          <cell r="AP1636">
            <v>8.702</v>
          </cell>
          <cell r="AZ1636">
            <v>8.702</v>
          </cell>
          <cell r="BT1636">
            <v>8.702</v>
          </cell>
          <cell r="BX1636">
            <v>8.702</v>
          </cell>
          <cell r="CB1636">
            <v>8.702</v>
          </cell>
          <cell r="CE1636" t="str">
            <v>23EU</v>
          </cell>
          <cell r="CF1636" t="str">
            <v>23EU</v>
          </cell>
          <cell r="CG1636" t="str">
            <v>23EU</v>
          </cell>
        </row>
        <row r="1637">
          <cell r="O1637">
            <v>23</v>
          </cell>
          <cell r="AN1637">
            <v>39.35</v>
          </cell>
          <cell r="AO1637">
            <v>39.35</v>
          </cell>
          <cell r="AP1637">
            <v>39.35</v>
          </cell>
          <cell r="AZ1637">
            <v>39.35</v>
          </cell>
          <cell r="BT1637">
            <v>39.35</v>
          </cell>
          <cell r="BX1637">
            <v>39.35</v>
          </cell>
          <cell r="CB1637">
            <v>39.35</v>
          </cell>
          <cell r="CE1637" t="str">
            <v>23EU</v>
          </cell>
          <cell r="CF1637" t="str">
            <v>23EU</v>
          </cell>
          <cell r="CG1637" t="str">
            <v>23EU</v>
          </cell>
        </row>
        <row r="1638">
          <cell r="O1638">
            <v>23</v>
          </cell>
          <cell r="AN1638">
            <v>2.08</v>
          </cell>
          <cell r="AO1638">
            <v>2.08</v>
          </cell>
          <cell r="AP1638">
            <v>2.08</v>
          </cell>
          <cell r="AZ1638">
            <v>2.08</v>
          </cell>
          <cell r="BT1638">
            <v>2.08</v>
          </cell>
          <cell r="BX1638">
            <v>2.08</v>
          </cell>
          <cell r="CB1638">
            <v>2.08</v>
          </cell>
          <cell r="CE1638" t="str">
            <v>23EU</v>
          </cell>
          <cell r="CF1638" t="str">
            <v>23EU</v>
          </cell>
          <cell r="CG1638" t="str">
            <v>23EU</v>
          </cell>
        </row>
        <row r="1639">
          <cell r="O1639">
            <v>23</v>
          </cell>
          <cell r="AN1639">
            <v>0</v>
          </cell>
          <cell r="AO1639">
            <v>0</v>
          </cell>
          <cell r="AP1639">
            <v>15.571999999999999</v>
          </cell>
          <cell r="AZ1639">
            <v>0</v>
          </cell>
          <cell r="BT1639">
            <v>0</v>
          </cell>
          <cell r="BX1639">
            <v>0</v>
          </cell>
          <cell r="CB1639">
            <v>15.571999999999999</v>
          </cell>
          <cell r="CE1639" t="str">
            <v>23EU</v>
          </cell>
          <cell r="CF1639" t="str">
            <v>23EU</v>
          </cell>
          <cell r="CG1639" t="str">
            <v>23EU</v>
          </cell>
        </row>
        <row r="1640">
          <cell r="O1640">
            <v>23</v>
          </cell>
          <cell r="AN1640">
            <v>4.0270742205049785</v>
          </cell>
          <cell r="AO1640">
            <v>4.0270742205049785</v>
          </cell>
          <cell r="AP1640">
            <v>4.0270742205049785</v>
          </cell>
          <cell r="AZ1640">
            <v>4.3499999999999996</v>
          </cell>
          <cell r="BT1640">
            <v>4.0270742205049785</v>
          </cell>
          <cell r="BX1640">
            <v>4.0270742205049785</v>
          </cell>
          <cell r="CB1640">
            <v>4.0270742205049785</v>
          </cell>
          <cell r="CE1640" t="str">
            <v>23EU</v>
          </cell>
          <cell r="CF1640" t="str">
            <v>23EU</v>
          </cell>
          <cell r="CG1640" t="str">
            <v>23EU</v>
          </cell>
        </row>
        <row r="1641">
          <cell r="O1641">
            <v>23</v>
          </cell>
          <cell r="AN1641">
            <v>0.29717030454760879</v>
          </cell>
          <cell r="AO1641">
            <v>0.29717030454760879</v>
          </cell>
          <cell r="AP1641">
            <v>0.29717030454760879</v>
          </cell>
          <cell r="AZ1641">
            <v>0.32100000000000001</v>
          </cell>
          <cell r="BT1641">
            <v>0.29717030454760879</v>
          </cell>
          <cell r="BX1641">
            <v>0.29717030454760879</v>
          </cell>
          <cell r="CB1641">
            <v>0.29717030454760879</v>
          </cell>
          <cell r="CE1641" t="str">
            <v>23EU</v>
          </cell>
          <cell r="CF1641" t="str">
            <v>23EU</v>
          </cell>
          <cell r="CG1641" t="str">
            <v>23EU</v>
          </cell>
        </row>
        <row r="1642">
          <cell r="O1642">
            <v>23</v>
          </cell>
          <cell r="AN1642">
            <v>0.90076855552904467</v>
          </cell>
          <cell r="AO1642">
            <v>0.90076855552904467</v>
          </cell>
          <cell r="AP1642">
            <v>0.90076855552904467</v>
          </cell>
          <cell r="AZ1642">
            <v>0.97299999999999998</v>
          </cell>
          <cell r="BT1642">
            <v>0.90076855552904467</v>
          </cell>
          <cell r="BX1642">
            <v>0.90076855552904467</v>
          </cell>
          <cell r="CB1642">
            <v>0.90076855552904467</v>
          </cell>
          <cell r="CE1642" t="str">
            <v>23EU</v>
          </cell>
          <cell r="CF1642" t="str">
            <v>23EU</v>
          </cell>
          <cell r="CG1642" t="str">
            <v>23EU</v>
          </cell>
        </row>
        <row r="1643">
          <cell r="O1643">
            <v>23</v>
          </cell>
          <cell r="AN1643">
            <v>9.5724017103497658</v>
          </cell>
          <cell r="AO1643">
            <v>9.5724017103497658</v>
          </cell>
          <cell r="AP1643">
            <v>9.5724017103497658</v>
          </cell>
          <cell r="AZ1643">
            <v>10.34</v>
          </cell>
          <cell r="BT1643">
            <v>9.5724017103497658</v>
          </cell>
          <cell r="BX1643">
            <v>9.5724017103497658</v>
          </cell>
          <cell r="CB1643">
            <v>9.5724017103497658</v>
          </cell>
          <cell r="CE1643" t="str">
            <v>23EU</v>
          </cell>
          <cell r="CF1643" t="str">
            <v>23EU</v>
          </cell>
          <cell r="CG1643" t="str">
            <v>23EU</v>
          </cell>
        </row>
        <row r="1644">
          <cell r="O1644">
            <v>23</v>
          </cell>
          <cell r="AN1644">
            <v>11.38689952004856</v>
          </cell>
          <cell r="AO1644">
            <v>11.38689952004856</v>
          </cell>
          <cell r="AP1644">
            <v>11.38689952004856</v>
          </cell>
          <cell r="AZ1644">
            <v>12.3</v>
          </cell>
          <cell r="BT1644">
            <v>11.38689952004856</v>
          </cell>
          <cell r="BX1644">
            <v>11.38689952004856</v>
          </cell>
          <cell r="CB1644">
            <v>11.38689952004856</v>
          </cell>
          <cell r="CE1644" t="str">
            <v>23EU</v>
          </cell>
          <cell r="CF1644" t="str">
            <v>23EU</v>
          </cell>
          <cell r="CG1644" t="str">
            <v>23EU</v>
          </cell>
        </row>
        <row r="1645">
          <cell r="O1645">
            <v>23</v>
          </cell>
          <cell r="AN1645">
            <v>1.9811353636507252</v>
          </cell>
          <cell r="AO1645">
            <v>1.9811353636507252</v>
          </cell>
          <cell r="AP1645">
            <v>1.9811353636507252</v>
          </cell>
          <cell r="AZ1645">
            <v>2.14</v>
          </cell>
          <cell r="BT1645">
            <v>1.9811353636507252</v>
          </cell>
          <cell r="BX1645">
            <v>1.9811353636507252</v>
          </cell>
          <cell r="CB1645">
            <v>1.9811353636507252</v>
          </cell>
          <cell r="CE1645" t="str">
            <v>23EU</v>
          </cell>
          <cell r="CF1645" t="str">
            <v>23EU</v>
          </cell>
          <cell r="CG1645" t="str">
            <v>23EU</v>
          </cell>
        </row>
        <row r="1646">
          <cell r="O1646">
            <v>23</v>
          </cell>
          <cell r="AN1646">
            <v>0</v>
          </cell>
          <cell r="AO1646">
            <v>161.54499999999999</v>
          </cell>
          <cell r="AP1646">
            <v>161.54499999999999</v>
          </cell>
          <cell r="AZ1646">
            <v>161.54499999999999</v>
          </cell>
          <cell r="BT1646">
            <v>0</v>
          </cell>
          <cell r="BX1646">
            <v>116.1900002117702</v>
          </cell>
          <cell r="CB1646">
            <v>116.1900002117702</v>
          </cell>
          <cell r="CE1646" t="str">
            <v>23EU</v>
          </cell>
          <cell r="CF1646" t="str">
            <v>23LOCAL</v>
          </cell>
          <cell r="CG1646" t="str">
            <v>23LOCAL</v>
          </cell>
        </row>
        <row r="1647">
          <cell r="O1647">
            <v>23</v>
          </cell>
          <cell r="AN1647">
            <v>330.67093324126711</v>
          </cell>
          <cell r="AO1647">
            <v>0</v>
          </cell>
          <cell r="AP1647">
            <v>0</v>
          </cell>
          <cell r="AZ1647">
            <v>0</v>
          </cell>
          <cell r="BT1647">
            <v>251.96850393700785</v>
          </cell>
          <cell r="BX1647">
            <v>0</v>
          </cell>
          <cell r="CB1647">
            <v>0</v>
          </cell>
          <cell r="CE1647" t="str">
            <v>23LOCAL</v>
          </cell>
          <cell r="CF1647" t="str">
            <v>23LOCAL</v>
          </cell>
          <cell r="CG1647" t="str">
            <v>23LOCAL</v>
          </cell>
        </row>
        <row r="1648">
          <cell r="O1648">
            <v>23</v>
          </cell>
          <cell r="AN1648">
            <v>0</v>
          </cell>
          <cell r="AO1648">
            <v>0</v>
          </cell>
          <cell r="AP1648">
            <v>0</v>
          </cell>
          <cell r="AZ1648">
            <v>0</v>
          </cell>
          <cell r="BT1648">
            <v>0</v>
          </cell>
          <cell r="BX1648">
            <v>0</v>
          </cell>
          <cell r="CB1648">
            <v>0</v>
          </cell>
          <cell r="CE1648" t="str">
            <v>23LOCAL</v>
          </cell>
          <cell r="CF1648" t="str">
            <v>23LOCAL</v>
          </cell>
          <cell r="CG1648" t="str">
            <v>23LOCAL</v>
          </cell>
        </row>
        <row r="1649">
          <cell r="O1649">
            <v>23</v>
          </cell>
          <cell r="AN1649">
            <v>9.8999999999999986</v>
          </cell>
          <cell r="AO1649">
            <v>9.8999999999999986</v>
          </cell>
          <cell r="AP1649">
            <v>9.8999999999999986</v>
          </cell>
          <cell r="AZ1649">
            <v>9.8999999999999986</v>
          </cell>
          <cell r="BT1649">
            <v>4.5</v>
          </cell>
          <cell r="BX1649">
            <v>4.5</v>
          </cell>
          <cell r="CB1649">
            <v>4.5</v>
          </cell>
          <cell r="CE1649" t="str">
            <v>23LOCAL</v>
          </cell>
          <cell r="CF1649" t="str">
            <v>23LOCAL</v>
          </cell>
          <cell r="CG1649" t="str">
            <v>23LOCAL</v>
          </cell>
        </row>
        <row r="1650">
          <cell r="O1650">
            <v>23</v>
          </cell>
          <cell r="AN1650">
            <v>6.82</v>
          </cell>
          <cell r="AO1650">
            <v>6.82</v>
          </cell>
          <cell r="AP1650">
            <v>6.82</v>
          </cell>
          <cell r="AZ1650">
            <v>6.82</v>
          </cell>
          <cell r="BT1650">
            <v>3.1</v>
          </cell>
          <cell r="BX1650">
            <v>3.1</v>
          </cell>
          <cell r="CB1650">
            <v>3.1</v>
          </cell>
          <cell r="CE1650" t="str">
            <v>23LOCAL</v>
          </cell>
          <cell r="CF1650" t="str">
            <v>23LOCAL</v>
          </cell>
          <cell r="CG1650" t="str">
            <v>23LOCAL</v>
          </cell>
        </row>
        <row r="1651">
          <cell r="O1651">
            <v>23</v>
          </cell>
          <cell r="AN1651">
            <v>9.68</v>
          </cell>
          <cell r="AO1651">
            <v>9.68</v>
          </cell>
          <cell r="AP1651">
            <v>9.68</v>
          </cell>
          <cell r="AZ1651">
            <v>9.68</v>
          </cell>
          <cell r="BT1651">
            <v>4.4000000000000004</v>
          </cell>
          <cell r="BX1651">
            <v>4.4000000000000004</v>
          </cell>
          <cell r="CB1651">
            <v>4.4000000000000004</v>
          </cell>
          <cell r="CE1651" t="str">
            <v>23LOCAL</v>
          </cell>
          <cell r="CF1651" t="str">
            <v>23LOCAL</v>
          </cell>
          <cell r="CG1651" t="str">
            <v>23LOCAL</v>
          </cell>
        </row>
        <row r="1652">
          <cell r="O1652">
            <v>23</v>
          </cell>
          <cell r="AN1652">
            <v>0</v>
          </cell>
          <cell r="AO1652">
            <v>4.9435807672405945</v>
          </cell>
          <cell r="AP1652">
            <v>4.9435807672405945</v>
          </cell>
          <cell r="AZ1652">
            <v>5.34</v>
          </cell>
          <cell r="BT1652">
            <v>0</v>
          </cell>
          <cell r="BX1652">
            <v>4.9435807672405945</v>
          </cell>
          <cell r="CB1652">
            <v>4.9435807672405945</v>
          </cell>
          <cell r="CE1652" t="str">
            <v>23EU</v>
          </cell>
          <cell r="CF1652" t="str">
            <v>23EU</v>
          </cell>
          <cell r="CG1652" t="str">
            <v>23EU</v>
          </cell>
        </row>
        <row r="1653">
          <cell r="O1653">
            <v>23</v>
          </cell>
          <cell r="AN1653">
            <v>6.3599999758320012</v>
          </cell>
          <cell r="AO1653">
            <v>0</v>
          </cell>
          <cell r="AP1653">
            <v>0</v>
          </cell>
          <cell r="AZ1653">
            <v>0</v>
          </cell>
          <cell r="BT1653">
            <v>6.3599999758320012</v>
          </cell>
          <cell r="BX1653">
            <v>0</v>
          </cell>
          <cell r="CB1653">
            <v>0</v>
          </cell>
          <cell r="CE1653" t="str">
            <v>23EU</v>
          </cell>
          <cell r="CF1653" t="str">
            <v>23EU</v>
          </cell>
          <cell r="CG1653" t="str">
            <v>23EU</v>
          </cell>
        </row>
        <row r="1654">
          <cell r="O1654">
            <v>23</v>
          </cell>
          <cell r="AN1654">
            <v>4.6936244363126995</v>
          </cell>
          <cell r="AO1654">
            <v>0</v>
          </cell>
          <cell r="AP1654">
            <v>0</v>
          </cell>
          <cell r="AZ1654">
            <v>0</v>
          </cell>
          <cell r="BT1654">
            <v>4.6936244363126995</v>
          </cell>
          <cell r="BX1654">
            <v>0</v>
          </cell>
          <cell r="CB1654">
            <v>0</v>
          </cell>
          <cell r="CE1654" t="str">
            <v>23EU</v>
          </cell>
          <cell r="CF1654" t="str">
            <v>23EU</v>
          </cell>
          <cell r="CG1654" t="str">
            <v>23EU</v>
          </cell>
        </row>
        <row r="1655">
          <cell r="O1655">
            <v>23</v>
          </cell>
          <cell r="AN1655">
            <v>0</v>
          </cell>
          <cell r="AO1655">
            <v>19.959799924152762</v>
          </cell>
          <cell r="AP1655">
            <v>0</v>
          </cell>
          <cell r="AZ1655">
            <v>21.56035</v>
          </cell>
          <cell r="BT1655">
            <v>0</v>
          </cell>
          <cell r="BX1655">
            <v>35.880000000000003</v>
          </cell>
          <cell r="CB1655">
            <v>0</v>
          </cell>
          <cell r="CE1655" t="str">
            <v>23EU</v>
          </cell>
          <cell r="CF1655" t="str">
            <v>23LOCAL</v>
          </cell>
          <cell r="CG1655" t="str">
            <v>23EU</v>
          </cell>
        </row>
        <row r="1656">
          <cell r="O1656">
            <v>23</v>
          </cell>
          <cell r="AN1656">
            <v>0</v>
          </cell>
          <cell r="AO1656">
            <v>0</v>
          </cell>
          <cell r="AP1656">
            <v>19.959799924152762</v>
          </cell>
          <cell r="AZ1656">
            <v>0</v>
          </cell>
          <cell r="BT1656">
            <v>0</v>
          </cell>
          <cell r="BX1656">
            <v>0</v>
          </cell>
          <cell r="CB1656">
            <v>19.959799924152762</v>
          </cell>
          <cell r="CE1656" t="str">
            <v>23EU</v>
          </cell>
          <cell r="CF1656" t="str">
            <v>23EU</v>
          </cell>
          <cell r="CG1656" t="str">
            <v>23EU</v>
          </cell>
        </row>
        <row r="1657">
          <cell r="O1657">
            <v>23</v>
          </cell>
          <cell r="AN1657">
            <v>69.75859973491734</v>
          </cell>
          <cell r="AO1657">
            <v>0</v>
          </cell>
          <cell r="AP1657">
            <v>0</v>
          </cell>
          <cell r="AZ1657">
            <v>0</v>
          </cell>
          <cell r="BT1657">
            <v>69.75859973491734</v>
          </cell>
          <cell r="BX1657">
            <v>0</v>
          </cell>
          <cell r="CB1657">
            <v>0</v>
          </cell>
          <cell r="CE1657" t="str">
            <v>23EU</v>
          </cell>
          <cell r="CF1657" t="str">
            <v>23EU</v>
          </cell>
          <cell r="CG1657" t="str">
            <v>23EU</v>
          </cell>
        </row>
        <row r="1658">
          <cell r="O1658">
            <v>23</v>
          </cell>
          <cell r="AN1658">
            <v>0</v>
          </cell>
          <cell r="AO1658">
            <v>0</v>
          </cell>
          <cell r="AP1658">
            <v>0</v>
          </cell>
          <cell r="AZ1658">
            <v>0</v>
          </cell>
          <cell r="BT1658">
            <v>0</v>
          </cell>
          <cell r="BX1658">
            <v>0</v>
          </cell>
          <cell r="CB1658">
            <v>0</v>
          </cell>
          <cell r="CE1658" t="str">
            <v>23EU</v>
          </cell>
          <cell r="CF1658" t="str">
            <v>23EU</v>
          </cell>
          <cell r="CG1658" t="str">
            <v>23EU</v>
          </cell>
        </row>
        <row r="1659">
          <cell r="O1659">
            <v>23</v>
          </cell>
          <cell r="AN1659">
            <v>49.087720337484136</v>
          </cell>
          <cell r="AO1659">
            <v>0</v>
          </cell>
          <cell r="AP1659">
            <v>0</v>
          </cell>
          <cell r="AZ1659">
            <v>0</v>
          </cell>
          <cell r="BT1659">
            <v>49.087720337484136</v>
          </cell>
          <cell r="BX1659">
            <v>0</v>
          </cell>
          <cell r="CB1659">
            <v>0</v>
          </cell>
          <cell r="CE1659" t="str">
            <v>23EU</v>
          </cell>
          <cell r="CF1659" t="str">
            <v>23LOCAL</v>
          </cell>
          <cell r="CG1659" t="str">
            <v>23EU</v>
          </cell>
        </row>
        <row r="1660">
          <cell r="O1660">
            <v>23</v>
          </cell>
          <cell r="AN1660">
            <v>0</v>
          </cell>
          <cell r="AO1660">
            <v>0</v>
          </cell>
          <cell r="AP1660">
            <v>58.297222485894146</v>
          </cell>
          <cell r="AZ1660">
            <v>0</v>
          </cell>
          <cell r="BT1660">
            <v>0</v>
          </cell>
          <cell r="BX1660">
            <v>0</v>
          </cell>
          <cell r="CB1660">
            <v>58.297222485894146</v>
          </cell>
          <cell r="CE1660" t="str">
            <v>23EU</v>
          </cell>
          <cell r="CF1660" t="str">
            <v>23LOCAL</v>
          </cell>
          <cell r="CG1660" t="str">
            <v>23EU</v>
          </cell>
        </row>
        <row r="1661">
          <cell r="O1661">
            <v>23</v>
          </cell>
          <cell r="AN1661">
            <v>0</v>
          </cell>
          <cell r="AO1661">
            <v>46</v>
          </cell>
          <cell r="AP1661">
            <v>0</v>
          </cell>
          <cell r="AZ1661">
            <v>46</v>
          </cell>
          <cell r="BT1661">
            <v>0</v>
          </cell>
          <cell r="BX1661">
            <v>64.934160648863852</v>
          </cell>
          <cell r="CB1661">
            <v>0</v>
          </cell>
          <cell r="CE1661" t="str">
            <v>23EU</v>
          </cell>
          <cell r="CF1661" t="str">
            <v>23LOCAL</v>
          </cell>
          <cell r="CG1661" t="str">
            <v>23EU</v>
          </cell>
        </row>
        <row r="1662">
          <cell r="O1662">
            <v>23</v>
          </cell>
          <cell r="AN1662">
            <v>22.7</v>
          </cell>
          <cell r="AO1662">
            <v>22.7</v>
          </cell>
          <cell r="AP1662">
            <v>22.7</v>
          </cell>
          <cell r="AZ1662">
            <v>22.7</v>
          </cell>
          <cell r="BT1662">
            <v>21.988492688826181</v>
          </cell>
          <cell r="BX1662">
            <v>17.415980178310498</v>
          </cell>
          <cell r="CB1662">
            <v>18.474972272451772</v>
          </cell>
          <cell r="CE1662" t="str">
            <v>23LOCAL</v>
          </cell>
          <cell r="CF1662" t="str">
            <v>23LOCAL</v>
          </cell>
          <cell r="CG1662" t="str">
            <v>23LOCAL</v>
          </cell>
        </row>
        <row r="1663">
          <cell r="O1663">
            <v>23</v>
          </cell>
          <cell r="AN1663">
            <v>0</v>
          </cell>
          <cell r="AO1663">
            <v>26.334</v>
          </cell>
          <cell r="AP1663">
            <v>0</v>
          </cell>
          <cell r="AZ1663">
            <v>26.334</v>
          </cell>
          <cell r="BT1663">
            <v>0</v>
          </cell>
          <cell r="BX1663">
            <v>25.213866711844307</v>
          </cell>
          <cell r="CB1663">
            <v>0</v>
          </cell>
          <cell r="CE1663" t="str">
            <v>23EU</v>
          </cell>
          <cell r="CF1663" t="str">
            <v>23LOCAL</v>
          </cell>
          <cell r="CG1663" t="str">
            <v>23EU</v>
          </cell>
        </row>
        <row r="1664">
          <cell r="O1664">
            <v>23</v>
          </cell>
          <cell r="AN1664">
            <v>29.414305565081538</v>
          </cell>
          <cell r="AO1664">
            <v>0</v>
          </cell>
          <cell r="AP1664">
            <v>29.414305565081538</v>
          </cell>
          <cell r="AZ1664">
            <v>0</v>
          </cell>
          <cell r="BT1664">
            <v>27.936723068126469</v>
          </cell>
          <cell r="BX1664">
            <v>0</v>
          </cell>
          <cell r="CB1664">
            <v>27.936723068126469</v>
          </cell>
          <cell r="CE1664" t="str">
            <v>23LOCAL</v>
          </cell>
          <cell r="CF1664" t="str">
            <v>23LOCAL</v>
          </cell>
          <cell r="CG1664" t="str">
            <v>23LOCAL</v>
          </cell>
        </row>
        <row r="1665">
          <cell r="O1665">
            <v>23</v>
          </cell>
          <cell r="AN1665">
            <v>5.5860611141441474</v>
          </cell>
          <cell r="AO1665">
            <v>5.5860611141441474</v>
          </cell>
          <cell r="AP1665">
            <v>5.5860611141441474</v>
          </cell>
          <cell r="AZ1665">
            <v>6.0339999999999998</v>
          </cell>
          <cell r="BT1665">
            <v>5.5860611141441474</v>
          </cell>
          <cell r="BX1665">
            <v>5.5860611141441474</v>
          </cell>
          <cell r="CB1665">
            <v>5.5860611141441474</v>
          </cell>
          <cell r="CE1665" t="str">
            <v>23EU</v>
          </cell>
          <cell r="CF1665" t="str">
            <v>23EU</v>
          </cell>
          <cell r="CG1665" t="str">
            <v>23EU</v>
          </cell>
        </row>
        <row r="1666">
          <cell r="O1666">
            <v>23</v>
          </cell>
          <cell r="AN1666">
            <v>67.025327256220805</v>
          </cell>
          <cell r="AO1666">
            <v>0</v>
          </cell>
          <cell r="AP1666">
            <v>0</v>
          </cell>
          <cell r="AZ1666">
            <v>0</v>
          </cell>
          <cell r="BT1666">
            <v>67.025327256220805</v>
          </cell>
          <cell r="BX1666">
            <v>0</v>
          </cell>
          <cell r="CB1666">
            <v>0</v>
          </cell>
          <cell r="CE1666" t="str">
            <v>23EU</v>
          </cell>
          <cell r="CF1666" t="str">
            <v>23EU</v>
          </cell>
          <cell r="CG1666" t="str">
            <v>23EU</v>
          </cell>
        </row>
        <row r="1667">
          <cell r="O1667">
            <v>23</v>
          </cell>
          <cell r="AN1667">
            <v>0</v>
          </cell>
          <cell r="AO1667">
            <v>67.025327256220805</v>
          </cell>
          <cell r="AP1667">
            <v>0</v>
          </cell>
          <cell r="AZ1667">
            <v>72.400000000000006</v>
          </cell>
          <cell r="BT1667">
            <v>0</v>
          </cell>
          <cell r="BX1667">
            <v>77.904949069270032</v>
          </cell>
          <cell r="CB1667">
            <v>0</v>
          </cell>
          <cell r="CE1667" t="str">
            <v>23EU</v>
          </cell>
          <cell r="CF1667" t="str">
            <v>23LOCAL</v>
          </cell>
          <cell r="CG1667" t="str">
            <v>23EU</v>
          </cell>
        </row>
        <row r="1668">
          <cell r="O1668">
            <v>23</v>
          </cell>
          <cell r="AN1668">
            <v>0</v>
          </cell>
          <cell r="AO1668">
            <v>0</v>
          </cell>
          <cell r="AP1668">
            <v>67.025327256220805</v>
          </cell>
          <cell r="AZ1668">
            <v>0</v>
          </cell>
          <cell r="BT1668">
            <v>0</v>
          </cell>
          <cell r="BX1668">
            <v>0</v>
          </cell>
          <cell r="CB1668">
            <v>67.025327256220805</v>
          </cell>
          <cell r="CE1668" t="str">
            <v>23EU</v>
          </cell>
          <cell r="CF1668" t="str">
            <v>23EU</v>
          </cell>
          <cell r="CG1668" t="str">
            <v>23EU</v>
          </cell>
        </row>
        <row r="1669">
          <cell r="O1669">
            <v>23</v>
          </cell>
          <cell r="AN1669">
            <v>0</v>
          </cell>
          <cell r="AO1669">
            <v>0</v>
          </cell>
          <cell r="AP1669">
            <v>49.53211446740859</v>
          </cell>
          <cell r="AZ1669">
            <v>0</v>
          </cell>
          <cell r="BT1669">
            <v>0</v>
          </cell>
          <cell r="BX1669">
            <v>0</v>
          </cell>
          <cell r="CB1669">
            <v>62.68452966281793</v>
          </cell>
          <cell r="CE1669" t="str">
            <v>23EU</v>
          </cell>
          <cell r="CF1669" t="str">
            <v>23EU</v>
          </cell>
          <cell r="CG1669" t="str">
            <v>23LOCAL</v>
          </cell>
        </row>
        <row r="1670">
          <cell r="O1670">
            <v>23</v>
          </cell>
          <cell r="AN1670">
            <v>0</v>
          </cell>
          <cell r="AO1670">
            <v>47.27</v>
          </cell>
          <cell r="AP1670">
            <v>0</v>
          </cell>
          <cell r="AZ1670">
            <v>47.27</v>
          </cell>
          <cell r="BT1670">
            <v>0</v>
          </cell>
          <cell r="BX1670">
            <v>47.27</v>
          </cell>
          <cell r="CB1670">
            <v>0</v>
          </cell>
          <cell r="CE1670" t="str">
            <v>23EU</v>
          </cell>
          <cell r="CF1670" t="str">
            <v>23LOCAL</v>
          </cell>
          <cell r="CG1670" t="str">
            <v>23EU</v>
          </cell>
        </row>
        <row r="1671">
          <cell r="O1671">
            <v>23</v>
          </cell>
          <cell r="AN1671">
            <v>78.63</v>
          </cell>
          <cell r="AO1671">
            <v>0</v>
          </cell>
          <cell r="AP1671">
            <v>0</v>
          </cell>
          <cell r="AZ1671">
            <v>0</v>
          </cell>
          <cell r="BT1671">
            <v>78.63</v>
          </cell>
          <cell r="BX1671">
            <v>0</v>
          </cell>
          <cell r="CB1671">
            <v>0</v>
          </cell>
          <cell r="CE1671" t="str">
            <v>23LOCAL</v>
          </cell>
          <cell r="CF1671" t="str">
            <v>23EU</v>
          </cell>
          <cell r="CG1671" t="str">
            <v>23EU</v>
          </cell>
        </row>
        <row r="1672">
          <cell r="O1672">
            <v>23</v>
          </cell>
          <cell r="AN1672">
            <v>7.9349999999999996</v>
          </cell>
          <cell r="AO1672">
            <v>7.9349999999999996</v>
          </cell>
          <cell r="AP1672">
            <v>0</v>
          </cell>
          <cell r="AZ1672">
            <v>7.9349999999999996</v>
          </cell>
          <cell r="BT1672">
            <v>8.85</v>
          </cell>
          <cell r="BX1672">
            <v>7.02</v>
          </cell>
          <cell r="CB1672">
            <v>0</v>
          </cell>
          <cell r="CE1672" t="str">
            <v>23LOCAL</v>
          </cell>
          <cell r="CF1672" t="str">
            <v>23LOCAL</v>
          </cell>
          <cell r="CG1672" t="str">
            <v>23EU</v>
          </cell>
        </row>
        <row r="1673">
          <cell r="O1673">
            <v>23</v>
          </cell>
          <cell r="AN1673">
            <v>8.1</v>
          </cell>
          <cell r="AO1673">
            <v>8.1</v>
          </cell>
          <cell r="AP1673">
            <v>0</v>
          </cell>
          <cell r="AZ1673">
            <v>8.1</v>
          </cell>
          <cell r="BT1673">
            <v>9.0399999999999991</v>
          </cell>
          <cell r="BX1673">
            <v>7.16</v>
          </cell>
          <cell r="CB1673">
            <v>0</v>
          </cell>
          <cell r="CE1673" t="str">
            <v>23LOCAL</v>
          </cell>
          <cell r="CF1673" t="str">
            <v>23LOCAL</v>
          </cell>
          <cell r="CG1673" t="str">
            <v>23EU</v>
          </cell>
        </row>
        <row r="1674">
          <cell r="O1674">
            <v>23</v>
          </cell>
          <cell r="AN1674">
            <v>0</v>
          </cell>
          <cell r="AO1674">
            <v>0</v>
          </cell>
          <cell r="AP1674">
            <v>4.1605723370429253</v>
          </cell>
          <cell r="AZ1674">
            <v>0</v>
          </cell>
          <cell r="BT1674">
            <v>0</v>
          </cell>
          <cell r="BX1674">
            <v>0</v>
          </cell>
          <cell r="CB1674">
            <v>5.265341947945144</v>
          </cell>
          <cell r="CE1674" t="str">
            <v>23EU</v>
          </cell>
          <cell r="CF1674" t="str">
            <v>23EU</v>
          </cell>
          <cell r="CG1674" t="str">
            <v>23LOCAL</v>
          </cell>
        </row>
        <row r="1675">
          <cell r="O1675">
            <v>23</v>
          </cell>
          <cell r="AN1675">
            <v>0</v>
          </cell>
          <cell r="AO1675">
            <v>0</v>
          </cell>
          <cell r="AP1675">
            <v>4.2419713831478534</v>
          </cell>
          <cell r="AZ1675">
            <v>0</v>
          </cell>
          <cell r="BT1675">
            <v>0</v>
          </cell>
          <cell r="BX1675">
            <v>0</v>
          </cell>
          <cell r="CB1675">
            <v>5.3683551339347471</v>
          </cell>
          <cell r="CE1675" t="str">
            <v>23EU</v>
          </cell>
          <cell r="CF1675" t="str">
            <v>23EU</v>
          </cell>
          <cell r="CG1675" t="str">
            <v>23LOCAL</v>
          </cell>
        </row>
        <row r="1676">
          <cell r="O1676">
            <v>23</v>
          </cell>
          <cell r="AN1676">
            <v>10.26</v>
          </cell>
          <cell r="AO1676">
            <v>0</v>
          </cell>
          <cell r="AP1676">
            <v>0</v>
          </cell>
          <cell r="AZ1676">
            <v>0</v>
          </cell>
          <cell r="BT1676">
            <v>10.26</v>
          </cell>
          <cell r="BX1676">
            <v>0</v>
          </cell>
          <cell r="CB1676">
            <v>0</v>
          </cell>
          <cell r="CE1676" t="str">
            <v>23LOCAL</v>
          </cell>
          <cell r="CF1676" t="str">
            <v>23EU</v>
          </cell>
          <cell r="CG1676" t="str">
            <v>23EU</v>
          </cell>
        </row>
        <row r="1677">
          <cell r="O1677">
            <v>23</v>
          </cell>
          <cell r="AN1677">
            <v>0</v>
          </cell>
          <cell r="AO1677">
            <v>0</v>
          </cell>
          <cell r="AP1677">
            <v>5.6873608903020667</v>
          </cell>
          <cell r="AZ1677">
            <v>0</v>
          </cell>
          <cell r="BT1677">
            <v>0</v>
          </cell>
          <cell r="BX1677">
            <v>0</v>
          </cell>
          <cell r="CB1677">
            <v>7.1975433769513026</v>
          </cell>
          <cell r="CE1677" t="str">
            <v>23EU</v>
          </cell>
          <cell r="CF1677" t="str">
            <v>23EU</v>
          </cell>
          <cell r="CG1677" t="str">
            <v>23LOCAL</v>
          </cell>
        </row>
        <row r="1678">
          <cell r="O1678">
            <v>23</v>
          </cell>
          <cell r="AN1678">
            <v>0</v>
          </cell>
          <cell r="AO1678">
            <v>3.36</v>
          </cell>
          <cell r="AP1678">
            <v>0</v>
          </cell>
          <cell r="AZ1678">
            <v>3.36</v>
          </cell>
          <cell r="BT1678">
            <v>0</v>
          </cell>
          <cell r="BX1678">
            <v>3.36</v>
          </cell>
          <cell r="CB1678">
            <v>0</v>
          </cell>
          <cell r="CE1678" t="str">
            <v>23EU</v>
          </cell>
          <cell r="CF1678" t="str">
            <v>23LOCAL</v>
          </cell>
          <cell r="CG1678" t="str">
            <v>23EU</v>
          </cell>
        </row>
        <row r="1679">
          <cell r="O1679">
            <v>23</v>
          </cell>
          <cell r="AN1679">
            <v>61.63</v>
          </cell>
          <cell r="AO1679">
            <v>0</v>
          </cell>
          <cell r="AP1679">
            <v>0</v>
          </cell>
          <cell r="AZ1679">
            <v>0</v>
          </cell>
          <cell r="BT1679">
            <v>61.63</v>
          </cell>
          <cell r="BX1679">
            <v>0</v>
          </cell>
          <cell r="CB1679">
            <v>0</v>
          </cell>
          <cell r="CE1679" t="str">
            <v>23LOCAL</v>
          </cell>
          <cell r="CF1679" t="str">
            <v>23EU</v>
          </cell>
          <cell r="CG1679" t="str">
            <v>23EU</v>
          </cell>
        </row>
        <row r="1680">
          <cell r="O1680">
            <v>23</v>
          </cell>
          <cell r="AN1680">
            <v>0</v>
          </cell>
          <cell r="AO1680">
            <v>50.11</v>
          </cell>
          <cell r="AP1680">
            <v>0</v>
          </cell>
          <cell r="AZ1680">
            <v>50.11</v>
          </cell>
          <cell r="BT1680">
            <v>0</v>
          </cell>
          <cell r="BX1680">
            <v>50.11</v>
          </cell>
          <cell r="CB1680">
            <v>0</v>
          </cell>
          <cell r="CE1680" t="str">
            <v>23EU</v>
          </cell>
          <cell r="CF1680" t="str">
            <v>23LOCAL</v>
          </cell>
          <cell r="CG1680" t="str">
            <v>23EU</v>
          </cell>
        </row>
        <row r="1681">
          <cell r="O1681">
            <v>23</v>
          </cell>
          <cell r="AN1681">
            <v>0</v>
          </cell>
          <cell r="AO1681">
            <v>0</v>
          </cell>
          <cell r="AP1681">
            <v>48.381319554848965</v>
          </cell>
          <cell r="AZ1681">
            <v>0</v>
          </cell>
          <cell r="BT1681">
            <v>0</v>
          </cell>
          <cell r="BX1681">
            <v>0</v>
          </cell>
          <cell r="CB1681">
            <v>61.228160626127021</v>
          </cell>
          <cell r="CE1681" t="str">
            <v>23EU</v>
          </cell>
          <cell r="CF1681" t="str">
            <v>23EU</v>
          </cell>
          <cell r="CG1681" t="str">
            <v>23LOCAL</v>
          </cell>
        </row>
        <row r="1682">
          <cell r="O1682">
            <v>23</v>
          </cell>
          <cell r="AN1682">
            <v>0</v>
          </cell>
          <cell r="AO1682">
            <v>21.22</v>
          </cell>
          <cell r="AP1682">
            <v>0</v>
          </cell>
          <cell r="AZ1682">
            <v>21.22</v>
          </cell>
          <cell r="BT1682">
            <v>0</v>
          </cell>
          <cell r="BX1682">
            <v>21.22</v>
          </cell>
          <cell r="CB1682">
            <v>0</v>
          </cell>
          <cell r="CE1682" t="str">
            <v>23EU</v>
          </cell>
          <cell r="CF1682" t="str">
            <v>23LOCAL</v>
          </cell>
          <cell r="CG1682" t="str">
            <v>23EU</v>
          </cell>
        </row>
        <row r="1683">
          <cell r="O1683">
            <v>23</v>
          </cell>
          <cell r="AN1683">
            <v>0</v>
          </cell>
          <cell r="AO1683">
            <v>0</v>
          </cell>
          <cell r="AP1683">
            <v>30.112877583465817</v>
          </cell>
          <cell r="AZ1683">
            <v>0</v>
          </cell>
          <cell r="BT1683">
            <v>0</v>
          </cell>
          <cell r="BX1683">
            <v>0</v>
          </cell>
          <cell r="CB1683">
            <v>38.108842887286578</v>
          </cell>
          <cell r="CE1683" t="str">
            <v>23EU</v>
          </cell>
          <cell r="CF1683" t="str">
            <v>23EU</v>
          </cell>
          <cell r="CG1683" t="str">
            <v>23LOCAL</v>
          </cell>
        </row>
        <row r="1684">
          <cell r="O1684">
            <v>23</v>
          </cell>
          <cell r="AN1684">
            <v>53.76</v>
          </cell>
          <cell r="AO1684">
            <v>0</v>
          </cell>
          <cell r="AP1684">
            <v>0</v>
          </cell>
          <cell r="AZ1684">
            <v>0</v>
          </cell>
          <cell r="BT1684">
            <v>53.76</v>
          </cell>
          <cell r="BX1684">
            <v>0</v>
          </cell>
          <cell r="CB1684">
            <v>0</v>
          </cell>
          <cell r="CE1684" t="str">
            <v>23LOCAL</v>
          </cell>
          <cell r="CF1684" t="str">
            <v>23EU</v>
          </cell>
          <cell r="CG1684" t="str">
            <v>23EU</v>
          </cell>
        </row>
        <row r="1685">
          <cell r="O1685">
            <v>23</v>
          </cell>
          <cell r="AN1685">
            <v>0</v>
          </cell>
          <cell r="AO1685">
            <v>13.9</v>
          </cell>
          <cell r="AP1685">
            <v>0</v>
          </cell>
          <cell r="AZ1685">
            <v>13.9</v>
          </cell>
          <cell r="BT1685">
            <v>0</v>
          </cell>
          <cell r="BX1685">
            <v>13.9</v>
          </cell>
          <cell r="CB1685">
            <v>0</v>
          </cell>
          <cell r="CE1685" t="str">
            <v>23EU</v>
          </cell>
          <cell r="CF1685" t="str">
            <v>23LOCAL</v>
          </cell>
          <cell r="CG1685" t="str">
            <v>23EU</v>
          </cell>
        </row>
        <row r="1686">
          <cell r="O1686">
            <v>23</v>
          </cell>
          <cell r="AN1686">
            <v>0</v>
          </cell>
          <cell r="AO1686">
            <v>0</v>
          </cell>
          <cell r="AP1686">
            <v>10.884737678855327</v>
          </cell>
          <cell r="AZ1686">
            <v>0</v>
          </cell>
          <cell r="BT1686">
            <v>0</v>
          </cell>
          <cell r="BX1686">
            <v>0</v>
          </cell>
          <cell r="CB1686">
            <v>13.77499566167613</v>
          </cell>
          <cell r="CE1686" t="str">
            <v>23EU</v>
          </cell>
          <cell r="CF1686" t="str">
            <v>23EU</v>
          </cell>
          <cell r="CG1686" t="str">
            <v>23LOCAL</v>
          </cell>
        </row>
        <row r="1687">
          <cell r="O1687">
            <v>23</v>
          </cell>
          <cell r="AN1687">
            <v>13.21</v>
          </cell>
          <cell r="AO1687">
            <v>0</v>
          </cell>
          <cell r="AP1687">
            <v>0</v>
          </cell>
          <cell r="AZ1687">
            <v>0</v>
          </cell>
          <cell r="BT1687">
            <v>13.21</v>
          </cell>
          <cell r="BX1687">
            <v>0</v>
          </cell>
          <cell r="CB1687">
            <v>0</v>
          </cell>
          <cell r="CE1687" t="str">
            <v>23LOCAL</v>
          </cell>
          <cell r="CF1687" t="str">
            <v>23EU</v>
          </cell>
          <cell r="CG1687" t="str">
            <v>23EU</v>
          </cell>
        </row>
        <row r="1688">
          <cell r="O1688">
            <v>23</v>
          </cell>
          <cell r="AN1688">
            <v>0</v>
          </cell>
          <cell r="AO1688">
            <v>0</v>
          </cell>
          <cell r="AP1688">
            <v>6.289586645468999</v>
          </cell>
          <cell r="AZ1688">
            <v>0</v>
          </cell>
          <cell r="BT1688">
            <v>0</v>
          </cell>
          <cell r="BX1688">
            <v>0</v>
          </cell>
          <cell r="CB1688">
            <v>7.9596799951712578</v>
          </cell>
          <cell r="CE1688" t="str">
            <v>23EU</v>
          </cell>
          <cell r="CF1688" t="str">
            <v>23EU</v>
          </cell>
          <cell r="CG1688" t="str">
            <v>23LOCAL</v>
          </cell>
        </row>
        <row r="1689">
          <cell r="O1689">
            <v>23</v>
          </cell>
          <cell r="AN1689">
            <v>0</v>
          </cell>
          <cell r="AO1689">
            <v>9.3000000000000007</v>
          </cell>
          <cell r="AP1689">
            <v>0</v>
          </cell>
          <cell r="AZ1689">
            <v>9.3000000000000007</v>
          </cell>
          <cell r="BT1689">
            <v>0</v>
          </cell>
          <cell r="BX1689">
            <v>9.3000000000000007</v>
          </cell>
          <cell r="CB1689">
            <v>0</v>
          </cell>
          <cell r="CE1689" t="str">
            <v>23EU</v>
          </cell>
          <cell r="CF1689" t="str">
            <v>23LOCAL</v>
          </cell>
          <cell r="CG1689" t="str">
            <v>23EU</v>
          </cell>
        </row>
        <row r="1690">
          <cell r="O1690">
            <v>23</v>
          </cell>
          <cell r="AN1690">
            <v>12.65</v>
          </cell>
          <cell r="AO1690">
            <v>0</v>
          </cell>
          <cell r="AP1690">
            <v>0</v>
          </cell>
          <cell r="AZ1690">
            <v>0</v>
          </cell>
          <cell r="BT1690">
            <v>12.65</v>
          </cell>
          <cell r="BX1690">
            <v>0</v>
          </cell>
          <cell r="CB1690">
            <v>0</v>
          </cell>
          <cell r="CE1690" t="str">
            <v>23LOCAL</v>
          </cell>
          <cell r="CF1690" t="str">
            <v>23EU</v>
          </cell>
          <cell r="CG1690" t="str">
            <v>23EU</v>
          </cell>
        </row>
        <row r="1691">
          <cell r="O1691">
            <v>23</v>
          </cell>
          <cell r="AN1691">
            <v>15.19</v>
          </cell>
          <cell r="AO1691">
            <v>0</v>
          </cell>
          <cell r="AP1691">
            <v>0</v>
          </cell>
          <cell r="AZ1691">
            <v>0</v>
          </cell>
          <cell r="BT1691">
            <v>15.19</v>
          </cell>
          <cell r="BX1691">
            <v>0</v>
          </cell>
          <cell r="CB1691">
            <v>0</v>
          </cell>
          <cell r="CE1691" t="str">
            <v>23LOCAL</v>
          </cell>
          <cell r="CF1691" t="str">
            <v>23EU</v>
          </cell>
          <cell r="CG1691" t="str">
            <v>23EU</v>
          </cell>
        </row>
        <row r="1692">
          <cell r="O1692">
            <v>23</v>
          </cell>
          <cell r="AN1692">
            <v>0</v>
          </cell>
          <cell r="AO1692">
            <v>0</v>
          </cell>
          <cell r="AP1692">
            <v>6.2360890302066778</v>
          </cell>
          <cell r="AZ1692">
            <v>0</v>
          </cell>
          <cell r="BT1692">
            <v>0</v>
          </cell>
          <cell r="BX1692">
            <v>0</v>
          </cell>
          <cell r="CB1692">
            <v>7.8919769930511379</v>
          </cell>
          <cell r="CE1692" t="str">
            <v>23EU</v>
          </cell>
          <cell r="CF1692" t="str">
            <v>23EU</v>
          </cell>
          <cell r="CG1692" t="str">
            <v>23LOCAL</v>
          </cell>
        </row>
        <row r="1693">
          <cell r="O1693">
            <v>23</v>
          </cell>
          <cell r="AN1693">
            <v>0</v>
          </cell>
          <cell r="AO1693">
            <v>8.01</v>
          </cell>
          <cell r="AP1693">
            <v>0</v>
          </cell>
          <cell r="AZ1693">
            <v>8.01</v>
          </cell>
          <cell r="BT1693">
            <v>0</v>
          </cell>
          <cell r="BX1693">
            <v>8.01</v>
          </cell>
          <cell r="CB1693">
            <v>0</v>
          </cell>
          <cell r="CE1693" t="str">
            <v>23EU</v>
          </cell>
          <cell r="CF1693" t="str">
            <v>23LOCAL</v>
          </cell>
          <cell r="CG1693" t="str">
            <v>23EU</v>
          </cell>
        </row>
        <row r="1694">
          <cell r="O1694">
            <v>23</v>
          </cell>
          <cell r="AN1694">
            <v>10.94</v>
          </cell>
          <cell r="AO1694">
            <v>0</v>
          </cell>
          <cell r="AP1694">
            <v>0</v>
          </cell>
          <cell r="AZ1694">
            <v>0</v>
          </cell>
          <cell r="BT1694">
            <v>10.94</v>
          </cell>
          <cell r="BX1694">
            <v>0</v>
          </cell>
          <cell r="CB1694">
            <v>0</v>
          </cell>
          <cell r="CE1694" t="str">
            <v>23LOCAL</v>
          </cell>
          <cell r="CF1694" t="str">
            <v>23EU</v>
          </cell>
          <cell r="CG1694" t="str">
            <v>23EU</v>
          </cell>
        </row>
        <row r="1695">
          <cell r="O1695">
            <v>23</v>
          </cell>
          <cell r="AN1695">
            <v>0</v>
          </cell>
          <cell r="AO1695">
            <v>0</v>
          </cell>
          <cell r="AP1695">
            <v>73.215421303656598</v>
          </cell>
          <cell r="AZ1695">
            <v>0</v>
          </cell>
          <cell r="BT1695">
            <v>0</v>
          </cell>
          <cell r="BX1695">
            <v>0</v>
          </cell>
          <cell r="CB1695">
            <v>92.656538042699168</v>
          </cell>
          <cell r="CE1695" t="str">
            <v>23EU</v>
          </cell>
          <cell r="CF1695" t="str">
            <v>23EU</v>
          </cell>
          <cell r="CG1695" t="str">
            <v>23LOCAL</v>
          </cell>
        </row>
        <row r="1696">
          <cell r="O1696">
            <v>23</v>
          </cell>
          <cell r="AN1696">
            <v>0</v>
          </cell>
          <cell r="AO1696">
            <v>62.94</v>
          </cell>
          <cell r="AP1696">
            <v>0</v>
          </cell>
          <cell r="AZ1696">
            <v>62.94</v>
          </cell>
          <cell r="BT1696">
            <v>0</v>
          </cell>
          <cell r="BX1696">
            <v>62.94</v>
          </cell>
          <cell r="CB1696">
            <v>0</v>
          </cell>
          <cell r="CE1696" t="str">
            <v>23EU</v>
          </cell>
          <cell r="CF1696" t="str">
            <v>23LOCAL</v>
          </cell>
          <cell r="CG1696" t="str">
            <v>23EU</v>
          </cell>
        </row>
        <row r="1697">
          <cell r="O1697">
            <v>23</v>
          </cell>
          <cell r="AN1697">
            <v>114.01</v>
          </cell>
          <cell r="AO1697">
            <v>0</v>
          </cell>
          <cell r="AP1697">
            <v>0</v>
          </cell>
          <cell r="AZ1697">
            <v>0</v>
          </cell>
          <cell r="BT1697">
            <v>114.01</v>
          </cell>
          <cell r="BX1697">
            <v>0</v>
          </cell>
          <cell r="CB1697">
            <v>0</v>
          </cell>
          <cell r="CE1697" t="str">
            <v>23LOCAL</v>
          </cell>
          <cell r="CF1697" t="str">
            <v>23EU</v>
          </cell>
          <cell r="CG1697" t="str">
            <v>23EU</v>
          </cell>
        </row>
        <row r="1698">
          <cell r="O1698">
            <v>23</v>
          </cell>
          <cell r="AN1698">
            <v>6.63</v>
          </cell>
          <cell r="AO1698">
            <v>0</v>
          </cell>
          <cell r="AP1698">
            <v>0</v>
          </cell>
          <cell r="AZ1698">
            <v>0</v>
          </cell>
          <cell r="BT1698">
            <v>6.63</v>
          </cell>
          <cell r="BX1698">
            <v>0</v>
          </cell>
          <cell r="CB1698">
            <v>0</v>
          </cell>
          <cell r="CE1698" t="str">
            <v>23LOCAL</v>
          </cell>
          <cell r="CF1698" t="str">
            <v>23EU</v>
          </cell>
          <cell r="CG1698" t="str">
            <v>23EU</v>
          </cell>
        </row>
        <row r="1699">
          <cell r="O1699">
            <v>23</v>
          </cell>
          <cell r="AN1699">
            <v>6.63</v>
          </cell>
          <cell r="AO1699">
            <v>0</v>
          </cell>
          <cell r="AP1699">
            <v>0</v>
          </cell>
          <cell r="AZ1699">
            <v>0</v>
          </cell>
          <cell r="BT1699">
            <v>6.65</v>
          </cell>
          <cell r="BX1699">
            <v>0</v>
          </cell>
          <cell r="CB1699">
            <v>0</v>
          </cell>
          <cell r="CE1699" t="str">
            <v>23LOCAL</v>
          </cell>
          <cell r="CF1699" t="str">
            <v>23EU</v>
          </cell>
          <cell r="CG1699" t="str">
            <v>23EU</v>
          </cell>
        </row>
        <row r="1700">
          <cell r="O1700">
            <v>23</v>
          </cell>
          <cell r="AN1700">
            <v>0</v>
          </cell>
          <cell r="AO1700">
            <v>3.51</v>
          </cell>
          <cell r="AP1700">
            <v>0</v>
          </cell>
          <cell r="AZ1700">
            <v>3.51</v>
          </cell>
          <cell r="BT1700">
            <v>0</v>
          </cell>
          <cell r="BX1700">
            <v>3.51</v>
          </cell>
          <cell r="CB1700">
            <v>0</v>
          </cell>
          <cell r="CE1700" t="str">
            <v>23EU</v>
          </cell>
          <cell r="CF1700" t="str">
            <v>23LOCAL</v>
          </cell>
          <cell r="CG1700" t="str">
            <v>23EU</v>
          </cell>
        </row>
        <row r="1701">
          <cell r="O1701">
            <v>23</v>
          </cell>
          <cell r="AN1701">
            <v>3.8457233704292531</v>
          </cell>
          <cell r="AO1701">
            <v>0</v>
          </cell>
          <cell r="AP1701">
            <v>3.8457233704292531</v>
          </cell>
          <cell r="AZ1701">
            <v>0</v>
          </cell>
          <cell r="BT1701">
            <v>4.4800000000000004</v>
          </cell>
          <cell r="BX1701">
            <v>0</v>
          </cell>
          <cell r="CB1701">
            <v>4.0641921034960609</v>
          </cell>
          <cell r="CE1701" t="str">
            <v>23LOCAL</v>
          </cell>
          <cell r="CF1701" t="str">
            <v>23EU</v>
          </cell>
          <cell r="CG1701" t="str">
            <v>23LOCAL</v>
          </cell>
        </row>
        <row r="1702">
          <cell r="O1702">
            <v>23</v>
          </cell>
          <cell r="AN1702">
            <v>0</v>
          </cell>
          <cell r="AO1702">
            <v>3.36</v>
          </cell>
          <cell r="AP1702">
            <v>0</v>
          </cell>
          <cell r="AZ1702">
            <v>3.36</v>
          </cell>
          <cell r="BT1702">
            <v>0</v>
          </cell>
          <cell r="BX1702">
            <v>3.36</v>
          </cell>
          <cell r="CB1702">
            <v>0</v>
          </cell>
          <cell r="CE1702" t="str">
            <v>23LOCAL</v>
          </cell>
          <cell r="CF1702" t="str">
            <v>23EU</v>
          </cell>
          <cell r="CG1702" t="str">
            <v>23LOCAL</v>
          </cell>
        </row>
        <row r="1703">
          <cell r="O1703">
            <v>23</v>
          </cell>
          <cell r="AN1703">
            <v>0</v>
          </cell>
          <cell r="AO1703">
            <v>0</v>
          </cell>
          <cell r="AP1703">
            <v>1.0079491255961843</v>
          </cell>
          <cell r="AZ1703">
            <v>0</v>
          </cell>
          <cell r="BT1703">
            <v>0</v>
          </cell>
          <cell r="BX1703">
            <v>0</v>
          </cell>
          <cell r="CB1703">
            <v>1.2755929671368824</v>
          </cell>
          <cell r="CE1703" t="str">
            <v>23EU</v>
          </cell>
          <cell r="CF1703" t="str">
            <v>23EU</v>
          </cell>
          <cell r="CG1703" t="str">
            <v>23LOCAL</v>
          </cell>
        </row>
        <row r="1704">
          <cell r="O1704">
            <v>23</v>
          </cell>
          <cell r="AN1704">
            <v>1.0349999999999999</v>
          </cell>
          <cell r="AO1704">
            <v>1.0349999999999999</v>
          </cell>
          <cell r="AP1704">
            <v>0</v>
          </cell>
          <cell r="AZ1704">
            <v>1.0349999999999999</v>
          </cell>
          <cell r="BT1704">
            <v>1.39</v>
          </cell>
          <cell r="BX1704">
            <v>0.68</v>
          </cell>
          <cell r="CB1704">
            <v>0</v>
          </cell>
          <cell r="CE1704" t="str">
            <v>23LOCAL</v>
          </cell>
          <cell r="CF1704" t="str">
            <v>23LOCAL</v>
          </cell>
          <cell r="CG1704" t="str">
            <v>23EU</v>
          </cell>
        </row>
        <row r="1705">
          <cell r="O1705">
            <v>23</v>
          </cell>
          <cell r="AN1705">
            <v>4.7</v>
          </cell>
          <cell r="AO1705">
            <v>0</v>
          </cell>
          <cell r="AP1705">
            <v>0</v>
          </cell>
          <cell r="AZ1705">
            <v>0</v>
          </cell>
          <cell r="BT1705">
            <v>4.7</v>
          </cell>
          <cell r="BX1705">
            <v>0</v>
          </cell>
          <cell r="CB1705">
            <v>0</v>
          </cell>
          <cell r="CE1705" t="str">
            <v>23LOCAL</v>
          </cell>
          <cell r="CF1705" t="str">
            <v>23EU</v>
          </cell>
          <cell r="CG1705" t="str">
            <v>23EU</v>
          </cell>
        </row>
        <row r="1706">
          <cell r="O1706">
            <v>23</v>
          </cell>
          <cell r="AN1706">
            <v>0</v>
          </cell>
          <cell r="AO1706">
            <v>0</v>
          </cell>
          <cell r="AP1706">
            <v>23.817965023847375</v>
          </cell>
          <cell r="AZ1706">
            <v>0</v>
          </cell>
          <cell r="BT1706">
            <v>0</v>
          </cell>
          <cell r="BX1706">
            <v>0</v>
          </cell>
          <cell r="CB1706">
            <v>30.14242277154764</v>
          </cell>
          <cell r="CE1706" t="str">
            <v>23EU</v>
          </cell>
          <cell r="CF1706" t="str">
            <v>23EU</v>
          </cell>
          <cell r="CG1706" t="str">
            <v>23LOCAL</v>
          </cell>
        </row>
        <row r="1707">
          <cell r="O1707">
            <v>23</v>
          </cell>
          <cell r="AN1707">
            <v>34.6</v>
          </cell>
          <cell r="AO1707">
            <v>34.6</v>
          </cell>
          <cell r="AP1707">
            <v>0</v>
          </cell>
          <cell r="AZ1707">
            <v>34.6</v>
          </cell>
          <cell r="BT1707">
            <v>30.43</v>
          </cell>
          <cell r="BX1707">
            <v>38.770000000000003</v>
          </cell>
          <cell r="CB1707">
            <v>0</v>
          </cell>
          <cell r="CE1707" t="str">
            <v>23LOCAL</v>
          </cell>
          <cell r="CF1707" t="str">
            <v>23LOCAL</v>
          </cell>
          <cell r="CG1707" t="str">
            <v>23EU</v>
          </cell>
        </row>
        <row r="1708">
          <cell r="O1708">
            <v>23</v>
          </cell>
          <cell r="AN1708">
            <v>1.579528351881293</v>
          </cell>
          <cell r="AO1708">
            <v>1.579528351881293</v>
          </cell>
          <cell r="AP1708">
            <v>1.579528351881293</v>
          </cell>
          <cell r="AZ1708">
            <v>1.579528351881293</v>
          </cell>
          <cell r="BT1708">
            <v>1.87</v>
          </cell>
          <cell r="BX1708">
            <v>1.46</v>
          </cell>
          <cell r="CB1708">
            <v>1.7826109919294602</v>
          </cell>
          <cell r="CE1708" t="str">
            <v>23LOCAL</v>
          </cell>
          <cell r="CF1708" t="str">
            <v>23LOCAL</v>
          </cell>
          <cell r="CG1708" t="str">
            <v>23LOCAL</v>
          </cell>
        </row>
        <row r="1709">
          <cell r="O1709">
            <v>23</v>
          </cell>
          <cell r="AN1709">
            <v>200.37240098530978</v>
          </cell>
          <cell r="AO1709">
            <v>0</v>
          </cell>
          <cell r="AP1709">
            <v>0</v>
          </cell>
          <cell r="AZ1709">
            <v>0</v>
          </cell>
          <cell r="BT1709">
            <v>52.596474511672227</v>
          </cell>
          <cell r="BX1709">
            <v>0</v>
          </cell>
          <cell r="CB1709">
            <v>0</v>
          </cell>
          <cell r="CE1709" t="str">
            <v>23LOCAL</v>
          </cell>
          <cell r="CF1709" t="str">
            <v>23EU</v>
          </cell>
          <cell r="CG1709" t="str">
            <v>23EU</v>
          </cell>
        </row>
        <row r="1710">
          <cell r="O1710">
            <v>23</v>
          </cell>
          <cell r="AN1710">
            <v>3</v>
          </cell>
          <cell r="AO1710">
            <v>0</v>
          </cell>
          <cell r="AP1710">
            <v>0</v>
          </cell>
          <cell r="AZ1710">
            <v>0</v>
          </cell>
          <cell r="BT1710">
            <v>3</v>
          </cell>
          <cell r="BX1710">
            <v>0</v>
          </cell>
          <cell r="CB1710">
            <v>0</v>
          </cell>
          <cell r="CE1710" t="str">
            <v>23EU</v>
          </cell>
          <cell r="CF1710" t="str">
            <v>23EU</v>
          </cell>
          <cell r="CG1710" t="str">
            <v>23EU</v>
          </cell>
        </row>
        <row r="1711">
          <cell r="O1711">
            <v>23</v>
          </cell>
          <cell r="AN1711">
            <v>0</v>
          </cell>
          <cell r="AO1711">
            <v>102.36174633591619</v>
          </cell>
          <cell r="AP1711">
            <v>0</v>
          </cell>
          <cell r="AZ1711">
            <v>110.57</v>
          </cell>
          <cell r="BT1711">
            <v>0</v>
          </cell>
          <cell r="BX1711">
            <v>39.725876791145964</v>
          </cell>
          <cell r="CB1711">
            <v>0</v>
          </cell>
          <cell r="CE1711" t="str">
            <v>23LOCAL</v>
          </cell>
          <cell r="CF1711" t="str">
            <v>23LOCAL</v>
          </cell>
          <cell r="CG1711" t="str">
            <v>23EU</v>
          </cell>
        </row>
        <row r="1712">
          <cell r="O1712">
            <v>23</v>
          </cell>
          <cell r="AN1712">
            <v>0</v>
          </cell>
          <cell r="AO1712">
            <v>3</v>
          </cell>
          <cell r="AP1712">
            <v>0</v>
          </cell>
          <cell r="AZ1712">
            <v>3</v>
          </cell>
          <cell r="BT1712">
            <v>0</v>
          </cell>
          <cell r="BX1712">
            <v>3</v>
          </cell>
          <cell r="CB1712">
            <v>0</v>
          </cell>
          <cell r="CE1712" t="str">
            <v>23EU</v>
          </cell>
          <cell r="CF1712" t="str">
            <v>23EU</v>
          </cell>
          <cell r="CG1712" t="str">
            <v>23EU</v>
          </cell>
        </row>
        <row r="1713">
          <cell r="O1713">
            <v>23</v>
          </cell>
          <cell r="AN1713">
            <v>-10.71</v>
          </cell>
          <cell r="AO1713">
            <v>-10.71</v>
          </cell>
          <cell r="AP1713">
            <v>-10.71</v>
          </cell>
          <cell r="AZ1713">
            <v>-10.71</v>
          </cell>
          <cell r="BT1713">
            <v>-10.71</v>
          </cell>
          <cell r="BX1713">
            <v>-10.71</v>
          </cell>
          <cell r="CB1713">
            <v>-10.71</v>
          </cell>
          <cell r="CE1713" t="str">
            <v>23LOCAL</v>
          </cell>
          <cell r="CF1713" t="str">
            <v>23LOCAL</v>
          </cell>
          <cell r="CG1713" t="str">
            <v>23LOCAL</v>
          </cell>
        </row>
        <row r="1714">
          <cell r="O1714">
            <v>24</v>
          </cell>
          <cell r="AN1714">
            <v>173.27101254610588</v>
          </cell>
          <cell r="AO1714">
            <v>0</v>
          </cell>
          <cell r="AP1714">
            <v>0</v>
          </cell>
          <cell r="AZ1714">
            <v>0</v>
          </cell>
          <cell r="BT1714">
            <v>173.27101254610588</v>
          </cell>
          <cell r="BX1714">
            <v>0</v>
          </cell>
          <cell r="CB1714">
            <v>0</v>
          </cell>
          <cell r="CE1714" t="str">
            <v>24EU</v>
          </cell>
          <cell r="CF1714" t="str">
            <v>24EU</v>
          </cell>
          <cell r="CG1714" t="str">
            <v>24EU</v>
          </cell>
        </row>
        <row r="1715">
          <cell r="O1715">
            <v>24</v>
          </cell>
          <cell r="AN1715">
            <v>434.89394959828195</v>
          </cell>
          <cell r="AO1715">
            <v>0</v>
          </cell>
          <cell r="AP1715">
            <v>0</v>
          </cell>
          <cell r="AZ1715">
            <v>0</v>
          </cell>
          <cell r="BT1715">
            <v>434.89394959828195</v>
          </cell>
          <cell r="BX1715">
            <v>0</v>
          </cell>
          <cell r="CB1715">
            <v>0</v>
          </cell>
          <cell r="CE1715" t="str">
            <v>24EU</v>
          </cell>
          <cell r="CF1715" t="str">
            <v>24EU</v>
          </cell>
          <cell r="CG1715" t="str">
            <v>24EU</v>
          </cell>
        </row>
        <row r="1716">
          <cell r="O1716">
            <v>24</v>
          </cell>
          <cell r="AN1716">
            <v>8.2239363404978185</v>
          </cell>
          <cell r="AO1716">
            <v>0</v>
          </cell>
          <cell r="AP1716">
            <v>0</v>
          </cell>
          <cell r="AZ1716">
            <v>0</v>
          </cell>
          <cell r="BT1716">
            <v>8.2239363404978185</v>
          </cell>
          <cell r="BX1716">
            <v>0</v>
          </cell>
          <cell r="CB1716">
            <v>0</v>
          </cell>
          <cell r="CE1716" t="str">
            <v>24EU</v>
          </cell>
          <cell r="CF1716" t="str">
            <v>24EU</v>
          </cell>
          <cell r="CG1716" t="str">
            <v>24EU</v>
          </cell>
        </row>
        <row r="1717">
          <cell r="O1717">
            <v>24</v>
          </cell>
          <cell r="AN1717">
            <v>146.17224270255267</v>
          </cell>
          <cell r="AO1717">
            <v>0</v>
          </cell>
          <cell r="AP1717">
            <v>0</v>
          </cell>
          <cell r="AZ1717">
            <v>0</v>
          </cell>
          <cell r="BT1717">
            <v>146.17224270255267</v>
          </cell>
          <cell r="BX1717">
            <v>0</v>
          </cell>
          <cell r="CB1717">
            <v>0</v>
          </cell>
          <cell r="CE1717" t="str">
            <v>24EU</v>
          </cell>
          <cell r="CF1717" t="str">
            <v>24EU</v>
          </cell>
          <cell r="CG1717" t="str">
            <v>24EU</v>
          </cell>
        </row>
        <row r="1718">
          <cell r="O1718">
            <v>24</v>
          </cell>
          <cell r="AN1718">
            <v>3.7658934522016163</v>
          </cell>
          <cell r="AO1718">
            <v>0</v>
          </cell>
          <cell r="AP1718">
            <v>0</v>
          </cell>
          <cell r="AZ1718">
            <v>0</v>
          </cell>
          <cell r="BT1718">
            <v>3.7658934522016163</v>
          </cell>
          <cell r="BX1718">
            <v>0</v>
          </cell>
          <cell r="CB1718">
            <v>0</v>
          </cell>
          <cell r="CE1718" t="str">
            <v>24EU</v>
          </cell>
          <cell r="CF1718" t="str">
            <v>24EU</v>
          </cell>
          <cell r="CG1718" t="str">
            <v>24EU</v>
          </cell>
        </row>
        <row r="1719">
          <cell r="O1719">
            <v>24</v>
          </cell>
          <cell r="AN1719">
            <v>70.669341931241163</v>
          </cell>
          <cell r="AO1719">
            <v>0</v>
          </cell>
          <cell r="AP1719">
            <v>0</v>
          </cell>
          <cell r="AZ1719">
            <v>0</v>
          </cell>
          <cell r="BT1719">
            <v>70.669341931241163</v>
          </cell>
          <cell r="BX1719">
            <v>0</v>
          </cell>
          <cell r="CB1719">
            <v>0</v>
          </cell>
          <cell r="CE1719" t="str">
            <v>24EU</v>
          </cell>
          <cell r="CF1719" t="str">
            <v>24EU</v>
          </cell>
          <cell r="CG1719" t="str">
            <v>24EU</v>
          </cell>
        </row>
        <row r="1720">
          <cell r="O1720">
            <v>24</v>
          </cell>
          <cell r="AN1720">
            <v>1.250581896431513</v>
          </cell>
          <cell r="AO1720">
            <v>0</v>
          </cell>
          <cell r="AP1720">
            <v>0</v>
          </cell>
          <cell r="AZ1720">
            <v>0</v>
          </cell>
          <cell r="BT1720">
            <v>1.250581896431513</v>
          </cell>
          <cell r="BX1720">
            <v>0</v>
          </cell>
          <cell r="CB1720">
            <v>0</v>
          </cell>
          <cell r="CE1720" t="str">
            <v>24EU</v>
          </cell>
          <cell r="CF1720" t="str">
            <v>24EU</v>
          </cell>
          <cell r="CG1720" t="str">
            <v>24EU</v>
          </cell>
        </row>
        <row r="1721">
          <cell r="O1721">
            <v>24</v>
          </cell>
          <cell r="AN1721">
            <v>0</v>
          </cell>
          <cell r="AO1721">
            <v>0</v>
          </cell>
          <cell r="AP1721">
            <v>190.3541452504453</v>
          </cell>
          <cell r="AZ1721">
            <v>0</v>
          </cell>
          <cell r="BT1721">
            <v>0</v>
          </cell>
          <cell r="BX1721">
            <v>0</v>
          </cell>
          <cell r="CB1721">
            <v>190.3541452504453</v>
          </cell>
          <cell r="CE1721" t="str">
            <v>24EU</v>
          </cell>
          <cell r="CF1721" t="str">
            <v>24EU</v>
          </cell>
          <cell r="CG1721" t="str">
            <v>24EU</v>
          </cell>
        </row>
        <row r="1722">
          <cell r="O1722">
            <v>24</v>
          </cell>
          <cell r="AN1722">
            <v>0</v>
          </cell>
          <cell r="AO1722">
            <v>0</v>
          </cell>
          <cell r="AP1722">
            <v>565.62980166854243</v>
          </cell>
          <cell r="AZ1722">
            <v>0</v>
          </cell>
          <cell r="BT1722">
            <v>0</v>
          </cell>
          <cell r="BX1722">
            <v>0</v>
          </cell>
          <cell r="CB1722">
            <v>565.62980166854243</v>
          </cell>
          <cell r="CE1722" t="str">
            <v>24EU</v>
          </cell>
          <cell r="CF1722" t="str">
            <v>24EU</v>
          </cell>
          <cell r="CG1722" t="str">
            <v>24EU</v>
          </cell>
        </row>
        <row r="1723">
          <cell r="O1723">
            <v>24</v>
          </cell>
          <cell r="AN1723">
            <v>0</v>
          </cell>
          <cell r="AO1723">
            <v>0</v>
          </cell>
          <cell r="AP1723">
            <v>9.0347505314715164</v>
          </cell>
          <cell r="AZ1723">
            <v>0</v>
          </cell>
          <cell r="BT1723">
            <v>0</v>
          </cell>
          <cell r="BX1723">
            <v>0</v>
          </cell>
          <cell r="CB1723">
            <v>9.0347505314715164</v>
          </cell>
          <cell r="CE1723" t="str">
            <v>24EU</v>
          </cell>
          <cell r="CF1723" t="str">
            <v>24EU</v>
          </cell>
          <cell r="CG1723" t="str">
            <v>24EU</v>
          </cell>
        </row>
        <row r="1724">
          <cell r="O1724">
            <v>24</v>
          </cell>
          <cell r="AN1724">
            <v>0</v>
          </cell>
          <cell r="AO1724">
            <v>0</v>
          </cell>
          <cell r="AP1724">
            <v>214.20509061236245</v>
          </cell>
          <cell r="AZ1724">
            <v>0</v>
          </cell>
          <cell r="BT1724">
            <v>0</v>
          </cell>
          <cell r="BX1724">
            <v>0</v>
          </cell>
          <cell r="CB1724">
            <v>214.20509061236245</v>
          </cell>
          <cell r="CE1724" t="str">
            <v>24EU</v>
          </cell>
          <cell r="CF1724" t="str">
            <v>24EU</v>
          </cell>
          <cell r="CG1724" t="str">
            <v>24EU</v>
          </cell>
        </row>
        <row r="1725">
          <cell r="O1725">
            <v>24</v>
          </cell>
          <cell r="AN1725">
            <v>0</v>
          </cell>
          <cell r="AO1725">
            <v>0</v>
          </cell>
          <cell r="AP1725">
            <v>4.1371803550079616</v>
          </cell>
          <cell r="AZ1725">
            <v>0</v>
          </cell>
          <cell r="BT1725">
            <v>0</v>
          </cell>
          <cell r="BX1725">
            <v>0</v>
          </cell>
          <cell r="CB1725">
            <v>4.1371803550079616</v>
          </cell>
          <cell r="CE1725" t="str">
            <v>24EU</v>
          </cell>
          <cell r="CF1725" t="str">
            <v>24EU</v>
          </cell>
          <cell r="CG1725" t="str">
            <v>24EU</v>
          </cell>
        </row>
        <row r="1726">
          <cell r="O1726">
            <v>24</v>
          </cell>
          <cell r="AN1726">
            <v>0</v>
          </cell>
          <cell r="AO1726">
            <v>0</v>
          </cell>
          <cell r="AP1726">
            <v>0</v>
          </cell>
          <cell r="AZ1726">
            <v>0</v>
          </cell>
          <cell r="BT1726">
            <v>0</v>
          </cell>
          <cell r="BX1726">
            <v>0</v>
          </cell>
          <cell r="CB1726">
            <v>0</v>
          </cell>
          <cell r="CE1726" t="str">
            <v>24EU</v>
          </cell>
          <cell r="CF1726" t="str">
            <v>24EU</v>
          </cell>
          <cell r="CG1726" t="str">
            <v>24EU</v>
          </cell>
        </row>
        <row r="1727">
          <cell r="O1727">
            <v>24</v>
          </cell>
          <cell r="AN1727">
            <v>0</v>
          </cell>
          <cell r="AO1727">
            <v>0</v>
          </cell>
          <cell r="AP1727">
            <v>1.3738792453674711</v>
          </cell>
          <cell r="AZ1727">
            <v>0</v>
          </cell>
          <cell r="BT1727">
            <v>0</v>
          </cell>
          <cell r="BX1727">
            <v>0</v>
          </cell>
          <cell r="CB1727">
            <v>1.3738792453674711</v>
          </cell>
          <cell r="CE1727" t="str">
            <v>24EU</v>
          </cell>
          <cell r="CF1727" t="str">
            <v>24EU</v>
          </cell>
          <cell r="CG1727" t="str">
            <v>24EU</v>
          </cell>
        </row>
        <row r="1728">
          <cell r="O1728">
            <v>24</v>
          </cell>
          <cell r="AN1728">
            <v>0</v>
          </cell>
          <cell r="AO1728">
            <v>0</v>
          </cell>
          <cell r="AP1728">
            <v>0</v>
          </cell>
          <cell r="AZ1728">
            <v>0</v>
          </cell>
          <cell r="BT1728">
            <v>0</v>
          </cell>
          <cell r="BX1728">
            <v>0</v>
          </cell>
          <cell r="CB1728">
            <v>0</v>
          </cell>
          <cell r="CE1728" t="str">
            <v>24EU</v>
          </cell>
          <cell r="CF1728" t="str">
            <v>24EU</v>
          </cell>
          <cell r="CG1728" t="str">
            <v>24EU</v>
          </cell>
        </row>
        <row r="1729">
          <cell r="O1729">
            <v>24</v>
          </cell>
          <cell r="AN1729">
            <v>0</v>
          </cell>
          <cell r="AO1729">
            <v>1220.3511777301928</v>
          </cell>
          <cell r="AP1729">
            <v>0</v>
          </cell>
          <cell r="AZ1729">
            <v>1424.76</v>
          </cell>
          <cell r="BT1729">
            <v>0</v>
          </cell>
          <cell r="BX1729">
            <v>1220.3511777301928</v>
          </cell>
          <cell r="CB1729">
            <v>0</v>
          </cell>
          <cell r="CE1729" t="str">
            <v>24EU</v>
          </cell>
          <cell r="CF1729" t="str">
            <v>24EU</v>
          </cell>
          <cell r="CG1729" t="str">
            <v>24EU</v>
          </cell>
        </row>
        <row r="1730">
          <cell r="O1730">
            <v>24</v>
          </cell>
          <cell r="AN1730">
            <v>1.4203999946024803</v>
          </cell>
          <cell r="AO1730">
            <v>0</v>
          </cell>
          <cell r="AP1730">
            <v>1.4203999946024803</v>
          </cell>
          <cell r="AZ1730">
            <v>0</v>
          </cell>
          <cell r="BT1730">
            <v>1.4203999946024803</v>
          </cell>
          <cell r="BX1730">
            <v>0</v>
          </cell>
          <cell r="CB1730">
            <v>1.4203999946024803</v>
          </cell>
          <cell r="CE1730" t="str">
            <v>24EU</v>
          </cell>
          <cell r="CF1730" t="str">
            <v>24EU</v>
          </cell>
          <cell r="CG1730" t="str">
            <v>24EU</v>
          </cell>
        </row>
        <row r="1731">
          <cell r="O1731">
            <v>24</v>
          </cell>
          <cell r="AN1731">
            <v>0.75376599713568926</v>
          </cell>
          <cell r="AO1731">
            <v>0</v>
          </cell>
          <cell r="AP1731">
            <v>0.75376599713568926</v>
          </cell>
          <cell r="AZ1731">
            <v>0</v>
          </cell>
          <cell r="BT1731">
            <v>0.75376599713568926</v>
          </cell>
          <cell r="BX1731">
            <v>0</v>
          </cell>
          <cell r="CB1731">
            <v>0.75376599713568926</v>
          </cell>
          <cell r="CE1731" t="str">
            <v>24EU</v>
          </cell>
          <cell r="CF1731" t="str">
            <v>24EU</v>
          </cell>
          <cell r="CG1731" t="str">
            <v>24EU</v>
          </cell>
        </row>
        <row r="1732">
          <cell r="O1732">
            <v>24</v>
          </cell>
          <cell r="AN1732">
            <v>9.240978130823148</v>
          </cell>
          <cell r="AO1732">
            <v>0</v>
          </cell>
          <cell r="AP1732">
            <v>9.240978130823148</v>
          </cell>
          <cell r="AZ1732">
            <v>0</v>
          </cell>
          <cell r="BT1732">
            <v>9.240978130823148</v>
          </cell>
          <cell r="BX1732">
            <v>0</v>
          </cell>
          <cell r="CB1732">
            <v>9.240978130823148</v>
          </cell>
          <cell r="CE1732" t="str">
            <v>24EU</v>
          </cell>
          <cell r="CF1732" t="str">
            <v>24EU</v>
          </cell>
          <cell r="CG1732" t="str">
            <v>24EU</v>
          </cell>
        </row>
        <row r="1733">
          <cell r="O1733">
            <v>24</v>
          </cell>
          <cell r="AN1733">
            <v>1.4203999946024803</v>
          </cell>
          <cell r="AO1733">
            <v>0</v>
          </cell>
          <cell r="AP1733">
            <v>1.4203999946024803</v>
          </cell>
          <cell r="AZ1733">
            <v>0</v>
          </cell>
          <cell r="BT1733">
            <v>1.4203999946024803</v>
          </cell>
          <cell r="BX1733">
            <v>0</v>
          </cell>
          <cell r="CB1733">
            <v>1.4203999946024803</v>
          </cell>
          <cell r="CE1733" t="str">
            <v>24EU</v>
          </cell>
          <cell r="CF1733" t="str">
            <v>24EU</v>
          </cell>
          <cell r="CG1733" t="str">
            <v>24EU</v>
          </cell>
        </row>
        <row r="1734">
          <cell r="O1734">
            <v>24</v>
          </cell>
          <cell r="AN1734">
            <v>0.7631999970998401</v>
          </cell>
          <cell r="AO1734">
            <v>0</v>
          </cell>
          <cell r="AP1734">
            <v>0.7631999970998401</v>
          </cell>
          <cell r="AZ1734">
            <v>0</v>
          </cell>
          <cell r="BT1734">
            <v>0.7631999970998401</v>
          </cell>
          <cell r="BX1734">
            <v>0</v>
          </cell>
          <cell r="CB1734">
            <v>0.7631999970998401</v>
          </cell>
          <cell r="CE1734" t="str">
            <v>24EU</v>
          </cell>
          <cell r="CF1734" t="str">
            <v>24EU</v>
          </cell>
          <cell r="CG1734" t="str">
            <v>24EU</v>
          </cell>
        </row>
        <row r="1735">
          <cell r="O1735">
            <v>24</v>
          </cell>
          <cell r="AN1735">
            <v>0.7631999970998401</v>
          </cell>
          <cell r="AO1735">
            <v>0</v>
          </cell>
          <cell r="AP1735">
            <v>0.7631999970998401</v>
          </cell>
          <cell r="AZ1735">
            <v>0</v>
          </cell>
          <cell r="BT1735">
            <v>0.7631999970998401</v>
          </cell>
          <cell r="BX1735">
            <v>0</v>
          </cell>
          <cell r="CB1735">
            <v>0.7631999970998401</v>
          </cell>
          <cell r="CE1735" t="str">
            <v>24EU</v>
          </cell>
          <cell r="CF1735" t="str">
            <v>24EU</v>
          </cell>
          <cell r="CG1735" t="str">
            <v>24EU</v>
          </cell>
        </row>
        <row r="1736">
          <cell r="O1736">
            <v>24</v>
          </cell>
          <cell r="AN1736">
            <v>11.500999956296202</v>
          </cell>
          <cell r="AO1736">
            <v>0</v>
          </cell>
          <cell r="AP1736">
            <v>11.500999956296202</v>
          </cell>
          <cell r="AZ1736">
            <v>0</v>
          </cell>
          <cell r="BT1736">
            <v>11.500999956296202</v>
          </cell>
          <cell r="BX1736">
            <v>0</v>
          </cell>
          <cell r="CB1736">
            <v>11.500999956296202</v>
          </cell>
          <cell r="CE1736" t="str">
            <v>24EU</v>
          </cell>
          <cell r="CF1736" t="str">
            <v>24EU</v>
          </cell>
          <cell r="CG1736" t="str">
            <v>24EU</v>
          </cell>
        </row>
        <row r="1737">
          <cell r="O1737">
            <v>24</v>
          </cell>
          <cell r="AN1737">
            <v>0.30209999885202005</v>
          </cell>
          <cell r="AO1737">
            <v>0</v>
          </cell>
          <cell r="AP1737">
            <v>0.30209999885202005</v>
          </cell>
          <cell r="AZ1737">
            <v>0</v>
          </cell>
          <cell r="BT1737">
            <v>0.30209999885202005</v>
          </cell>
          <cell r="BX1737">
            <v>0</v>
          </cell>
          <cell r="CB1737">
            <v>0.30209999885202005</v>
          </cell>
          <cell r="CE1737" t="str">
            <v>24EU</v>
          </cell>
          <cell r="CF1737" t="str">
            <v>24EU</v>
          </cell>
          <cell r="CG1737" t="str">
            <v>24EU</v>
          </cell>
        </row>
        <row r="1738">
          <cell r="O1738">
            <v>24</v>
          </cell>
          <cell r="AN1738">
            <v>0.20139999923468002</v>
          </cell>
          <cell r="AO1738">
            <v>0</v>
          </cell>
          <cell r="AP1738">
            <v>0.20139999923468002</v>
          </cell>
          <cell r="AZ1738">
            <v>0</v>
          </cell>
          <cell r="BT1738">
            <v>0.20139999923468002</v>
          </cell>
          <cell r="BX1738">
            <v>0</v>
          </cell>
          <cell r="CB1738">
            <v>0.20139999923468002</v>
          </cell>
          <cell r="CE1738" t="str">
            <v>24EU</v>
          </cell>
          <cell r="CF1738" t="str">
            <v>24EU</v>
          </cell>
          <cell r="CG1738" t="str">
            <v>24EU</v>
          </cell>
        </row>
        <row r="1739">
          <cell r="O1739">
            <v>24</v>
          </cell>
          <cell r="AN1739">
            <v>3.4025999870701207</v>
          </cell>
          <cell r="AO1739">
            <v>0</v>
          </cell>
          <cell r="AP1739">
            <v>3.4025999870701207</v>
          </cell>
          <cell r="AZ1739">
            <v>0</v>
          </cell>
          <cell r="BT1739">
            <v>3.4025999870701207</v>
          </cell>
          <cell r="BX1739">
            <v>0</v>
          </cell>
          <cell r="CB1739">
            <v>3.4025999870701207</v>
          </cell>
          <cell r="CE1739" t="str">
            <v>24EU</v>
          </cell>
          <cell r="CF1739" t="str">
            <v>24EU</v>
          </cell>
          <cell r="CG1739" t="str">
            <v>24EU</v>
          </cell>
        </row>
        <row r="1740">
          <cell r="O1740">
            <v>24</v>
          </cell>
          <cell r="AN1740">
            <v>2.0775999921051205</v>
          </cell>
          <cell r="AO1740">
            <v>0</v>
          </cell>
          <cell r="AP1740">
            <v>2.0775999921051205</v>
          </cell>
          <cell r="AZ1740">
            <v>0</v>
          </cell>
          <cell r="BT1740">
            <v>2.0775999921051205</v>
          </cell>
          <cell r="BX1740">
            <v>0</v>
          </cell>
          <cell r="CB1740">
            <v>2.0775999921051205</v>
          </cell>
          <cell r="CE1740" t="str">
            <v>24EU</v>
          </cell>
          <cell r="CF1740" t="str">
            <v>24EU</v>
          </cell>
          <cell r="CG1740" t="str">
            <v>24EU</v>
          </cell>
        </row>
        <row r="1741">
          <cell r="O1741">
            <v>24</v>
          </cell>
          <cell r="AN1741">
            <v>0.45346799827682172</v>
          </cell>
          <cell r="AO1741">
            <v>0</v>
          </cell>
          <cell r="AP1741">
            <v>0.45346799827682172</v>
          </cell>
          <cell r="AZ1741">
            <v>0</v>
          </cell>
          <cell r="BT1741">
            <v>0.45346799827682172</v>
          </cell>
          <cell r="BX1741">
            <v>0</v>
          </cell>
          <cell r="CB1741">
            <v>0.45346799827682172</v>
          </cell>
          <cell r="CE1741" t="str">
            <v>24EU</v>
          </cell>
          <cell r="CF1741" t="str">
            <v>24EU</v>
          </cell>
          <cell r="CG1741" t="str">
            <v>24EU</v>
          </cell>
        </row>
        <row r="1742">
          <cell r="O1742">
            <v>24</v>
          </cell>
          <cell r="AN1742">
            <v>0.15115599942560723</v>
          </cell>
          <cell r="AO1742">
            <v>0</v>
          </cell>
          <cell r="AP1742">
            <v>0.15115599942560723</v>
          </cell>
          <cell r="AZ1742">
            <v>0</v>
          </cell>
          <cell r="BT1742">
            <v>0.15115599942560723</v>
          </cell>
          <cell r="BX1742">
            <v>0</v>
          </cell>
          <cell r="CB1742">
            <v>0.15115599942560723</v>
          </cell>
          <cell r="CE1742" t="str">
            <v>24EU</v>
          </cell>
          <cell r="CF1742" t="str">
            <v>24EU</v>
          </cell>
          <cell r="CG1742" t="str">
            <v>24EU</v>
          </cell>
        </row>
        <row r="1743">
          <cell r="O1743">
            <v>24</v>
          </cell>
          <cell r="AN1743">
            <v>0.19694799925159762</v>
          </cell>
          <cell r="AO1743">
            <v>0</v>
          </cell>
          <cell r="AP1743">
            <v>0.19694799925159762</v>
          </cell>
          <cell r="AZ1743">
            <v>0</v>
          </cell>
          <cell r="BT1743">
            <v>0.19694799925159762</v>
          </cell>
          <cell r="BX1743">
            <v>0</v>
          </cell>
          <cell r="CB1743">
            <v>0.19694799925159762</v>
          </cell>
          <cell r="CE1743" t="str">
            <v>24EU</v>
          </cell>
          <cell r="CF1743" t="str">
            <v>24EU</v>
          </cell>
          <cell r="CG1743" t="str">
            <v>24EU</v>
          </cell>
        </row>
        <row r="1744">
          <cell r="O1744">
            <v>24</v>
          </cell>
          <cell r="AN1744">
            <v>4.7911999817934404E-2</v>
          </cell>
          <cell r="AO1744">
            <v>0</v>
          </cell>
          <cell r="AP1744">
            <v>4.7911999817934404E-2</v>
          </cell>
          <cell r="AZ1744">
            <v>0</v>
          </cell>
          <cell r="BT1744">
            <v>4.7911999817934404E-2</v>
          </cell>
          <cell r="BX1744">
            <v>0</v>
          </cell>
          <cell r="CB1744">
            <v>4.7911999817934404E-2</v>
          </cell>
          <cell r="CE1744" t="str">
            <v>24EU</v>
          </cell>
          <cell r="CF1744" t="str">
            <v>24EU</v>
          </cell>
          <cell r="CG1744" t="str">
            <v>24EU</v>
          </cell>
        </row>
        <row r="1745">
          <cell r="O1745">
            <v>24</v>
          </cell>
          <cell r="AN1745">
            <v>0</v>
          </cell>
          <cell r="AO1745">
            <v>0</v>
          </cell>
          <cell r="AP1745">
            <v>0</v>
          </cell>
          <cell r="AZ1745">
            <v>0</v>
          </cell>
          <cell r="BT1745">
            <v>0</v>
          </cell>
          <cell r="BX1745">
            <v>0</v>
          </cell>
          <cell r="CB1745">
            <v>0</v>
          </cell>
          <cell r="CE1745" t="str">
            <v>24EU</v>
          </cell>
          <cell r="CF1745" t="str">
            <v>24EU</v>
          </cell>
          <cell r="CG1745" t="str">
            <v>24EU</v>
          </cell>
        </row>
        <row r="1746">
          <cell r="O1746">
            <v>24</v>
          </cell>
          <cell r="AN1746">
            <v>0</v>
          </cell>
          <cell r="AO1746">
            <v>0</v>
          </cell>
          <cell r="AP1746">
            <v>0</v>
          </cell>
          <cell r="AZ1746">
            <v>0</v>
          </cell>
          <cell r="BT1746">
            <v>0</v>
          </cell>
          <cell r="BX1746">
            <v>0</v>
          </cell>
          <cell r="CB1746">
            <v>0</v>
          </cell>
          <cell r="CE1746" t="str">
            <v>24EU</v>
          </cell>
          <cell r="CF1746" t="str">
            <v>24EU</v>
          </cell>
          <cell r="CG1746" t="str">
            <v>24EU</v>
          </cell>
        </row>
        <row r="1747">
          <cell r="O1747">
            <v>24</v>
          </cell>
          <cell r="AN1747">
            <v>0</v>
          </cell>
          <cell r="AO1747">
            <v>0</v>
          </cell>
          <cell r="AP1747">
            <v>0</v>
          </cell>
          <cell r="AZ1747">
            <v>0</v>
          </cell>
          <cell r="BT1747">
            <v>0</v>
          </cell>
          <cell r="BX1747">
            <v>0</v>
          </cell>
          <cell r="CB1747">
            <v>0</v>
          </cell>
          <cell r="CE1747" t="str">
            <v>24EU</v>
          </cell>
          <cell r="CF1747" t="str">
            <v>24EU</v>
          </cell>
          <cell r="CG1747" t="str">
            <v>24EU</v>
          </cell>
        </row>
        <row r="1748">
          <cell r="O1748">
            <v>24</v>
          </cell>
          <cell r="AN1748">
            <v>0</v>
          </cell>
          <cell r="AO1748">
            <v>0</v>
          </cell>
          <cell r="AP1748">
            <v>0</v>
          </cell>
          <cell r="AZ1748">
            <v>0</v>
          </cell>
          <cell r="BT1748">
            <v>0</v>
          </cell>
          <cell r="BX1748">
            <v>0</v>
          </cell>
          <cell r="CB1748">
            <v>0</v>
          </cell>
          <cell r="CE1748" t="str">
            <v>24EU</v>
          </cell>
          <cell r="CF1748" t="str">
            <v>24EU</v>
          </cell>
          <cell r="CG1748" t="str">
            <v>24EU</v>
          </cell>
        </row>
        <row r="1749">
          <cell r="O1749">
            <v>24</v>
          </cell>
          <cell r="AN1749">
            <v>0</v>
          </cell>
          <cell r="AO1749">
            <v>0</v>
          </cell>
          <cell r="AP1749">
            <v>0</v>
          </cell>
          <cell r="AZ1749">
            <v>0</v>
          </cell>
          <cell r="BT1749">
            <v>0</v>
          </cell>
          <cell r="BX1749">
            <v>0</v>
          </cell>
          <cell r="CB1749">
            <v>0</v>
          </cell>
          <cell r="CE1749" t="str">
            <v>24EU</v>
          </cell>
          <cell r="CF1749" t="str">
            <v>24EU</v>
          </cell>
          <cell r="CG1749" t="str">
            <v>24EU</v>
          </cell>
        </row>
        <row r="1750">
          <cell r="O1750">
            <v>24</v>
          </cell>
          <cell r="AN1750">
            <v>0</v>
          </cell>
          <cell r="AO1750">
            <v>0</v>
          </cell>
          <cell r="AP1750">
            <v>0</v>
          </cell>
          <cell r="AZ1750">
            <v>0</v>
          </cell>
          <cell r="BT1750">
            <v>0</v>
          </cell>
          <cell r="BX1750">
            <v>0</v>
          </cell>
          <cell r="CB1750">
            <v>0</v>
          </cell>
          <cell r="CE1750" t="str">
            <v>24EU</v>
          </cell>
          <cell r="CF1750" t="str">
            <v>24EU</v>
          </cell>
          <cell r="CG1750" t="str">
            <v>24EU</v>
          </cell>
        </row>
        <row r="1751">
          <cell r="O1751">
            <v>24</v>
          </cell>
          <cell r="AN1751">
            <v>0</v>
          </cell>
          <cell r="AO1751">
            <v>0</v>
          </cell>
          <cell r="AP1751">
            <v>0</v>
          </cell>
          <cell r="AZ1751">
            <v>0</v>
          </cell>
          <cell r="BT1751">
            <v>0</v>
          </cell>
          <cell r="BX1751">
            <v>0</v>
          </cell>
          <cell r="CB1751">
            <v>0</v>
          </cell>
          <cell r="CE1751" t="str">
            <v>24EU</v>
          </cell>
          <cell r="CF1751" t="str">
            <v>24EU</v>
          </cell>
          <cell r="CG1751" t="str">
            <v>24EU</v>
          </cell>
        </row>
        <row r="1752">
          <cell r="O1752">
            <v>24</v>
          </cell>
          <cell r="AN1752">
            <v>0</v>
          </cell>
          <cell r="AO1752">
            <v>0</v>
          </cell>
          <cell r="AP1752">
            <v>0</v>
          </cell>
          <cell r="AZ1752">
            <v>0</v>
          </cell>
          <cell r="BT1752">
            <v>0</v>
          </cell>
          <cell r="BX1752">
            <v>0</v>
          </cell>
          <cell r="CB1752">
            <v>0</v>
          </cell>
          <cell r="CE1752" t="str">
            <v>24EU</v>
          </cell>
          <cell r="CF1752" t="str">
            <v>24EU</v>
          </cell>
          <cell r="CG1752" t="str">
            <v>24EU</v>
          </cell>
        </row>
        <row r="1753">
          <cell r="O1753">
            <v>24</v>
          </cell>
          <cell r="AN1753">
            <v>0</v>
          </cell>
          <cell r="AO1753">
            <v>0</v>
          </cell>
          <cell r="AP1753">
            <v>0</v>
          </cell>
          <cell r="AZ1753">
            <v>0</v>
          </cell>
          <cell r="BT1753">
            <v>0</v>
          </cell>
          <cell r="BX1753">
            <v>0</v>
          </cell>
          <cell r="CB1753">
            <v>0</v>
          </cell>
          <cell r="CE1753" t="str">
            <v>24EU</v>
          </cell>
          <cell r="CF1753" t="str">
            <v>24EU</v>
          </cell>
          <cell r="CG1753" t="str">
            <v>24EU</v>
          </cell>
        </row>
        <row r="1754">
          <cell r="O1754">
            <v>25</v>
          </cell>
          <cell r="AN1754">
            <v>581</v>
          </cell>
          <cell r="AO1754">
            <v>0</v>
          </cell>
          <cell r="AP1754">
            <v>0</v>
          </cell>
          <cell r="AZ1754">
            <v>0</v>
          </cell>
          <cell r="BT1754">
            <v>581</v>
          </cell>
          <cell r="BX1754">
            <v>0</v>
          </cell>
          <cell r="CB1754">
            <v>0</v>
          </cell>
          <cell r="CE1754" t="str">
            <v>25EU</v>
          </cell>
          <cell r="CF1754" t="str">
            <v>25EU</v>
          </cell>
          <cell r="CG1754" t="str">
            <v>25EU</v>
          </cell>
        </row>
        <row r="1755">
          <cell r="O1755">
            <v>25</v>
          </cell>
          <cell r="AN1755">
            <v>0</v>
          </cell>
          <cell r="AO1755">
            <v>0</v>
          </cell>
          <cell r="AP1755">
            <v>541.57205034377296</v>
          </cell>
          <cell r="AZ1755">
            <v>0</v>
          </cell>
          <cell r="BT1755">
            <v>0</v>
          </cell>
          <cell r="BX1755">
            <v>0</v>
          </cell>
          <cell r="CB1755">
            <v>541.57205034377296</v>
          </cell>
          <cell r="CE1755" t="str">
            <v>25EU</v>
          </cell>
          <cell r="CF1755" t="str">
            <v>25EU</v>
          </cell>
          <cell r="CG1755" t="str">
            <v>25EU</v>
          </cell>
        </row>
        <row r="1756">
          <cell r="O1756">
            <v>25</v>
          </cell>
          <cell r="AN1756">
            <v>0</v>
          </cell>
          <cell r="AO1756">
            <v>741.75588865096358</v>
          </cell>
          <cell r="AP1756">
            <v>0</v>
          </cell>
          <cell r="AZ1756">
            <v>866</v>
          </cell>
          <cell r="BT1756">
            <v>0</v>
          </cell>
          <cell r="BX1756">
            <v>741.75588865096358</v>
          </cell>
          <cell r="CB1756">
            <v>0</v>
          </cell>
          <cell r="CE1756" t="str">
            <v>25EU</v>
          </cell>
          <cell r="CF1756" t="str">
            <v>25EU</v>
          </cell>
          <cell r="CG1756" t="str">
            <v>25EU</v>
          </cell>
        </row>
        <row r="1757">
          <cell r="O1757">
            <v>25</v>
          </cell>
          <cell r="AN1757">
            <v>0</v>
          </cell>
          <cell r="AO1757">
            <v>0</v>
          </cell>
          <cell r="AP1757">
            <v>0</v>
          </cell>
          <cell r="AZ1757">
            <v>0</v>
          </cell>
          <cell r="BT1757">
            <v>0</v>
          </cell>
          <cell r="BX1757">
            <v>0</v>
          </cell>
          <cell r="CB1757">
            <v>0</v>
          </cell>
          <cell r="CE1757" t="str">
            <v>25EU</v>
          </cell>
          <cell r="CF1757" t="str">
            <v>25EU</v>
          </cell>
          <cell r="CG1757" t="str">
            <v>25EU</v>
          </cell>
        </row>
        <row r="1758">
          <cell r="O1758">
            <v>25</v>
          </cell>
          <cell r="AN1758">
            <v>84.66</v>
          </cell>
          <cell r="AO1758">
            <v>0</v>
          </cell>
          <cell r="AP1758">
            <v>0</v>
          </cell>
          <cell r="AZ1758">
            <v>0</v>
          </cell>
          <cell r="BT1758">
            <v>84.66</v>
          </cell>
          <cell r="BX1758">
            <v>0</v>
          </cell>
          <cell r="CB1758">
            <v>0</v>
          </cell>
          <cell r="CE1758" t="str">
            <v>25EU</v>
          </cell>
          <cell r="CF1758" t="str">
            <v>25EU</v>
          </cell>
          <cell r="CG1758" t="str">
            <v>25EU</v>
          </cell>
        </row>
        <row r="1759">
          <cell r="O1759">
            <v>25</v>
          </cell>
          <cell r="AN1759">
            <v>1.2158199953798843</v>
          </cell>
          <cell r="AO1759">
            <v>0</v>
          </cell>
          <cell r="AP1759">
            <v>0</v>
          </cell>
          <cell r="AZ1759">
            <v>0</v>
          </cell>
          <cell r="BT1759">
            <v>1.2158199953798843</v>
          </cell>
          <cell r="BX1759">
            <v>0</v>
          </cell>
          <cell r="CB1759">
            <v>0</v>
          </cell>
          <cell r="CE1759" t="str">
            <v>25EU</v>
          </cell>
          <cell r="CF1759" t="str">
            <v>25EU</v>
          </cell>
          <cell r="CG1759" t="str">
            <v>25EU</v>
          </cell>
        </row>
        <row r="1760">
          <cell r="O1760">
            <v>25</v>
          </cell>
          <cell r="AN1760">
            <v>0.83739999681788013</v>
          </cell>
          <cell r="AO1760">
            <v>0</v>
          </cell>
          <cell r="AP1760">
            <v>0</v>
          </cell>
          <cell r="AZ1760">
            <v>0</v>
          </cell>
          <cell r="BT1760">
            <v>0.83739999681788013</v>
          </cell>
          <cell r="BX1760">
            <v>0</v>
          </cell>
          <cell r="CB1760">
            <v>0</v>
          </cell>
          <cell r="CE1760" t="str">
            <v>25EU</v>
          </cell>
          <cell r="CF1760" t="str">
            <v>25EU</v>
          </cell>
          <cell r="CG1760" t="str">
            <v>25EU</v>
          </cell>
        </row>
        <row r="1761">
          <cell r="O1761">
            <v>25</v>
          </cell>
          <cell r="AN1761">
            <v>0</v>
          </cell>
          <cell r="AO1761">
            <v>0.83739999681788013</v>
          </cell>
          <cell r="AP1761">
            <v>0</v>
          </cell>
          <cell r="AZ1761">
            <v>0.90455000000000008</v>
          </cell>
          <cell r="BT1761">
            <v>0</v>
          </cell>
          <cell r="BX1761">
            <v>0.83739999681788013</v>
          </cell>
          <cell r="CB1761">
            <v>0</v>
          </cell>
          <cell r="CE1761" t="str">
            <v>25EU</v>
          </cell>
          <cell r="CF1761" t="str">
            <v>25EU</v>
          </cell>
          <cell r="CG1761" t="str">
            <v>25EU</v>
          </cell>
        </row>
        <row r="1762">
          <cell r="O1762">
            <v>25</v>
          </cell>
          <cell r="AN1762">
            <v>3.5085999866673205</v>
          </cell>
          <cell r="AO1762">
            <v>0</v>
          </cell>
          <cell r="AP1762">
            <v>0</v>
          </cell>
          <cell r="AZ1762">
            <v>0</v>
          </cell>
          <cell r="BT1762">
            <v>3.5085999866673205</v>
          </cell>
          <cell r="BX1762">
            <v>0</v>
          </cell>
          <cell r="CB1762">
            <v>0</v>
          </cell>
          <cell r="CE1762" t="str">
            <v>25EU</v>
          </cell>
          <cell r="CF1762" t="str">
            <v>25EU</v>
          </cell>
          <cell r="CG1762" t="str">
            <v>25EU</v>
          </cell>
        </row>
        <row r="1763">
          <cell r="O1763">
            <v>25</v>
          </cell>
          <cell r="AN1763">
            <v>0</v>
          </cell>
          <cell r="AO1763">
            <v>3.5085999866673205</v>
          </cell>
          <cell r="AP1763">
            <v>0</v>
          </cell>
          <cell r="AZ1763">
            <v>3.7899500000000002</v>
          </cell>
          <cell r="BT1763">
            <v>0</v>
          </cell>
          <cell r="BX1763">
            <v>3.5085999866673205</v>
          </cell>
          <cell r="CB1763">
            <v>0</v>
          </cell>
          <cell r="CE1763" t="str">
            <v>25EU</v>
          </cell>
          <cell r="CF1763" t="str">
            <v>25EU</v>
          </cell>
          <cell r="CG1763" t="str">
            <v>25EU</v>
          </cell>
        </row>
        <row r="1764">
          <cell r="O1764">
            <v>25</v>
          </cell>
          <cell r="AN1764">
            <v>7.9800873059202102</v>
          </cell>
          <cell r="AO1764">
            <v>0</v>
          </cell>
          <cell r="AP1764">
            <v>0</v>
          </cell>
          <cell r="AZ1764">
            <v>0</v>
          </cell>
          <cell r="BT1764">
            <v>7.9800873059202102</v>
          </cell>
          <cell r="BX1764">
            <v>0</v>
          </cell>
          <cell r="CB1764">
            <v>0</v>
          </cell>
          <cell r="CE1764" t="str">
            <v>25EU</v>
          </cell>
          <cell r="CF1764" t="str">
            <v>25EU</v>
          </cell>
          <cell r="CG1764" t="str">
            <v>25EU</v>
          </cell>
        </row>
        <row r="1765">
          <cell r="O1765">
            <v>25</v>
          </cell>
          <cell r="AN1765">
            <v>0.78832199700437666</v>
          </cell>
          <cell r="AO1765">
            <v>0</v>
          </cell>
          <cell r="AP1765">
            <v>0</v>
          </cell>
          <cell r="AZ1765">
            <v>0</v>
          </cell>
          <cell r="BT1765">
            <v>0.78832199700437666</v>
          </cell>
          <cell r="BX1765">
            <v>0</v>
          </cell>
          <cell r="CB1765">
            <v>0</v>
          </cell>
          <cell r="CE1765" t="str">
            <v>25EU</v>
          </cell>
          <cell r="CF1765" t="str">
            <v>25EU</v>
          </cell>
          <cell r="CG1765" t="str">
            <v>25EU</v>
          </cell>
        </row>
        <row r="1766">
          <cell r="O1766">
            <v>25</v>
          </cell>
          <cell r="AN1766">
            <v>0.60843999768792811</v>
          </cell>
          <cell r="AO1766">
            <v>0</v>
          </cell>
          <cell r="AP1766">
            <v>0</v>
          </cell>
          <cell r="AZ1766">
            <v>0</v>
          </cell>
          <cell r="BT1766">
            <v>0.60843999768792811</v>
          </cell>
          <cell r="BX1766">
            <v>0</v>
          </cell>
          <cell r="CB1766">
            <v>0</v>
          </cell>
          <cell r="CE1766" t="str">
            <v>25EU</v>
          </cell>
          <cell r="CF1766" t="str">
            <v>25EU</v>
          </cell>
          <cell r="CG1766" t="str">
            <v>25EU</v>
          </cell>
        </row>
        <row r="1767">
          <cell r="O1767">
            <v>25</v>
          </cell>
          <cell r="AN1767">
            <v>0.17200619934637648</v>
          </cell>
          <cell r="AO1767">
            <v>0</v>
          </cell>
          <cell r="AP1767">
            <v>0</v>
          </cell>
          <cell r="AZ1767">
            <v>0</v>
          </cell>
          <cell r="BT1767">
            <v>0.17200619934637648</v>
          </cell>
          <cell r="BX1767">
            <v>0</v>
          </cell>
          <cell r="CB1767">
            <v>0</v>
          </cell>
          <cell r="CE1767" t="str">
            <v>25EU</v>
          </cell>
          <cell r="CF1767" t="str">
            <v>25EU</v>
          </cell>
          <cell r="CG1767" t="str">
            <v>25EU</v>
          </cell>
        </row>
        <row r="1768">
          <cell r="O1768">
            <v>25</v>
          </cell>
          <cell r="AN1768">
            <v>4.6385599823734726E-2</v>
          </cell>
          <cell r="AO1768">
            <v>0</v>
          </cell>
          <cell r="AP1768">
            <v>0</v>
          </cell>
          <cell r="AZ1768">
            <v>0</v>
          </cell>
          <cell r="BT1768">
            <v>4.6385599823734726E-2</v>
          </cell>
          <cell r="BX1768">
            <v>0</v>
          </cell>
          <cell r="CB1768">
            <v>0</v>
          </cell>
          <cell r="CE1768" t="str">
            <v>25EU</v>
          </cell>
          <cell r="CF1768" t="str">
            <v>25EU</v>
          </cell>
          <cell r="CG1768" t="str">
            <v>25EU</v>
          </cell>
        </row>
        <row r="1769">
          <cell r="O1769">
            <v>25</v>
          </cell>
          <cell r="AN1769">
            <v>68.104999741201013</v>
          </cell>
          <cell r="AO1769">
            <v>0</v>
          </cell>
          <cell r="AP1769">
            <v>0</v>
          </cell>
          <cell r="AZ1769">
            <v>0</v>
          </cell>
          <cell r="BT1769">
            <v>68.104999741201013</v>
          </cell>
          <cell r="BX1769">
            <v>0</v>
          </cell>
          <cell r="CB1769">
            <v>0</v>
          </cell>
          <cell r="CE1769" t="str">
            <v>25EU</v>
          </cell>
          <cell r="CF1769" t="str">
            <v>25EU</v>
          </cell>
          <cell r="CG1769" t="str">
            <v>25EU</v>
          </cell>
        </row>
        <row r="1770">
          <cell r="O1770">
            <v>25</v>
          </cell>
          <cell r="AN1770">
            <v>0</v>
          </cell>
          <cell r="AO1770">
            <v>68.104999741201013</v>
          </cell>
          <cell r="AP1770">
            <v>0</v>
          </cell>
          <cell r="AZ1770">
            <v>73.566249999999997</v>
          </cell>
          <cell r="BT1770">
            <v>0</v>
          </cell>
          <cell r="BX1770">
            <v>68.104999741201013</v>
          </cell>
          <cell r="CB1770">
            <v>0</v>
          </cell>
          <cell r="CE1770" t="str">
            <v>25EU</v>
          </cell>
          <cell r="CF1770" t="str">
            <v>25EU</v>
          </cell>
          <cell r="CG1770" t="str">
            <v>25EU</v>
          </cell>
        </row>
        <row r="1771">
          <cell r="O1771">
            <v>25</v>
          </cell>
          <cell r="AN1771">
            <v>0</v>
          </cell>
          <cell r="AO1771">
            <v>0</v>
          </cell>
          <cell r="AP1771">
            <v>11.108799957786562</v>
          </cell>
          <cell r="AZ1771">
            <v>0</v>
          </cell>
          <cell r="BT1771">
            <v>0</v>
          </cell>
          <cell r="BX1771">
            <v>0</v>
          </cell>
          <cell r="CB1771">
            <v>11.108799957786562</v>
          </cell>
          <cell r="CE1771" t="str">
            <v>25EU</v>
          </cell>
          <cell r="CF1771" t="str">
            <v>25EU</v>
          </cell>
          <cell r="CG1771" t="str">
            <v>25EU</v>
          </cell>
        </row>
        <row r="1772">
          <cell r="O1772">
            <v>25</v>
          </cell>
          <cell r="AN1772">
            <v>0</v>
          </cell>
          <cell r="AO1772">
            <v>0</v>
          </cell>
          <cell r="AP1772">
            <v>0</v>
          </cell>
          <cell r="AZ1772">
            <v>0</v>
          </cell>
          <cell r="BT1772">
            <v>0</v>
          </cell>
          <cell r="BX1772">
            <v>0</v>
          </cell>
          <cell r="CB1772">
            <v>0</v>
          </cell>
          <cell r="CE1772" t="str">
            <v>25EU</v>
          </cell>
          <cell r="CF1772" t="str">
            <v>25EU</v>
          </cell>
          <cell r="CG1772" t="str">
            <v>25EU</v>
          </cell>
        </row>
        <row r="1773">
          <cell r="O1773">
            <v>25</v>
          </cell>
          <cell r="AN1773">
            <v>0</v>
          </cell>
          <cell r="AO1773">
            <v>0</v>
          </cell>
          <cell r="AP1773">
            <v>12.831749318945306</v>
          </cell>
          <cell r="AZ1773">
            <v>0</v>
          </cell>
          <cell r="BT1773">
            <v>0</v>
          </cell>
          <cell r="BX1773">
            <v>0</v>
          </cell>
          <cell r="CB1773">
            <v>12.831749318945306</v>
          </cell>
          <cell r="CE1773" t="str">
            <v>25EU</v>
          </cell>
          <cell r="CF1773" t="str">
            <v>25EU</v>
          </cell>
          <cell r="CG1773" t="str">
            <v>25EU</v>
          </cell>
        </row>
        <row r="1774">
          <cell r="O1774">
            <v>25</v>
          </cell>
          <cell r="AN1774">
            <v>10.801399958954681</v>
          </cell>
          <cell r="AO1774">
            <v>0</v>
          </cell>
          <cell r="AP1774">
            <v>0</v>
          </cell>
          <cell r="AZ1774">
            <v>0</v>
          </cell>
          <cell r="BT1774">
            <v>10.801399958954681</v>
          </cell>
          <cell r="BX1774">
            <v>0</v>
          </cell>
          <cell r="CB1774">
            <v>0</v>
          </cell>
          <cell r="CE1774" t="str">
            <v>25EU</v>
          </cell>
          <cell r="CF1774" t="str">
            <v>25EU</v>
          </cell>
          <cell r="CG1774" t="str">
            <v>25EU</v>
          </cell>
        </row>
        <row r="1775">
          <cell r="O1775">
            <v>25</v>
          </cell>
          <cell r="AN1775">
            <v>0</v>
          </cell>
          <cell r="AO1775">
            <v>12.831749318945306</v>
          </cell>
          <cell r="AP1775">
            <v>0</v>
          </cell>
          <cell r="AZ1775">
            <v>12.665985999999998</v>
          </cell>
          <cell r="BT1775">
            <v>0</v>
          </cell>
          <cell r="BX1775">
            <v>12.831749318945306</v>
          </cell>
          <cell r="CB1775">
            <v>0</v>
          </cell>
          <cell r="CE1775" t="str">
            <v>25EU</v>
          </cell>
          <cell r="CF1775" t="str">
            <v>25EU</v>
          </cell>
          <cell r="CG1775" t="str">
            <v>25EU</v>
          </cell>
        </row>
        <row r="1776">
          <cell r="O1776">
            <v>25</v>
          </cell>
          <cell r="AN1776">
            <v>0</v>
          </cell>
          <cell r="AO1776">
            <v>0</v>
          </cell>
          <cell r="AP1776">
            <v>0</v>
          </cell>
          <cell r="AZ1776">
            <v>0</v>
          </cell>
          <cell r="BT1776">
            <v>0</v>
          </cell>
          <cell r="BX1776">
            <v>0</v>
          </cell>
          <cell r="CB1776">
            <v>0</v>
          </cell>
          <cell r="CE1776" t="str">
            <v>25EU</v>
          </cell>
          <cell r="CF1776" t="str">
            <v>25EU</v>
          </cell>
          <cell r="CG1776" t="str">
            <v>25EU</v>
          </cell>
        </row>
        <row r="1777">
          <cell r="O1777">
            <v>25</v>
          </cell>
          <cell r="AN1777">
            <v>0.31503199880287847</v>
          </cell>
          <cell r="AO1777">
            <v>0</v>
          </cell>
          <cell r="AP1777">
            <v>0</v>
          </cell>
          <cell r="AZ1777">
            <v>0</v>
          </cell>
          <cell r="BT1777">
            <v>0.31503199880287847</v>
          </cell>
          <cell r="BX1777">
            <v>0</v>
          </cell>
          <cell r="CB1777">
            <v>0</v>
          </cell>
          <cell r="CE1777" t="str">
            <v>25EU</v>
          </cell>
          <cell r="CF1777" t="str">
            <v>25EU</v>
          </cell>
          <cell r="CG1777" t="str">
            <v>25EU</v>
          </cell>
        </row>
        <row r="1778">
          <cell r="O1778">
            <v>25</v>
          </cell>
          <cell r="AN1778">
            <v>0</v>
          </cell>
          <cell r="AO1778">
            <v>0.31503199880287847</v>
          </cell>
          <cell r="AP1778">
            <v>0</v>
          </cell>
          <cell r="AZ1778">
            <v>0.34029400000000004</v>
          </cell>
          <cell r="BT1778">
            <v>0</v>
          </cell>
          <cell r="BX1778">
            <v>0.31503199880287847</v>
          </cell>
          <cell r="CB1778">
            <v>0</v>
          </cell>
          <cell r="CE1778" t="str">
            <v>25EU</v>
          </cell>
          <cell r="CF1778" t="str">
            <v>25EU</v>
          </cell>
          <cell r="CG1778" t="str">
            <v>25EU</v>
          </cell>
        </row>
        <row r="1779">
          <cell r="O1779">
            <v>25</v>
          </cell>
          <cell r="AN1779">
            <v>0.14521999944816402</v>
          </cell>
          <cell r="AO1779">
            <v>0</v>
          </cell>
          <cell r="AP1779">
            <v>0</v>
          </cell>
          <cell r="AZ1779">
            <v>0</v>
          </cell>
          <cell r="BT1779">
            <v>0.14521999944816402</v>
          </cell>
          <cell r="BX1779">
            <v>0</v>
          </cell>
          <cell r="CB1779">
            <v>0</v>
          </cell>
          <cell r="CE1779" t="str">
            <v>25EU</v>
          </cell>
          <cell r="CF1779" t="str">
            <v>25EU</v>
          </cell>
          <cell r="CG1779" t="str">
            <v>25EU</v>
          </cell>
        </row>
        <row r="1780">
          <cell r="O1780">
            <v>25</v>
          </cell>
          <cell r="AN1780">
            <v>0</v>
          </cell>
          <cell r="AO1780">
            <v>0.14521999944816402</v>
          </cell>
          <cell r="AP1780">
            <v>0</v>
          </cell>
          <cell r="AZ1780">
            <v>0.156865</v>
          </cell>
          <cell r="BT1780">
            <v>0</v>
          </cell>
          <cell r="BX1780">
            <v>0.14521999944816402</v>
          </cell>
          <cell r="CB1780">
            <v>0</v>
          </cell>
          <cell r="CE1780" t="str">
            <v>25EU</v>
          </cell>
          <cell r="CF1780" t="str">
            <v>25EU</v>
          </cell>
          <cell r="CG1780" t="str">
            <v>25EU</v>
          </cell>
        </row>
        <row r="1781">
          <cell r="O1781">
            <v>25</v>
          </cell>
          <cell r="AN1781">
            <v>1.0976299958290063</v>
          </cell>
          <cell r="AO1781">
            <v>0</v>
          </cell>
          <cell r="AP1781">
            <v>0</v>
          </cell>
          <cell r="AZ1781">
            <v>0</v>
          </cell>
          <cell r="BT1781">
            <v>1.0976299958290063</v>
          </cell>
          <cell r="BX1781">
            <v>0</v>
          </cell>
          <cell r="CB1781">
            <v>0</v>
          </cell>
          <cell r="CE1781" t="str">
            <v>25EU</v>
          </cell>
          <cell r="CF1781" t="str">
            <v>25EU</v>
          </cell>
          <cell r="CG1781" t="str">
            <v>25EU</v>
          </cell>
        </row>
        <row r="1782">
          <cell r="O1782">
            <v>25</v>
          </cell>
          <cell r="AN1782">
            <v>0</v>
          </cell>
          <cell r="AO1782">
            <v>1.0976299958290063</v>
          </cell>
          <cell r="AP1782">
            <v>0</v>
          </cell>
          <cell r="AZ1782">
            <v>1.1856475000000002</v>
          </cell>
          <cell r="BT1782">
            <v>0</v>
          </cell>
          <cell r="BX1782">
            <v>1.0976299958290063</v>
          </cell>
          <cell r="CB1782">
            <v>0</v>
          </cell>
          <cell r="CE1782" t="str">
            <v>25EU</v>
          </cell>
          <cell r="CF1782" t="str">
            <v>25EU</v>
          </cell>
          <cell r="CG1782" t="str">
            <v>25EU</v>
          </cell>
        </row>
        <row r="1783">
          <cell r="O1783">
            <v>25</v>
          </cell>
          <cell r="AN1783">
            <v>0</v>
          </cell>
          <cell r="AO1783">
            <v>0</v>
          </cell>
          <cell r="AP1783">
            <v>2.3001999912592401</v>
          </cell>
          <cell r="AZ1783">
            <v>0</v>
          </cell>
          <cell r="BT1783">
            <v>0</v>
          </cell>
          <cell r="BX1783">
            <v>0</v>
          </cell>
          <cell r="CB1783">
            <v>2.3001999912592401</v>
          </cell>
          <cell r="CE1783" t="str">
            <v>25EU</v>
          </cell>
          <cell r="CF1783" t="str">
            <v>25EU</v>
          </cell>
          <cell r="CG1783" t="str">
            <v>25EU</v>
          </cell>
        </row>
        <row r="1784">
          <cell r="O1784">
            <v>25</v>
          </cell>
          <cell r="AN1784">
            <v>0</v>
          </cell>
          <cell r="AO1784">
            <v>0</v>
          </cell>
          <cell r="AP1784">
            <v>0</v>
          </cell>
          <cell r="AZ1784">
            <v>0</v>
          </cell>
          <cell r="BT1784">
            <v>0</v>
          </cell>
          <cell r="BX1784">
            <v>0</v>
          </cell>
          <cell r="CB1784">
            <v>0</v>
          </cell>
          <cell r="CE1784" t="str">
            <v>25EU</v>
          </cell>
          <cell r="CF1784" t="str">
            <v>25EU</v>
          </cell>
          <cell r="CG1784" t="str">
            <v>25EU</v>
          </cell>
        </row>
        <row r="1785">
          <cell r="O1785">
            <v>25</v>
          </cell>
          <cell r="AN1785">
            <v>0.12189999953678003</v>
          </cell>
          <cell r="AO1785">
            <v>0</v>
          </cell>
          <cell r="AP1785">
            <v>0.12189999953678003</v>
          </cell>
          <cell r="AZ1785">
            <v>0</v>
          </cell>
          <cell r="BT1785">
            <v>0.12189999953678003</v>
          </cell>
          <cell r="BX1785">
            <v>0</v>
          </cell>
          <cell r="CB1785">
            <v>0.12189999953678003</v>
          </cell>
          <cell r="CE1785" t="str">
            <v>25EU</v>
          </cell>
          <cell r="CF1785" t="str">
            <v>25EU</v>
          </cell>
          <cell r="CG1785" t="str">
            <v>25EU</v>
          </cell>
        </row>
        <row r="1786">
          <cell r="O1786">
            <v>25</v>
          </cell>
          <cell r="AN1786">
            <v>2.4401199907275444E-2</v>
          </cell>
          <cell r="AO1786">
            <v>0</v>
          </cell>
          <cell r="AP1786">
            <v>0</v>
          </cell>
          <cell r="AZ1786">
            <v>0</v>
          </cell>
          <cell r="BT1786">
            <v>2.4401199907275444E-2</v>
          </cell>
          <cell r="BX1786">
            <v>0</v>
          </cell>
          <cell r="CB1786">
            <v>0</v>
          </cell>
          <cell r="CE1786" t="str">
            <v>25EU</v>
          </cell>
          <cell r="CF1786" t="str">
            <v>25EU</v>
          </cell>
          <cell r="CG1786" t="str">
            <v>25EU</v>
          </cell>
        </row>
        <row r="1787">
          <cell r="O1787">
            <v>25</v>
          </cell>
          <cell r="AN1787">
            <v>9.7519999629424019E-3</v>
          </cell>
          <cell r="AO1787">
            <v>0</v>
          </cell>
          <cell r="AP1787">
            <v>0</v>
          </cell>
          <cell r="AZ1787">
            <v>0</v>
          </cell>
          <cell r="BT1787">
            <v>9.7519999629424019E-3</v>
          </cell>
          <cell r="BX1787">
            <v>0</v>
          </cell>
          <cell r="CB1787">
            <v>0</v>
          </cell>
          <cell r="CE1787" t="str">
            <v>25EU</v>
          </cell>
          <cell r="CF1787" t="str">
            <v>25EU</v>
          </cell>
          <cell r="CG1787" t="str">
            <v>25EU</v>
          </cell>
        </row>
        <row r="1788">
          <cell r="O1788">
            <v>25</v>
          </cell>
          <cell r="AN1788">
            <v>6.9694999735158998</v>
          </cell>
          <cell r="AO1788">
            <v>0</v>
          </cell>
          <cell r="AP1788">
            <v>0</v>
          </cell>
          <cell r="AZ1788">
            <v>0</v>
          </cell>
          <cell r="BT1788">
            <v>6.9694999735158998</v>
          </cell>
          <cell r="BX1788">
            <v>0</v>
          </cell>
          <cell r="CB1788">
            <v>0</v>
          </cell>
          <cell r="CE1788" t="str">
            <v>25EU</v>
          </cell>
          <cell r="CF1788" t="str">
            <v>25EU</v>
          </cell>
          <cell r="CG1788" t="str">
            <v>25EU</v>
          </cell>
        </row>
        <row r="1789">
          <cell r="O1789">
            <v>25</v>
          </cell>
          <cell r="AN1789">
            <v>0</v>
          </cell>
          <cell r="AO1789">
            <v>15.332899941734981</v>
          </cell>
          <cell r="AP1789">
            <v>0</v>
          </cell>
          <cell r="AZ1789">
            <v>16.562424999999998</v>
          </cell>
          <cell r="BT1789">
            <v>0</v>
          </cell>
          <cell r="BX1789">
            <v>15.332899941734981</v>
          </cell>
          <cell r="CB1789">
            <v>0</v>
          </cell>
          <cell r="CE1789" t="str">
            <v>25EU</v>
          </cell>
          <cell r="CF1789" t="str">
            <v>25EU</v>
          </cell>
          <cell r="CG1789" t="str">
            <v>25EU</v>
          </cell>
        </row>
        <row r="1790">
          <cell r="O1790">
            <v>25</v>
          </cell>
          <cell r="AN1790">
            <v>0</v>
          </cell>
          <cell r="AO1790">
            <v>0</v>
          </cell>
          <cell r="AP1790">
            <v>0</v>
          </cell>
          <cell r="AZ1790">
            <v>0</v>
          </cell>
          <cell r="BT1790">
            <v>0</v>
          </cell>
          <cell r="BX1790">
            <v>0</v>
          </cell>
          <cell r="CB1790">
            <v>0</v>
          </cell>
          <cell r="CE1790" t="str">
            <v>25EU</v>
          </cell>
          <cell r="CF1790" t="str">
            <v>25EU</v>
          </cell>
          <cell r="CG1790" t="str">
            <v>25EU</v>
          </cell>
        </row>
        <row r="1791">
          <cell r="O1791">
            <v>25</v>
          </cell>
          <cell r="AN1791">
            <v>0</v>
          </cell>
          <cell r="AO1791">
            <v>0</v>
          </cell>
          <cell r="AP1791">
            <v>0.1734159993410192</v>
          </cell>
          <cell r="AZ1791">
            <v>0</v>
          </cell>
          <cell r="BT1791">
            <v>0</v>
          </cell>
          <cell r="BX1791">
            <v>0</v>
          </cell>
          <cell r="CB1791">
            <v>0.1734159993410192</v>
          </cell>
          <cell r="CE1791" t="str">
            <v>25EU</v>
          </cell>
          <cell r="CF1791" t="str">
            <v>25EU</v>
          </cell>
          <cell r="CG1791" t="str">
            <v>25EU</v>
          </cell>
        </row>
        <row r="1792">
          <cell r="O1792">
            <v>25</v>
          </cell>
          <cell r="AN1792">
            <v>0</v>
          </cell>
          <cell r="AO1792">
            <v>0</v>
          </cell>
          <cell r="AP1792">
            <v>1.2600000000000002</v>
          </cell>
          <cell r="AZ1792">
            <v>0</v>
          </cell>
          <cell r="BT1792">
            <v>0</v>
          </cell>
          <cell r="BX1792">
            <v>0</v>
          </cell>
          <cell r="CB1792">
            <v>1.2600000000000002</v>
          </cell>
          <cell r="CE1792" t="str">
            <v>25EU</v>
          </cell>
          <cell r="CF1792" t="str">
            <v>25EU</v>
          </cell>
          <cell r="CG1792" t="str">
            <v>25EU</v>
          </cell>
        </row>
        <row r="1793">
          <cell r="O1793">
            <v>25</v>
          </cell>
          <cell r="AN1793">
            <v>0</v>
          </cell>
          <cell r="AO1793">
            <v>0</v>
          </cell>
          <cell r="AP1793">
            <v>0.26075999900911201</v>
          </cell>
          <cell r="AZ1793">
            <v>0</v>
          </cell>
          <cell r="BT1793">
            <v>0</v>
          </cell>
          <cell r="BX1793">
            <v>0</v>
          </cell>
          <cell r="CB1793">
            <v>0.26075999900911201</v>
          </cell>
          <cell r="CE1793" t="str">
            <v>25EU</v>
          </cell>
          <cell r="CF1793" t="str">
            <v>25EU</v>
          </cell>
          <cell r="CG1793" t="str">
            <v>25EU</v>
          </cell>
        </row>
        <row r="1794">
          <cell r="O1794">
            <v>25</v>
          </cell>
          <cell r="AN1794">
            <v>0</v>
          </cell>
          <cell r="AO1794">
            <v>0</v>
          </cell>
          <cell r="AP1794">
            <v>5.3773799795659567</v>
          </cell>
          <cell r="AZ1794">
            <v>0</v>
          </cell>
          <cell r="BT1794">
            <v>0</v>
          </cell>
          <cell r="BX1794">
            <v>0</v>
          </cell>
          <cell r="CB1794">
            <v>5.3773799795659567</v>
          </cell>
          <cell r="CE1794" t="str">
            <v>25EU</v>
          </cell>
          <cell r="CF1794" t="str">
            <v>25EU</v>
          </cell>
          <cell r="CG1794" t="str">
            <v>25EU</v>
          </cell>
        </row>
        <row r="1795">
          <cell r="O1795">
            <v>25</v>
          </cell>
          <cell r="AN1795">
            <v>0</v>
          </cell>
          <cell r="AO1795">
            <v>0</v>
          </cell>
          <cell r="AP1795">
            <v>0.12984999950657003</v>
          </cell>
          <cell r="AZ1795">
            <v>0</v>
          </cell>
          <cell r="BT1795">
            <v>0</v>
          </cell>
          <cell r="BX1795">
            <v>0</v>
          </cell>
          <cell r="CB1795">
            <v>0.12984999950657003</v>
          </cell>
          <cell r="CE1795" t="str">
            <v>25EU</v>
          </cell>
          <cell r="CF1795" t="str">
            <v>25EU</v>
          </cell>
          <cell r="CG1795" t="str">
            <v>25EU</v>
          </cell>
        </row>
        <row r="1796">
          <cell r="O1796">
            <v>25</v>
          </cell>
          <cell r="AN1796">
            <v>0</v>
          </cell>
          <cell r="AO1796">
            <v>0</v>
          </cell>
          <cell r="AP1796">
            <v>0.10106039961597049</v>
          </cell>
          <cell r="AZ1796">
            <v>0</v>
          </cell>
          <cell r="BT1796">
            <v>0</v>
          </cell>
          <cell r="BX1796">
            <v>0</v>
          </cell>
          <cell r="CB1796">
            <v>0.10106039961597049</v>
          </cell>
          <cell r="CE1796" t="str">
            <v>25EU</v>
          </cell>
          <cell r="CF1796" t="str">
            <v>25EU</v>
          </cell>
          <cell r="CG1796" t="str">
            <v>25EU</v>
          </cell>
        </row>
        <row r="1797">
          <cell r="O1797">
            <v>25</v>
          </cell>
          <cell r="AN1797">
            <v>0</v>
          </cell>
          <cell r="AO1797">
            <v>0</v>
          </cell>
          <cell r="AP1797">
            <v>1.8515283772436684E-2</v>
          </cell>
          <cell r="AZ1797">
            <v>0</v>
          </cell>
          <cell r="BT1797">
            <v>0</v>
          </cell>
          <cell r="BX1797">
            <v>0</v>
          </cell>
          <cell r="CB1797">
            <v>1.8515283772436684E-2</v>
          </cell>
          <cell r="CE1797" t="str">
            <v>25EU</v>
          </cell>
          <cell r="CF1797" t="str">
            <v>25EU</v>
          </cell>
          <cell r="CG1797" t="str">
            <v>25EU</v>
          </cell>
        </row>
        <row r="1798">
          <cell r="O1798">
            <v>25</v>
          </cell>
          <cell r="AN1798">
            <v>0</v>
          </cell>
          <cell r="AO1798">
            <v>0</v>
          </cell>
          <cell r="AP1798">
            <v>0</v>
          </cell>
          <cell r="AZ1798">
            <v>0</v>
          </cell>
          <cell r="BT1798">
            <v>0</v>
          </cell>
          <cell r="BX1798">
            <v>0</v>
          </cell>
          <cell r="CB1798">
            <v>0</v>
          </cell>
          <cell r="CE1798" t="str">
            <v>25EU</v>
          </cell>
          <cell r="CF1798" t="str">
            <v>25EU</v>
          </cell>
          <cell r="CG1798" t="str">
            <v>25EU</v>
          </cell>
        </row>
        <row r="1799">
          <cell r="O1799">
            <v>25</v>
          </cell>
          <cell r="AN1799">
            <v>0</v>
          </cell>
          <cell r="AO1799">
            <v>0</v>
          </cell>
          <cell r="AP1799">
            <v>0</v>
          </cell>
          <cell r="AZ1799">
            <v>0</v>
          </cell>
          <cell r="BT1799">
            <v>0</v>
          </cell>
          <cell r="BX1799">
            <v>0</v>
          </cell>
          <cell r="CB1799">
            <v>0</v>
          </cell>
          <cell r="CE1799" t="str">
            <v>25EU</v>
          </cell>
          <cell r="CF1799" t="str">
            <v>25EU</v>
          </cell>
          <cell r="CG1799" t="str">
            <v>25EU</v>
          </cell>
        </row>
        <row r="1800">
          <cell r="O1800">
            <v>25</v>
          </cell>
          <cell r="AN1800">
            <v>0</v>
          </cell>
          <cell r="AO1800">
            <v>0</v>
          </cell>
          <cell r="AP1800">
            <v>0</v>
          </cell>
          <cell r="AZ1800">
            <v>0</v>
          </cell>
          <cell r="BT1800">
            <v>0</v>
          </cell>
          <cell r="BX1800">
            <v>0</v>
          </cell>
          <cell r="CB1800">
            <v>0</v>
          </cell>
          <cell r="CE1800" t="str">
            <v>25EU</v>
          </cell>
          <cell r="CF1800" t="str">
            <v>25EU</v>
          </cell>
          <cell r="CG1800" t="str">
            <v>25EU</v>
          </cell>
        </row>
        <row r="1801">
          <cell r="O1801">
            <v>25</v>
          </cell>
          <cell r="AN1801">
            <v>0</v>
          </cell>
          <cell r="AO1801">
            <v>2.7772925658655025</v>
          </cell>
          <cell r="AP1801">
            <v>0</v>
          </cell>
          <cell r="AZ1801">
            <v>3</v>
          </cell>
          <cell r="BT1801">
            <v>0</v>
          </cell>
          <cell r="BX1801">
            <v>2.7772925658655025</v>
          </cell>
          <cell r="CB1801">
            <v>0</v>
          </cell>
          <cell r="CE1801" t="str">
            <v>25EU</v>
          </cell>
          <cell r="CF1801" t="str">
            <v>25EU</v>
          </cell>
          <cell r="CG1801" t="str">
            <v>25EU</v>
          </cell>
        </row>
        <row r="1802">
          <cell r="O1802">
            <v>26</v>
          </cell>
          <cell r="AN1802">
            <v>101.79179961319117</v>
          </cell>
          <cell r="AO1802">
            <v>0</v>
          </cell>
          <cell r="AP1802">
            <v>0</v>
          </cell>
          <cell r="AZ1802">
            <v>0</v>
          </cell>
          <cell r="BT1802">
            <v>101.79179961319117</v>
          </cell>
          <cell r="BX1802">
            <v>0</v>
          </cell>
          <cell r="CB1802">
            <v>0</v>
          </cell>
          <cell r="CE1802" t="str">
            <v>26EU</v>
          </cell>
          <cell r="CF1802" t="str">
            <v>26EU</v>
          </cell>
          <cell r="CG1802" t="str">
            <v>26EU</v>
          </cell>
        </row>
        <row r="1803">
          <cell r="O1803">
            <v>26</v>
          </cell>
          <cell r="AN1803">
            <v>0</v>
          </cell>
          <cell r="AO1803">
            <v>0</v>
          </cell>
          <cell r="AP1803">
            <v>101.79179961319117</v>
          </cell>
          <cell r="AZ1803">
            <v>0</v>
          </cell>
          <cell r="BT1803">
            <v>0</v>
          </cell>
          <cell r="BX1803">
            <v>0</v>
          </cell>
          <cell r="CB1803">
            <v>101.79179961319117</v>
          </cell>
          <cell r="CE1803" t="str">
            <v>26EU</v>
          </cell>
          <cell r="CF1803" t="str">
            <v>26EU</v>
          </cell>
          <cell r="CG1803" t="str">
            <v>26EU</v>
          </cell>
        </row>
        <row r="1804">
          <cell r="O1804">
            <v>26</v>
          </cell>
          <cell r="AN1804">
            <v>0</v>
          </cell>
          <cell r="AO1804">
            <v>0</v>
          </cell>
          <cell r="AP1804">
            <v>0</v>
          </cell>
          <cell r="AZ1804">
            <v>0</v>
          </cell>
          <cell r="BT1804">
            <v>0</v>
          </cell>
          <cell r="BX1804">
            <v>0</v>
          </cell>
          <cell r="CB1804">
            <v>0</v>
          </cell>
          <cell r="CE1804" t="str">
            <v>26EU</v>
          </cell>
          <cell r="CF1804" t="str">
            <v>26EU</v>
          </cell>
          <cell r="CG1804" t="str">
            <v>26EU</v>
          </cell>
        </row>
        <row r="1805">
          <cell r="O1805">
            <v>26</v>
          </cell>
          <cell r="AN1805">
            <v>0</v>
          </cell>
          <cell r="AO1805">
            <v>17.987152034261243</v>
          </cell>
          <cell r="AP1805">
            <v>0</v>
          </cell>
          <cell r="AZ1805">
            <v>21</v>
          </cell>
          <cell r="BT1805">
            <v>0</v>
          </cell>
          <cell r="BX1805">
            <v>17.987152034261243</v>
          </cell>
          <cell r="CB1805">
            <v>0</v>
          </cell>
          <cell r="CE1805" t="str">
            <v>26EU</v>
          </cell>
          <cell r="CF1805" t="str">
            <v>26EU</v>
          </cell>
          <cell r="CG1805" t="str">
            <v>26EU</v>
          </cell>
        </row>
        <row r="1806">
          <cell r="O1806">
            <v>26</v>
          </cell>
          <cell r="AN1806">
            <v>0</v>
          </cell>
          <cell r="AO1806">
            <v>16.274089935760173</v>
          </cell>
          <cell r="AP1806">
            <v>0</v>
          </cell>
          <cell r="AZ1806">
            <v>19</v>
          </cell>
          <cell r="BT1806">
            <v>0</v>
          </cell>
          <cell r="BX1806">
            <v>16.274089935760173</v>
          </cell>
          <cell r="CB1806">
            <v>0</v>
          </cell>
          <cell r="CE1806" t="str">
            <v>26EU</v>
          </cell>
          <cell r="CF1806" t="str">
            <v>26EU</v>
          </cell>
          <cell r="CG1806" t="str">
            <v>26EU</v>
          </cell>
        </row>
        <row r="1807">
          <cell r="O1807">
            <v>26</v>
          </cell>
          <cell r="AN1807">
            <v>0</v>
          </cell>
          <cell r="AO1807">
            <v>0</v>
          </cell>
          <cell r="AP1807">
            <v>0</v>
          </cell>
          <cell r="AZ1807">
            <v>0</v>
          </cell>
          <cell r="BT1807">
            <v>0</v>
          </cell>
          <cell r="BX1807">
            <v>0</v>
          </cell>
          <cell r="CB1807">
            <v>0</v>
          </cell>
          <cell r="CE1807" t="str">
            <v>26EU</v>
          </cell>
          <cell r="CF1807" t="str">
            <v>26EU</v>
          </cell>
          <cell r="CG1807" t="str">
            <v>26EU</v>
          </cell>
        </row>
        <row r="1808">
          <cell r="O1808">
            <v>26</v>
          </cell>
          <cell r="AN1808">
            <v>0</v>
          </cell>
          <cell r="AO1808">
            <v>0</v>
          </cell>
          <cell r="AP1808">
            <v>13.228799949730561</v>
          </cell>
          <cell r="AZ1808">
            <v>0</v>
          </cell>
          <cell r="BT1808">
            <v>0</v>
          </cell>
          <cell r="BX1808">
            <v>0</v>
          </cell>
          <cell r="CB1808">
            <v>13.228799949730561</v>
          </cell>
          <cell r="CE1808" t="str">
            <v>26EU</v>
          </cell>
          <cell r="CF1808" t="str">
            <v>26EU</v>
          </cell>
          <cell r="CG1808" t="str">
            <v>26EU</v>
          </cell>
        </row>
        <row r="1809">
          <cell r="O1809">
            <v>26</v>
          </cell>
          <cell r="AN1809">
            <v>13.016799950536161</v>
          </cell>
          <cell r="AO1809">
            <v>0</v>
          </cell>
          <cell r="AP1809">
            <v>13.016799950536161</v>
          </cell>
          <cell r="AZ1809">
            <v>0</v>
          </cell>
          <cell r="BT1809">
            <v>13.016799950536161</v>
          </cell>
          <cell r="BX1809">
            <v>0</v>
          </cell>
          <cell r="CB1809">
            <v>13.016799950536161</v>
          </cell>
          <cell r="CE1809" t="str">
            <v>26EU</v>
          </cell>
          <cell r="CF1809" t="str">
            <v>26EU</v>
          </cell>
          <cell r="CG1809" t="str">
            <v>26EU</v>
          </cell>
        </row>
        <row r="1810">
          <cell r="O1810">
            <v>26</v>
          </cell>
          <cell r="AN1810">
            <v>0.40067999847741609</v>
          </cell>
          <cell r="AO1810">
            <v>0</v>
          </cell>
          <cell r="AP1810">
            <v>0.40067999847741609</v>
          </cell>
          <cell r="AZ1810">
            <v>0</v>
          </cell>
          <cell r="BT1810">
            <v>0.40067999847741609</v>
          </cell>
          <cell r="BX1810">
            <v>0</v>
          </cell>
          <cell r="CB1810">
            <v>0.40067999847741609</v>
          </cell>
          <cell r="CE1810" t="str">
            <v>26EU</v>
          </cell>
          <cell r="CF1810" t="str">
            <v>26EU</v>
          </cell>
          <cell r="CG1810" t="str">
            <v>26EU</v>
          </cell>
        </row>
        <row r="1811">
          <cell r="O1811">
            <v>27</v>
          </cell>
          <cell r="AN1811">
            <v>18.125350000000001</v>
          </cell>
          <cell r="AO1811">
            <v>0</v>
          </cell>
          <cell r="AP1811">
            <v>18.125350000000001</v>
          </cell>
          <cell r="AZ1811">
            <v>0</v>
          </cell>
          <cell r="BT1811">
            <v>14.635411287999256</v>
          </cell>
          <cell r="BX1811">
            <v>0</v>
          </cell>
          <cell r="CB1811">
            <v>14.635411287999256</v>
          </cell>
          <cell r="CE1811" t="str">
            <v>27LOCAL</v>
          </cell>
          <cell r="CF1811" t="str">
            <v>27LOCAL</v>
          </cell>
          <cell r="CG1811" t="str">
            <v>27LOCAL</v>
          </cell>
        </row>
        <row r="1812">
          <cell r="O1812">
            <v>27</v>
          </cell>
          <cell r="AN1812">
            <v>0</v>
          </cell>
          <cell r="AO1812">
            <v>0</v>
          </cell>
          <cell r="AP1812">
            <v>0</v>
          </cell>
          <cell r="AZ1812">
            <v>0</v>
          </cell>
          <cell r="BT1812">
            <v>0</v>
          </cell>
          <cell r="BX1812">
            <v>0</v>
          </cell>
          <cell r="CB1812">
            <v>0</v>
          </cell>
          <cell r="CE1812" t="str">
            <v>27EU</v>
          </cell>
          <cell r="CF1812" t="str">
            <v>27EU</v>
          </cell>
          <cell r="CG1812" t="str">
            <v>27EU</v>
          </cell>
        </row>
        <row r="1813">
          <cell r="O1813">
            <v>27</v>
          </cell>
          <cell r="AN1813">
            <v>0.22800000000000001</v>
          </cell>
          <cell r="AO1813">
            <v>0.22800000000000001</v>
          </cell>
          <cell r="AP1813">
            <v>0.22800000000000001</v>
          </cell>
          <cell r="AZ1813">
            <v>0.22800000000000001</v>
          </cell>
          <cell r="BT1813">
            <v>0.22800000000000001</v>
          </cell>
          <cell r="BX1813">
            <v>0.22800000000000001</v>
          </cell>
          <cell r="CB1813">
            <v>0.22800000000000001</v>
          </cell>
          <cell r="CE1813" t="str">
            <v>27EU</v>
          </cell>
          <cell r="CF1813" t="str">
            <v>27EU</v>
          </cell>
          <cell r="CG1813" t="str">
            <v>27EU</v>
          </cell>
        </row>
        <row r="1814">
          <cell r="O1814">
            <v>27</v>
          </cell>
          <cell r="AN1814">
            <v>12.449381952692351</v>
          </cell>
          <cell r="AO1814">
            <v>12.449381952692351</v>
          </cell>
          <cell r="AP1814">
            <v>12.449381952692351</v>
          </cell>
          <cell r="AZ1814">
            <v>13.4476815</v>
          </cell>
          <cell r="BT1814">
            <v>10.798865834467442</v>
          </cell>
          <cell r="BX1814">
            <v>12.449381952692351</v>
          </cell>
          <cell r="CB1814">
            <v>12.449381952692351</v>
          </cell>
          <cell r="CE1814" t="str">
            <v>27LOCAL</v>
          </cell>
          <cell r="CF1814" t="str">
            <v>27EU</v>
          </cell>
          <cell r="CG1814" t="str">
            <v>27EU</v>
          </cell>
        </row>
        <row r="1815">
          <cell r="O1815">
            <v>27</v>
          </cell>
          <cell r="AN1815">
            <v>0.1</v>
          </cell>
          <cell r="AO1815">
            <v>0.1</v>
          </cell>
          <cell r="AP1815">
            <v>0.1</v>
          </cell>
          <cell r="AZ1815">
            <v>0.1</v>
          </cell>
          <cell r="BT1815">
            <v>0.1</v>
          </cell>
          <cell r="BX1815">
            <v>0.1</v>
          </cell>
          <cell r="CB1815">
            <v>0.1</v>
          </cell>
          <cell r="CE1815" t="str">
            <v>27EU</v>
          </cell>
          <cell r="CF1815" t="str">
            <v>27EU</v>
          </cell>
          <cell r="CG1815" t="str">
            <v>27EU</v>
          </cell>
        </row>
        <row r="1816">
          <cell r="O1816">
            <v>27</v>
          </cell>
          <cell r="AN1816">
            <v>0.06</v>
          </cell>
          <cell r="AO1816">
            <v>0.06</v>
          </cell>
          <cell r="AP1816">
            <v>0.06</v>
          </cell>
          <cell r="AZ1816">
            <v>0.06</v>
          </cell>
          <cell r="BT1816">
            <v>0.06</v>
          </cell>
          <cell r="BX1816">
            <v>0.06</v>
          </cell>
          <cell r="CB1816">
            <v>0.06</v>
          </cell>
          <cell r="CE1816" t="str">
            <v>27EU</v>
          </cell>
          <cell r="CF1816" t="str">
            <v>27EU</v>
          </cell>
          <cell r="CG1816" t="str">
            <v>27EU</v>
          </cell>
        </row>
        <row r="1817">
          <cell r="O1817">
            <v>28</v>
          </cell>
          <cell r="AN1817">
            <v>0</v>
          </cell>
          <cell r="AO1817">
            <v>113.48359956876234</v>
          </cell>
          <cell r="AP1817">
            <v>0</v>
          </cell>
          <cell r="AZ1817">
            <v>122.58370000000001</v>
          </cell>
          <cell r="BT1817">
            <v>0</v>
          </cell>
          <cell r="BX1817">
            <v>76.292835814574019</v>
          </cell>
          <cell r="CB1817">
            <v>0</v>
          </cell>
          <cell r="CE1817" t="str">
            <v>28EU</v>
          </cell>
          <cell r="CF1817" t="str">
            <v>28LOCAL</v>
          </cell>
          <cell r="CG1817" t="str">
            <v>28EU</v>
          </cell>
        </row>
        <row r="1818">
          <cell r="O1818">
            <v>28</v>
          </cell>
          <cell r="AN1818">
            <v>92.410799648838989</v>
          </cell>
          <cell r="AO1818">
            <v>0</v>
          </cell>
          <cell r="AP1818">
            <v>0</v>
          </cell>
          <cell r="AZ1818">
            <v>0</v>
          </cell>
          <cell r="BT1818">
            <v>79.766511525634911</v>
          </cell>
          <cell r="BX1818">
            <v>0</v>
          </cell>
          <cell r="CB1818">
            <v>0</v>
          </cell>
          <cell r="CE1818" t="str">
            <v>28LOCAL</v>
          </cell>
          <cell r="CF1818" t="str">
            <v>28EU</v>
          </cell>
          <cell r="CG1818" t="str">
            <v>28EU</v>
          </cell>
        </row>
        <row r="1819">
          <cell r="O1819">
            <v>28</v>
          </cell>
          <cell r="AN1819">
            <v>0</v>
          </cell>
          <cell r="AO1819">
            <v>0</v>
          </cell>
          <cell r="AP1819">
            <v>92.410799648838989</v>
          </cell>
          <cell r="AZ1819">
            <v>0</v>
          </cell>
          <cell r="BT1819">
            <v>0</v>
          </cell>
          <cell r="BX1819">
            <v>0</v>
          </cell>
          <cell r="CB1819">
            <v>95.843508484252524</v>
          </cell>
          <cell r="CE1819" t="str">
            <v>28EU</v>
          </cell>
          <cell r="CF1819" t="str">
            <v>28EU</v>
          </cell>
          <cell r="CG1819" t="str">
            <v>28LOCAL</v>
          </cell>
        </row>
        <row r="1820">
          <cell r="O1820">
            <v>28</v>
          </cell>
          <cell r="AN1820">
            <v>0.80559999693872009</v>
          </cell>
          <cell r="AO1820">
            <v>0</v>
          </cell>
          <cell r="AP1820">
            <v>0.80559999693872009</v>
          </cell>
          <cell r="AZ1820">
            <v>0</v>
          </cell>
          <cell r="BT1820">
            <v>0.80559999693872009</v>
          </cell>
          <cell r="BX1820">
            <v>0</v>
          </cell>
          <cell r="CB1820">
            <v>0.80559999693872009</v>
          </cell>
          <cell r="CE1820" t="str">
            <v>28EU</v>
          </cell>
          <cell r="CF1820" t="str">
            <v>28EU</v>
          </cell>
          <cell r="CG1820" t="str">
            <v>28EU</v>
          </cell>
        </row>
        <row r="1821">
          <cell r="O1821">
            <v>28</v>
          </cell>
          <cell r="AN1821">
            <v>0</v>
          </cell>
          <cell r="AO1821">
            <v>0.80559999693872009</v>
          </cell>
          <cell r="AP1821">
            <v>0</v>
          </cell>
          <cell r="AZ1821">
            <v>0.87019999999999997</v>
          </cell>
          <cell r="BT1821">
            <v>0</v>
          </cell>
          <cell r="BX1821">
            <v>0.80559999693872009</v>
          </cell>
          <cell r="CB1821">
            <v>0</v>
          </cell>
          <cell r="CE1821" t="str">
            <v>28EU</v>
          </cell>
          <cell r="CF1821" t="str">
            <v>28EU</v>
          </cell>
          <cell r="CG1821" t="str">
            <v>28EU</v>
          </cell>
        </row>
        <row r="1822">
          <cell r="O1822">
            <v>28</v>
          </cell>
          <cell r="AN1822">
            <v>0</v>
          </cell>
          <cell r="AO1822">
            <v>8.1725999689441213</v>
          </cell>
          <cell r="AP1822">
            <v>0</v>
          </cell>
          <cell r="AZ1822">
            <v>8.8279499999999995</v>
          </cell>
          <cell r="BT1822">
            <v>0</v>
          </cell>
          <cell r="BX1822">
            <v>8.1725999689441213</v>
          </cell>
          <cell r="CB1822">
            <v>0</v>
          </cell>
          <cell r="CE1822" t="str">
            <v>28EU</v>
          </cell>
          <cell r="CF1822" t="str">
            <v>28EU</v>
          </cell>
          <cell r="CG1822" t="str">
            <v>28EU</v>
          </cell>
        </row>
        <row r="1823">
          <cell r="O1823">
            <v>28</v>
          </cell>
          <cell r="AN1823">
            <v>4.4307999831629603</v>
          </cell>
          <cell r="AO1823">
            <v>0</v>
          </cell>
          <cell r="AP1823">
            <v>4.4307999831629603</v>
          </cell>
          <cell r="AZ1823">
            <v>0</v>
          </cell>
          <cell r="BT1823">
            <v>4.4307999831629603</v>
          </cell>
          <cell r="BX1823">
            <v>0</v>
          </cell>
          <cell r="CB1823">
            <v>4.4307999831629603</v>
          </cell>
          <cell r="CE1823" t="str">
            <v>28EU</v>
          </cell>
          <cell r="CF1823" t="str">
            <v>28EU</v>
          </cell>
          <cell r="CG1823" t="str">
            <v>28EU</v>
          </cell>
        </row>
        <row r="1824">
          <cell r="O1824">
            <v>28</v>
          </cell>
          <cell r="AN1824">
            <v>1.6747999936357603</v>
          </cell>
          <cell r="AO1824">
            <v>0</v>
          </cell>
          <cell r="AP1824">
            <v>1.6747999936357603</v>
          </cell>
          <cell r="AZ1824">
            <v>0</v>
          </cell>
          <cell r="BT1824">
            <v>1.6747999936357603</v>
          </cell>
          <cell r="BX1824">
            <v>0</v>
          </cell>
          <cell r="CB1824">
            <v>1.6747999936357603</v>
          </cell>
          <cell r="CE1824" t="str">
            <v>28EU</v>
          </cell>
          <cell r="CF1824" t="str">
            <v>28EU</v>
          </cell>
          <cell r="CG1824" t="str">
            <v>28EU</v>
          </cell>
        </row>
        <row r="1825">
          <cell r="O1825">
            <v>28</v>
          </cell>
          <cell r="AN1825">
            <v>0</v>
          </cell>
          <cell r="AO1825">
            <v>1.6747999936357603</v>
          </cell>
          <cell r="AP1825">
            <v>0</v>
          </cell>
          <cell r="AZ1825">
            <v>1.8091000000000002</v>
          </cell>
          <cell r="BT1825">
            <v>0</v>
          </cell>
          <cell r="BX1825">
            <v>1.6747999936357603</v>
          </cell>
          <cell r="CB1825">
            <v>0</v>
          </cell>
          <cell r="CE1825" t="str">
            <v>28EU</v>
          </cell>
          <cell r="CF1825" t="str">
            <v>28EU</v>
          </cell>
          <cell r="CG1825" t="str">
            <v>28EU</v>
          </cell>
        </row>
        <row r="1826">
          <cell r="O1826">
            <v>28</v>
          </cell>
          <cell r="AN1826">
            <v>0.33919999871104006</v>
          </cell>
          <cell r="AO1826">
            <v>0.33919999871104006</v>
          </cell>
          <cell r="AP1826">
            <v>0.33919999871104006</v>
          </cell>
          <cell r="AZ1826">
            <v>0.3664</v>
          </cell>
          <cell r="BT1826">
            <v>0.33919999871104006</v>
          </cell>
          <cell r="BX1826">
            <v>0.33919999871104006</v>
          </cell>
          <cell r="CB1826">
            <v>0.33919999871104006</v>
          </cell>
          <cell r="CE1826" t="str">
            <v>28EU</v>
          </cell>
          <cell r="CF1826" t="str">
            <v>28EU</v>
          </cell>
          <cell r="CG1826" t="str">
            <v>28EU</v>
          </cell>
        </row>
        <row r="1827">
          <cell r="O1827">
            <v>28</v>
          </cell>
          <cell r="AN1827">
            <v>69.292199736689653</v>
          </cell>
          <cell r="AO1827">
            <v>0</v>
          </cell>
          <cell r="AP1827">
            <v>69.292199736689653</v>
          </cell>
          <cell r="AZ1827">
            <v>0</v>
          </cell>
          <cell r="BT1827">
            <v>56.64235716641624</v>
          </cell>
          <cell r="BX1827">
            <v>0</v>
          </cell>
          <cell r="CB1827">
            <v>63.578450727958177</v>
          </cell>
          <cell r="CE1827" t="str">
            <v>28LOCAL</v>
          </cell>
          <cell r="CF1827" t="str">
            <v>28EU</v>
          </cell>
          <cell r="CG1827" t="str">
            <v>28LOCAL</v>
          </cell>
        </row>
        <row r="1828">
          <cell r="O1828">
            <v>28</v>
          </cell>
          <cell r="AN1828">
            <v>0</v>
          </cell>
          <cell r="AO1828">
            <v>69.292199736689653</v>
          </cell>
          <cell r="AP1828">
            <v>0</v>
          </cell>
          <cell r="AZ1828">
            <v>74.848650000000006</v>
          </cell>
          <cell r="BT1828">
            <v>0</v>
          </cell>
          <cell r="BX1828">
            <v>47.741301539569257</v>
          </cell>
          <cell r="CB1828">
            <v>0</v>
          </cell>
          <cell r="CE1828" t="str">
            <v>28EU</v>
          </cell>
          <cell r="CF1828" t="str">
            <v>28LOCAL</v>
          </cell>
          <cell r="CG1828" t="str">
            <v>28EU</v>
          </cell>
        </row>
        <row r="1829">
          <cell r="O1829">
            <v>28</v>
          </cell>
          <cell r="AN1829">
            <v>1.4627999944413601</v>
          </cell>
          <cell r="AO1829">
            <v>1.4627999944413601</v>
          </cell>
          <cell r="AP1829">
            <v>1.4627999944413601</v>
          </cell>
          <cell r="AZ1829">
            <v>1.5800999999999998</v>
          </cell>
          <cell r="BT1829">
            <v>1.4627999944413601</v>
          </cell>
          <cell r="BX1829">
            <v>1.4627999944413601</v>
          </cell>
          <cell r="CB1829">
            <v>1.4627999944413601</v>
          </cell>
          <cell r="CE1829" t="str">
            <v>28EU</v>
          </cell>
          <cell r="CF1829" t="str">
            <v>28EU</v>
          </cell>
          <cell r="CG1829" t="str">
            <v>28EU</v>
          </cell>
        </row>
        <row r="1830">
          <cell r="O1830">
            <v>28</v>
          </cell>
          <cell r="AN1830">
            <v>0.37099999859020005</v>
          </cell>
          <cell r="AO1830">
            <v>1.1129999957706</v>
          </cell>
          <cell r="AP1830">
            <v>1.1129999957706</v>
          </cell>
          <cell r="AZ1830">
            <v>1.20225</v>
          </cell>
          <cell r="BT1830">
            <v>0.37099999859020005</v>
          </cell>
          <cell r="BX1830">
            <v>1.1129999957706</v>
          </cell>
          <cell r="CB1830">
            <v>1.1129999957706</v>
          </cell>
          <cell r="CE1830" t="str">
            <v>28EU</v>
          </cell>
          <cell r="CF1830" t="str">
            <v>28EU</v>
          </cell>
          <cell r="CG1830" t="str">
            <v>28EU</v>
          </cell>
        </row>
        <row r="1831">
          <cell r="O1831">
            <v>28</v>
          </cell>
          <cell r="AN1831">
            <v>2.0987999920245604</v>
          </cell>
          <cell r="AO1831">
            <v>1.0493999960122802</v>
          </cell>
          <cell r="AP1831">
            <v>1.0493999960122802</v>
          </cell>
          <cell r="AZ1831">
            <v>1.1335500000000001</v>
          </cell>
          <cell r="BT1831">
            <v>2.0987999920245604</v>
          </cell>
          <cell r="BX1831">
            <v>1.0493999960122802</v>
          </cell>
          <cell r="CB1831">
            <v>1.0493999960122802</v>
          </cell>
          <cell r="CE1831" t="str">
            <v>28EU</v>
          </cell>
          <cell r="CF1831" t="str">
            <v>28EU</v>
          </cell>
          <cell r="CG1831" t="str">
            <v>28EU</v>
          </cell>
        </row>
        <row r="1832">
          <cell r="O1832">
            <v>28</v>
          </cell>
          <cell r="AN1832">
            <v>0</v>
          </cell>
          <cell r="AO1832">
            <v>48.846550000000001</v>
          </cell>
          <cell r="AP1832">
            <v>0</v>
          </cell>
          <cell r="AZ1832">
            <v>48.846550000000001</v>
          </cell>
          <cell r="BT1832">
            <v>0</v>
          </cell>
          <cell r="BX1832">
            <v>48.846550000000001</v>
          </cell>
          <cell r="CB1832">
            <v>0</v>
          </cell>
          <cell r="CE1832" t="str">
            <v>28EU</v>
          </cell>
          <cell r="CF1832" t="str">
            <v>28EU</v>
          </cell>
          <cell r="CG1832" t="str">
            <v>28EU</v>
          </cell>
        </row>
        <row r="1833">
          <cell r="O1833">
            <v>28</v>
          </cell>
          <cell r="AN1833">
            <v>0</v>
          </cell>
          <cell r="AO1833">
            <v>0</v>
          </cell>
          <cell r="AP1833">
            <v>48.846550000000001</v>
          </cell>
          <cell r="AZ1833">
            <v>0</v>
          </cell>
          <cell r="BT1833">
            <v>0</v>
          </cell>
          <cell r="BX1833">
            <v>0</v>
          </cell>
          <cell r="CB1833">
            <v>48.846550000000001</v>
          </cell>
          <cell r="CE1833" t="str">
            <v>28EU</v>
          </cell>
          <cell r="CF1833" t="str">
            <v>28EU</v>
          </cell>
          <cell r="CG1833" t="str">
            <v>28EU</v>
          </cell>
        </row>
        <row r="1834">
          <cell r="O1834">
            <v>28</v>
          </cell>
          <cell r="AN1834">
            <v>48.846550000000001</v>
          </cell>
          <cell r="AO1834">
            <v>0</v>
          </cell>
          <cell r="AP1834">
            <v>0</v>
          </cell>
          <cell r="AZ1834">
            <v>0</v>
          </cell>
          <cell r="BT1834">
            <v>48.846550000000001</v>
          </cell>
          <cell r="BX1834">
            <v>0</v>
          </cell>
          <cell r="CB1834">
            <v>0</v>
          </cell>
          <cell r="CE1834" t="str">
            <v>28EU</v>
          </cell>
          <cell r="CF1834" t="str">
            <v>28EU</v>
          </cell>
          <cell r="CG1834" t="str">
            <v>28EU</v>
          </cell>
        </row>
        <row r="1835">
          <cell r="O1835">
            <v>28</v>
          </cell>
          <cell r="AN1835">
            <v>0</v>
          </cell>
          <cell r="AO1835">
            <v>0</v>
          </cell>
          <cell r="AP1835">
            <v>0</v>
          </cell>
          <cell r="AZ1835">
            <v>0</v>
          </cell>
          <cell r="BT1835">
            <v>0</v>
          </cell>
          <cell r="BX1835">
            <v>0</v>
          </cell>
          <cell r="CB1835">
            <v>0</v>
          </cell>
          <cell r="CE1835" t="str">
            <v>28EU</v>
          </cell>
          <cell r="CF1835" t="str">
            <v>28EU</v>
          </cell>
          <cell r="CG1835" t="str">
            <v>28EU</v>
          </cell>
        </row>
        <row r="1836">
          <cell r="O1836">
            <v>28</v>
          </cell>
          <cell r="AN1836">
            <v>0</v>
          </cell>
          <cell r="AO1836">
            <v>0</v>
          </cell>
          <cell r="AP1836">
            <v>0</v>
          </cell>
          <cell r="AZ1836">
            <v>0</v>
          </cell>
          <cell r="BT1836">
            <v>0</v>
          </cell>
          <cell r="BX1836">
            <v>0</v>
          </cell>
          <cell r="CB1836">
            <v>0</v>
          </cell>
          <cell r="CE1836" t="str">
            <v>28EU</v>
          </cell>
          <cell r="CF1836" t="str">
            <v>28EU</v>
          </cell>
          <cell r="CG1836" t="str">
            <v>28EU</v>
          </cell>
        </row>
        <row r="1837">
          <cell r="O1837">
            <v>28</v>
          </cell>
          <cell r="AN1837">
            <v>0.15077439942705734</v>
          </cell>
          <cell r="AO1837">
            <v>0.15077439942705734</v>
          </cell>
          <cell r="AP1837">
            <v>0.15077439942705734</v>
          </cell>
          <cell r="AZ1837">
            <v>0.16286480000000003</v>
          </cell>
          <cell r="BT1837">
            <v>0.15077439942705734</v>
          </cell>
          <cell r="BX1837">
            <v>0.15077439942705734</v>
          </cell>
          <cell r="CB1837">
            <v>0.15077439942705734</v>
          </cell>
          <cell r="CE1837" t="str">
            <v>28EU</v>
          </cell>
          <cell r="CF1837" t="str">
            <v>28EU</v>
          </cell>
          <cell r="CG1837" t="str">
            <v>28EU</v>
          </cell>
        </row>
        <row r="1838">
          <cell r="O1838">
            <v>28</v>
          </cell>
          <cell r="AN1838">
            <v>4.3078399836302093E-2</v>
          </cell>
          <cell r="AO1838">
            <v>4.3078399836302093E-2</v>
          </cell>
          <cell r="AP1838">
            <v>4.3078399836302093E-2</v>
          </cell>
          <cell r="AZ1838">
            <v>4.6532800000000006E-2</v>
          </cell>
          <cell r="BT1838">
            <v>4.3078399836302093E-2</v>
          </cell>
          <cell r="BX1838">
            <v>4.3078399836302093E-2</v>
          </cell>
          <cell r="CB1838">
            <v>4.3078399836302093E-2</v>
          </cell>
          <cell r="CE1838" t="str">
            <v>28EU</v>
          </cell>
          <cell r="CF1838" t="str">
            <v>28EU</v>
          </cell>
          <cell r="CG1838" t="str">
            <v>28EU</v>
          </cell>
        </row>
        <row r="1839">
          <cell r="O1839">
            <v>28</v>
          </cell>
          <cell r="AN1839">
            <v>0.108</v>
          </cell>
          <cell r="AO1839">
            <v>0.108</v>
          </cell>
          <cell r="AP1839">
            <v>0.108</v>
          </cell>
          <cell r="AZ1839">
            <v>0.108</v>
          </cell>
          <cell r="BT1839">
            <v>0.108</v>
          </cell>
          <cell r="BX1839">
            <v>0.108</v>
          </cell>
          <cell r="CB1839">
            <v>0.108</v>
          </cell>
          <cell r="CE1839" t="str">
            <v>28EU</v>
          </cell>
          <cell r="CF1839" t="str">
            <v>28EU</v>
          </cell>
          <cell r="CG1839" t="str">
            <v>28EU</v>
          </cell>
        </row>
        <row r="1840">
          <cell r="O1840">
            <v>28</v>
          </cell>
          <cell r="AN1840">
            <v>9.6600000000000005E-2</v>
          </cell>
          <cell r="AO1840">
            <v>9.6600000000000005E-2</v>
          </cell>
          <cell r="AP1840">
            <v>9.6600000000000005E-2</v>
          </cell>
          <cell r="AZ1840">
            <v>9.6600000000000005E-2</v>
          </cell>
          <cell r="BT1840">
            <v>9.6600000000000005E-2</v>
          </cell>
          <cell r="BX1840">
            <v>9.6600000000000005E-2</v>
          </cell>
          <cell r="CB1840">
            <v>9.6600000000000005E-2</v>
          </cell>
          <cell r="CE1840" t="str">
            <v>28EU</v>
          </cell>
          <cell r="CF1840" t="str">
            <v>28EU</v>
          </cell>
          <cell r="CG1840" t="str">
            <v>28EU</v>
          </cell>
        </row>
        <row r="1841">
          <cell r="O1841">
            <v>28</v>
          </cell>
          <cell r="AN1841">
            <v>0.2</v>
          </cell>
          <cell r="AO1841">
            <v>0.2</v>
          </cell>
          <cell r="AP1841">
            <v>0.2</v>
          </cell>
          <cell r="AZ1841">
            <v>0.2</v>
          </cell>
          <cell r="BT1841">
            <v>0.2</v>
          </cell>
          <cell r="BX1841">
            <v>0.2</v>
          </cell>
          <cell r="CB1841">
            <v>0.2</v>
          </cell>
          <cell r="CE1841" t="str">
            <v>28EU</v>
          </cell>
          <cell r="CF1841" t="str">
            <v>28EU</v>
          </cell>
          <cell r="CG1841" t="str">
            <v>28EU</v>
          </cell>
        </row>
        <row r="1842">
          <cell r="O1842">
            <v>28</v>
          </cell>
          <cell r="AN1842">
            <v>63.08</v>
          </cell>
          <cell r="AO1842">
            <v>0</v>
          </cell>
          <cell r="AP1842">
            <v>0</v>
          </cell>
          <cell r="AZ1842">
            <v>0</v>
          </cell>
          <cell r="BT1842">
            <v>63.08</v>
          </cell>
          <cell r="BX1842">
            <v>0</v>
          </cell>
          <cell r="CB1842">
            <v>0</v>
          </cell>
          <cell r="CE1842" t="str">
            <v>28LOCAL</v>
          </cell>
          <cell r="CF1842" t="str">
            <v>28EU</v>
          </cell>
          <cell r="CG1842" t="str">
            <v>28EU</v>
          </cell>
        </row>
        <row r="1843">
          <cell r="O1843">
            <v>28</v>
          </cell>
          <cell r="AN1843">
            <v>0</v>
          </cell>
          <cell r="AO1843">
            <v>48.41</v>
          </cell>
          <cell r="AP1843">
            <v>0</v>
          </cell>
          <cell r="AZ1843">
            <v>48.41</v>
          </cell>
          <cell r="BT1843">
            <v>0</v>
          </cell>
          <cell r="BX1843">
            <v>62.732334047109205</v>
          </cell>
          <cell r="CB1843">
            <v>0</v>
          </cell>
          <cell r="CE1843" t="str">
            <v>28EU</v>
          </cell>
          <cell r="CF1843" t="str">
            <v>28LOCAL</v>
          </cell>
          <cell r="CG1843" t="str">
            <v>28EU</v>
          </cell>
        </row>
        <row r="1844">
          <cell r="O1844">
            <v>28</v>
          </cell>
          <cell r="AN1844">
            <v>0</v>
          </cell>
          <cell r="AO1844">
            <v>0</v>
          </cell>
          <cell r="AP1844">
            <v>63.08</v>
          </cell>
          <cell r="AZ1844">
            <v>0</v>
          </cell>
          <cell r="BT1844">
            <v>0</v>
          </cell>
          <cell r="BX1844">
            <v>0</v>
          </cell>
          <cell r="CB1844">
            <v>63.08</v>
          </cell>
          <cell r="CE1844" t="str">
            <v>28EU</v>
          </cell>
          <cell r="CF1844" t="str">
            <v>28EU</v>
          </cell>
          <cell r="CG1844" t="str">
            <v>28LOCAL</v>
          </cell>
        </row>
        <row r="1845">
          <cell r="O1845">
            <v>28</v>
          </cell>
          <cell r="AN1845">
            <v>-15</v>
          </cell>
          <cell r="AO1845">
            <v>-15</v>
          </cell>
          <cell r="AP1845">
            <v>-15</v>
          </cell>
          <cell r="AZ1845">
            <v>-15</v>
          </cell>
          <cell r="BT1845">
            <v>-15</v>
          </cell>
          <cell r="BX1845">
            <v>-15</v>
          </cell>
          <cell r="CB1845">
            <v>-15</v>
          </cell>
          <cell r="CE1845" t="str">
            <v>28LOCAL</v>
          </cell>
          <cell r="CF1845" t="str">
            <v>28LOCAL</v>
          </cell>
          <cell r="CG1845" t="str">
            <v>28LOCAL</v>
          </cell>
        </row>
        <row r="1846">
          <cell r="O1846">
            <v>28</v>
          </cell>
          <cell r="AN1846">
            <v>0</v>
          </cell>
          <cell r="AO1846">
            <v>0</v>
          </cell>
          <cell r="AP1846">
            <v>0</v>
          </cell>
          <cell r="AZ1846">
            <v>0</v>
          </cell>
          <cell r="BT1846">
            <v>0</v>
          </cell>
          <cell r="BX1846">
            <v>0</v>
          </cell>
          <cell r="CB1846">
            <v>0</v>
          </cell>
          <cell r="CE1846" t="str">
            <v>28EU</v>
          </cell>
          <cell r="CF1846" t="str">
            <v>28EU</v>
          </cell>
          <cell r="CG1846" t="str">
            <v>28EU</v>
          </cell>
        </row>
        <row r="1847">
          <cell r="O1847">
            <v>29</v>
          </cell>
          <cell r="AN1847">
            <v>20.415601160815726</v>
          </cell>
          <cell r="AO1847">
            <v>20.415601160815726</v>
          </cell>
          <cell r="AP1847">
            <v>20.415601160815726</v>
          </cell>
          <cell r="AZ1847">
            <v>20.151868</v>
          </cell>
          <cell r="BT1847">
            <v>20.415601160815726</v>
          </cell>
          <cell r="BX1847">
            <v>20.415601160815726</v>
          </cell>
          <cell r="CB1847">
            <v>20.415601160815726</v>
          </cell>
          <cell r="CE1847" t="str">
            <v>29EU</v>
          </cell>
          <cell r="CF1847" t="str">
            <v>29EU</v>
          </cell>
          <cell r="CG1847" t="str">
            <v>29EU</v>
          </cell>
        </row>
        <row r="1848">
          <cell r="O1848">
            <v>29</v>
          </cell>
          <cell r="AN1848">
            <v>43.459999834852006</v>
          </cell>
          <cell r="AO1848">
            <v>43.459999834852006</v>
          </cell>
          <cell r="AP1848">
            <v>43.459999834852006</v>
          </cell>
          <cell r="AZ1848">
            <v>46.945</v>
          </cell>
          <cell r="BT1848">
            <v>43.459999834852006</v>
          </cell>
          <cell r="BX1848">
            <v>43.459999834852006</v>
          </cell>
          <cell r="CB1848">
            <v>43.459999834852006</v>
          </cell>
          <cell r="CE1848" t="str">
            <v>29EU</v>
          </cell>
          <cell r="CF1848" t="str">
            <v>29EU</v>
          </cell>
          <cell r="CG1848" t="str">
            <v>29EU</v>
          </cell>
        </row>
        <row r="1849">
          <cell r="O1849">
            <v>29</v>
          </cell>
          <cell r="AN1849">
            <v>0.29679999887216008</v>
          </cell>
          <cell r="AO1849">
            <v>0.29679999887216008</v>
          </cell>
          <cell r="AP1849">
            <v>0.29679999887216008</v>
          </cell>
          <cell r="AZ1849">
            <v>0.32060000000000005</v>
          </cell>
          <cell r="BT1849">
            <v>0.29679999887216008</v>
          </cell>
          <cell r="BX1849">
            <v>0.29679999887216008</v>
          </cell>
          <cell r="CB1849">
            <v>0.29679999887216008</v>
          </cell>
          <cell r="CE1849" t="str">
            <v>29EU</v>
          </cell>
          <cell r="CF1849" t="str">
            <v>29EU</v>
          </cell>
          <cell r="CG1849" t="str">
            <v>29EU</v>
          </cell>
        </row>
        <row r="1850">
          <cell r="O1850">
            <v>29</v>
          </cell>
          <cell r="AN1850">
            <v>0.23319999911384004</v>
          </cell>
          <cell r="AO1850">
            <v>0.23319999911384004</v>
          </cell>
          <cell r="AP1850">
            <v>0.23319999911384004</v>
          </cell>
          <cell r="AZ1850">
            <v>0.25190000000000001</v>
          </cell>
          <cell r="BT1850">
            <v>0.23319999911384004</v>
          </cell>
          <cell r="BX1850">
            <v>0.23319999911384004</v>
          </cell>
          <cell r="CB1850">
            <v>0.23319999911384004</v>
          </cell>
          <cell r="CE1850" t="str">
            <v>29EU</v>
          </cell>
          <cell r="CF1850" t="str">
            <v>29EU</v>
          </cell>
          <cell r="CG1850" t="str">
            <v>29EU</v>
          </cell>
        </row>
        <row r="1851">
          <cell r="O1851">
            <v>29</v>
          </cell>
          <cell r="AN1851">
            <v>2.6079490511073375</v>
          </cell>
          <cell r="AO1851">
            <v>2.6079490511073375</v>
          </cell>
          <cell r="AP1851">
            <v>2.6079490511073375</v>
          </cell>
          <cell r="AZ1851">
            <v>2.5742589999999996</v>
          </cell>
          <cell r="BT1851">
            <v>2.6079490511073375</v>
          </cell>
          <cell r="BX1851">
            <v>2.6079490511073375</v>
          </cell>
          <cell r="CB1851">
            <v>2.6079490511073375</v>
          </cell>
          <cell r="CE1851" t="str">
            <v>29EU</v>
          </cell>
          <cell r="CF1851" t="str">
            <v>29EU</v>
          </cell>
          <cell r="CG1851" t="str">
            <v>29EU</v>
          </cell>
        </row>
        <row r="1852">
          <cell r="O1852">
            <v>29</v>
          </cell>
          <cell r="AN1852">
            <v>16.101399938814684</v>
          </cell>
          <cell r="AO1852">
            <v>16.101399938814684</v>
          </cell>
          <cell r="AP1852">
            <v>0</v>
          </cell>
          <cell r="AZ1852">
            <v>17.39255</v>
          </cell>
          <cell r="BT1852">
            <v>16.101399938814684</v>
          </cell>
          <cell r="BX1852">
            <v>16.101399938814684</v>
          </cell>
          <cell r="CB1852">
            <v>0</v>
          </cell>
          <cell r="CE1852" t="str">
            <v>29EU</v>
          </cell>
          <cell r="CF1852" t="str">
            <v>29EU</v>
          </cell>
          <cell r="CG1852" t="str">
            <v>29EU</v>
          </cell>
        </row>
        <row r="1853">
          <cell r="O1853">
            <v>29</v>
          </cell>
          <cell r="AN1853">
            <v>0</v>
          </cell>
          <cell r="AO1853">
            <v>3.4767999867881607</v>
          </cell>
          <cell r="AP1853">
            <v>0</v>
          </cell>
          <cell r="AZ1853">
            <v>3.7556000000000003</v>
          </cell>
          <cell r="BT1853">
            <v>0</v>
          </cell>
          <cell r="BX1853">
            <v>3.4767999867881607</v>
          </cell>
          <cell r="CB1853">
            <v>0</v>
          </cell>
          <cell r="CE1853" t="str">
            <v>29EU</v>
          </cell>
          <cell r="CF1853" t="str">
            <v>29EU</v>
          </cell>
          <cell r="CG1853" t="str">
            <v>29EU</v>
          </cell>
        </row>
        <row r="1854">
          <cell r="O1854">
            <v>29</v>
          </cell>
          <cell r="AN1854">
            <v>0</v>
          </cell>
          <cell r="AO1854">
            <v>3.4767999867881607</v>
          </cell>
          <cell r="AP1854">
            <v>0</v>
          </cell>
          <cell r="AZ1854">
            <v>3.7556000000000003</v>
          </cell>
          <cell r="BT1854">
            <v>0</v>
          </cell>
          <cell r="BX1854">
            <v>3.4767999867881607</v>
          </cell>
          <cell r="CB1854">
            <v>0</v>
          </cell>
          <cell r="CE1854" t="str">
            <v>29EU</v>
          </cell>
          <cell r="CF1854" t="str">
            <v>29EU</v>
          </cell>
          <cell r="CG1854" t="str">
            <v>29EU</v>
          </cell>
        </row>
        <row r="1855">
          <cell r="O1855">
            <v>29</v>
          </cell>
          <cell r="AN1855">
            <v>3.4767999867881607</v>
          </cell>
          <cell r="AO1855">
            <v>0</v>
          </cell>
          <cell r="AP1855">
            <v>0</v>
          </cell>
          <cell r="AZ1855">
            <v>0</v>
          </cell>
          <cell r="BT1855">
            <v>3.4767999867881607</v>
          </cell>
          <cell r="BX1855">
            <v>0</v>
          </cell>
          <cell r="CB1855">
            <v>0</v>
          </cell>
          <cell r="CE1855" t="str">
            <v>29EU</v>
          </cell>
          <cell r="CF1855" t="str">
            <v>29EU</v>
          </cell>
          <cell r="CG1855" t="str">
            <v>29EU</v>
          </cell>
        </row>
        <row r="1856">
          <cell r="O1856">
            <v>29</v>
          </cell>
          <cell r="AN1856">
            <v>3.4767999867881607</v>
          </cell>
          <cell r="AO1856">
            <v>0</v>
          </cell>
          <cell r="AP1856">
            <v>0</v>
          </cell>
          <cell r="AZ1856">
            <v>0</v>
          </cell>
          <cell r="BT1856">
            <v>3.4767999867881607</v>
          </cell>
          <cell r="BX1856">
            <v>0</v>
          </cell>
          <cell r="CB1856">
            <v>0</v>
          </cell>
          <cell r="CE1856" t="str">
            <v>29EU</v>
          </cell>
          <cell r="CF1856" t="str">
            <v>29EU</v>
          </cell>
          <cell r="CG1856" t="str">
            <v>29EU</v>
          </cell>
        </row>
        <row r="1857">
          <cell r="O1857">
            <v>29</v>
          </cell>
          <cell r="AN1857">
            <v>0</v>
          </cell>
          <cell r="AO1857">
            <v>14.5610278372591</v>
          </cell>
          <cell r="AP1857">
            <v>0</v>
          </cell>
          <cell r="AZ1857">
            <v>17</v>
          </cell>
          <cell r="BT1857">
            <v>0</v>
          </cell>
          <cell r="BX1857">
            <v>14.5610278372591</v>
          </cell>
          <cell r="CB1857">
            <v>0</v>
          </cell>
          <cell r="CE1857" t="str">
            <v>29EU</v>
          </cell>
          <cell r="CF1857" t="str">
            <v>29EU</v>
          </cell>
          <cell r="CG1857" t="str">
            <v>29EU</v>
          </cell>
        </row>
        <row r="1858">
          <cell r="O1858">
            <v>29</v>
          </cell>
          <cell r="AN1858">
            <v>1.5687999940385604</v>
          </cell>
          <cell r="AO1858">
            <v>0</v>
          </cell>
          <cell r="AP1858">
            <v>1.5687999940385604</v>
          </cell>
          <cell r="AZ1858">
            <v>0</v>
          </cell>
          <cell r="BT1858">
            <v>1.5687999940385604</v>
          </cell>
          <cell r="BX1858">
            <v>0</v>
          </cell>
          <cell r="CB1858">
            <v>1.5687999940385604</v>
          </cell>
          <cell r="CE1858" t="str">
            <v>29EU</v>
          </cell>
          <cell r="CF1858" t="str">
            <v>29EU</v>
          </cell>
          <cell r="CG1858" t="str">
            <v>29EU</v>
          </cell>
        </row>
        <row r="1859">
          <cell r="O1859">
            <v>29</v>
          </cell>
          <cell r="AN1859">
            <v>7.1019999730124006</v>
          </cell>
          <cell r="AO1859">
            <v>0</v>
          </cell>
          <cell r="AP1859">
            <v>0</v>
          </cell>
          <cell r="AZ1859">
            <v>0</v>
          </cell>
          <cell r="BT1859">
            <v>7.1019999730124006</v>
          </cell>
          <cell r="BX1859">
            <v>0</v>
          </cell>
          <cell r="CB1859">
            <v>0</v>
          </cell>
          <cell r="CE1859" t="str">
            <v>29EU</v>
          </cell>
          <cell r="CF1859" t="str">
            <v>29EU</v>
          </cell>
          <cell r="CG1859" t="str">
            <v>29EU</v>
          </cell>
        </row>
        <row r="1860">
          <cell r="O1860">
            <v>29</v>
          </cell>
          <cell r="AN1860">
            <v>0</v>
          </cell>
          <cell r="AO1860">
            <v>0</v>
          </cell>
          <cell r="AP1860">
            <v>7.1019999730124006</v>
          </cell>
          <cell r="AZ1860">
            <v>0</v>
          </cell>
          <cell r="BT1860">
            <v>0</v>
          </cell>
          <cell r="BX1860">
            <v>0</v>
          </cell>
          <cell r="CB1860">
            <v>7.1019999730124006</v>
          </cell>
          <cell r="CE1860" t="str">
            <v>29EU</v>
          </cell>
          <cell r="CF1860" t="str">
            <v>29EU</v>
          </cell>
          <cell r="CG1860" t="str">
            <v>29EU</v>
          </cell>
        </row>
        <row r="1861">
          <cell r="O1861">
            <v>29</v>
          </cell>
          <cell r="AN1861">
            <v>2.3637999910175602</v>
          </cell>
          <cell r="AO1861">
            <v>0</v>
          </cell>
          <cell r="AP1861">
            <v>2.3637999910175602</v>
          </cell>
          <cell r="AZ1861">
            <v>0</v>
          </cell>
          <cell r="BT1861">
            <v>2.3637999910175602</v>
          </cell>
          <cell r="BX1861">
            <v>0</v>
          </cell>
          <cell r="CB1861">
            <v>2.3637999910175602</v>
          </cell>
          <cell r="CE1861" t="str">
            <v>29EU</v>
          </cell>
          <cell r="CF1861" t="str">
            <v>29EU</v>
          </cell>
          <cell r="CG1861" t="str">
            <v>29EU</v>
          </cell>
        </row>
        <row r="1862">
          <cell r="O1862">
            <v>29</v>
          </cell>
          <cell r="AN1862">
            <v>1.8761999928704403</v>
          </cell>
          <cell r="AO1862">
            <v>0</v>
          </cell>
          <cell r="AP1862">
            <v>1.8761999928704403</v>
          </cell>
          <cell r="AZ1862">
            <v>0</v>
          </cell>
          <cell r="BT1862">
            <v>1.8761999928704403</v>
          </cell>
          <cell r="BX1862">
            <v>0</v>
          </cell>
          <cell r="CB1862">
            <v>1.8761999928704403</v>
          </cell>
          <cell r="CE1862" t="str">
            <v>29EU</v>
          </cell>
          <cell r="CF1862" t="str">
            <v>29EU</v>
          </cell>
          <cell r="CG1862" t="str">
            <v>29EU</v>
          </cell>
        </row>
        <row r="1863">
          <cell r="O1863">
            <v>29</v>
          </cell>
          <cell r="AN1863">
            <v>1.7383999933940801</v>
          </cell>
          <cell r="AO1863">
            <v>0</v>
          </cell>
          <cell r="AP1863">
            <v>1.7383999933940801</v>
          </cell>
          <cell r="AZ1863">
            <v>0</v>
          </cell>
          <cell r="BT1863">
            <v>1.7383999933940801</v>
          </cell>
          <cell r="BX1863">
            <v>0</v>
          </cell>
          <cell r="CB1863">
            <v>1.7383999933940801</v>
          </cell>
          <cell r="CE1863" t="str">
            <v>29EU</v>
          </cell>
          <cell r="CF1863" t="str">
            <v>29EU</v>
          </cell>
          <cell r="CG1863" t="str">
            <v>29EU</v>
          </cell>
        </row>
        <row r="1864">
          <cell r="O1864">
            <v>29</v>
          </cell>
          <cell r="AN1864">
            <v>3.4874462749573119</v>
          </cell>
          <cell r="AO1864">
            <v>0</v>
          </cell>
          <cell r="AP1864">
            <v>0</v>
          </cell>
          <cell r="AZ1864">
            <v>0</v>
          </cell>
          <cell r="BT1864">
            <v>3.4874462749573119</v>
          </cell>
          <cell r="BX1864">
            <v>0</v>
          </cell>
          <cell r="CB1864">
            <v>0</v>
          </cell>
          <cell r="CE1864" t="str">
            <v>29EU</v>
          </cell>
          <cell r="CF1864" t="str">
            <v>29EU</v>
          </cell>
          <cell r="CG1864" t="str">
            <v>29EU</v>
          </cell>
        </row>
        <row r="1865">
          <cell r="O1865">
            <v>29</v>
          </cell>
          <cell r="AN1865">
            <v>0</v>
          </cell>
          <cell r="AO1865">
            <v>3.4874462749573119</v>
          </cell>
          <cell r="AP1865">
            <v>0</v>
          </cell>
          <cell r="AZ1865">
            <v>3.7671000000000001</v>
          </cell>
          <cell r="BT1865">
            <v>0</v>
          </cell>
          <cell r="BX1865">
            <v>3.4874462749573119</v>
          </cell>
          <cell r="CB1865">
            <v>0</v>
          </cell>
          <cell r="CE1865" t="str">
            <v>29EU</v>
          </cell>
          <cell r="CF1865" t="str">
            <v>29EU</v>
          </cell>
          <cell r="CG1865" t="str">
            <v>29EU</v>
          </cell>
        </row>
        <row r="1866">
          <cell r="O1866">
            <v>29</v>
          </cell>
          <cell r="AN1866">
            <v>0.21199999919440005</v>
          </cell>
          <cell r="AO1866">
            <v>0</v>
          </cell>
          <cell r="AP1866">
            <v>0.21199999919440005</v>
          </cell>
          <cell r="AZ1866">
            <v>0</v>
          </cell>
          <cell r="BT1866">
            <v>0.21199999919440005</v>
          </cell>
          <cell r="BX1866">
            <v>0</v>
          </cell>
          <cell r="CB1866">
            <v>0.21199999919440005</v>
          </cell>
          <cell r="CE1866" t="str">
            <v>29EU</v>
          </cell>
          <cell r="CF1866" t="str">
            <v>29EU</v>
          </cell>
          <cell r="CG1866" t="str">
            <v>29EU</v>
          </cell>
        </row>
        <row r="1867">
          <cell r="O1867">
            <v>29</v>
          </cell>
          <cell r="AN1867">
            <v>2.2789999913398002</v>
          </cell>
          <cell r="AO1867">
            <v>2.2789999913398002</v>
          </cell>
          <cell r="AP1867">
            <v>2.2789999913398002</v>
          </cell>
          <cell r="AZ1867">
            <v>2.4617499999999999</v>
          </cell>
          <cell r="BT1867">
            <v>2.2789999913398002</v>
          </cell>
          <cell r="BX1867">
            <v>2.2789999913398002</v>
          </cell>
          <cell r="CB1867">
            <v>2.2789999913398002</v>
          </cell>
          <cell r="CE1867" t="str">
            <v>29EU</v>
          </cell>
          <cell r="CF1867" t="str">
            <v>29EU</v>
          </cell>
          <cell r="CG1867" t="str">
            <v>29EU</v>
          </cell>
        </row>
        <row r="1868">
          <cell r="O1868">
            <v>29</v>
          </cell>
          <cell r="AN1868">
            <v>0.73139999722068005</v>
          </cell>
          <cell r="AO1868">
            <v>0</v>
          </cell>
          <cell r="AP1868">
            <v>0.73139999722068005</v>
          </cell>
          <cell r="AZ1868">
            <v>0</v>
          </cell>
          <cell r="BT1868">
            <v>0.73139999722068005</v>
          </cell>
          <cell r="BX1868">
            <v>0</v>
          </cell>
          <cell r="CB1868">
            <v>0.73139999722068005</v>
          </cell>
          <cell r="CE1868" t="str">
            <v>29EU</v>
          </cell>
          <cell r="CF1868" t="str">
            <v>29EU</v>
          </cell>
          <cell r="CG1868" t="str">
            <v>29EU</v>
          </cell>
        </row>
        <row r="1869">
          <cell r="O1869">
            <v>29</v>
          </cell>
          <cell r="AN1869">
            <v>0</v>
          </cell>
          <cell r="AO1869">
            <v>0.73139999722068005</v>
          </cell>
          <cell r="AP1869">
            <v>0</v>
          </cell>
          <cell r="AZ1869">
            <v>0.79004999999999992</v>
          </cell>
          <cell r="BT1869">
            <v>0</v>
          </cell>
          <cell r="BX1869">
            <v>0.73139999722068005</v>
          </cell>
          <cell r="CB1869">
            <v>0</v>
          </cell>
          <cell r="CE1869" t="str">
            <v>29EU</v>
          </cell>
          <cell r="CF1869" t="str">
            <v>29EU</v>
          </cell>
          <cell r="CG1869" t="str">
            <v>29EU</v>
          </cell>
        </row>
        <row r="1870">
          <cell r="O1870">
            <v>29</v>
          </cell>
          <cell r="AN1870">
            <v>0.19164799927173762</v>
          </cell>
          <cell r="AO1870">
            <v>0.19164799927173762</v>
          </cell>
          <cell r="AP1870">
            <v>0.19164799927173762</v>
          </cell>
          <cell r="AZ1870">
            <v>0.20701599999999998</v>
          </cell>
          <cell r="BT1870">
            <v>0.19164799927173762</v>
          </cell>
          <cell r="BX1870">
            <v>0.19164799927173762</v>
          </cell>
          <cell r="CB1870">
            <v>0.19164799927173762</v>
          </cell>
          <cell r="CE1870" t="str">
            <v>29EU</v>
          </cell>
          <cell r="CF1870" t="str">
            <v>29EU</v>
          </cell>
          <cell r="CG1870" t="str">
            <v>29EU</v>
          </cell>
        </row>
        <row r="1871">
          <cell r="O1871">
            <v>29</v>
          </cell>
          <cell r="AN1871">
            <v>0.27199468631180829</v>
          </cell>
          <cell r="AO1871">
            <v>0.27199468631180829</v>
          </cell>
          <cell r="AP1871">
            <v>0.27199468631180829</v>
          </cell>
          <cell r="AZ1871">
            <v>0.26848100000000003</v>
          </cell>
          <cell r="BT1871">
            <v>0.27199468631180829</v>
          </cell>
          <cell r="BX1871">
            <v>0.27199468631180829</v>
          </cell>
          <cell r="CB1871">
            <v>0.27199468631180829</v>
          </cell>
          <cell r="CE1871" t="str">
            <v>29EU</v>
          </cell>
          <cell r="CF1871" t="str">
            <v>29EU</v>
          </cell>
          <cell r="CG1871" t="str">
            <v>29EU</v>
          </cell>
        </row>
        <row r="1872">
          <cell r="O1872">
            <v>29</v>
          </cell>
          <cell r="AN1872">
            <v>0.24379999907356006</v>
          </cell>
          <cell r="AO1872">
            <v>0.24379999907356006</v>
          </cell>
          <cell r="AP1872">
            <v>0.24379999907356006</v>
          </cell>
          <cell r="AZ1872">
            <v>0.26335000000000003</v>
          </cell>
          <cell r="BT1872">
            <v>0.24379999907356006</v>
          </cell>
          <cell r="BX1872">
            <v>0.24379999907356006</v>
          </cell>
          <cell r="CB1872">
            <v>0.24379999907356006</v>
          </cell>
          <cell r="CE1872" t="str">
            <v>29EU</v>
          </cell>
          <cell r="CF1872" t="str">
            <v>29EU</v>
          </cell>
          <cell r="CG1872" t="str">
            <v>29EU</v>
          </cell>
        </row>
        <row r="1873">
          <cell r="O1873">
            <v>29</v>
          </cell>
          <cell r="AN1873">
            <v>4.4859199829535047E-2</v>
          </cell>
          <cell r="AO1873">
            <v>4.4859199829535047E-2</v>
          </cell>
          <cell r="AP1873">
            <v>4.4859199829535047E-2</v>
          </cell>
          <cell r="AZ1873">
            <v>4.8456400000000004E-2</v>
          </cell>
          <cell r="BT1873">
            <v>4.4859199829535047E-2</v>
          </cell>
          <cell r="BX1873">
            <v>4.4859199829535047E-2</v>
          </cell>
          <cell r="CB1873">
            <v>4.4859199829535047E-2</v>
          </cell>
          <cell r="CE1873" t="str">
            <v>29EU</v>
          </cell>
          <cell r="CF1873" t="str">
            <v>29EU</v>
          </cell>
          <cell r="CG1873" t="str">
            <v>29EU</v>
          </cell>
        </row>
        <row r="1874">
          <cell r="O1874">
            <v>29</v>
          </cell>
          <cell r="AN1874">
            <v>8.9039999661648022</v>
          </cell>
          <cell r="AO1874">
            <v>0</v>
          </cell>
          <cell r="AP1874">
            <v>0</v>
          </cell>
          <cell r="AZ1874">
            <v>0</v>
          </cell>
          <cell r="BT1874">
            <v>8.9039999661648022</v>
          </cell>
          <cell r="BX1874">
            <v>0</v>
          </cell>
          <cell r="CB1874">
            <v>0</v>
          </cell>
          <cell r="CE1874" t="str">
            <v>29EU</v>
          </cell>
          <cell r="CF1874" t="str">
            <v>29EU</v>
          </cell>
          <cell r="CG1874" t="str">
            <v>29EU</v>
          </cell>
        </row>
        <row r="1875">
          <cell r="O1875">
            <v>29</v>
          </cell>
          <cell r="AN1875">
            <v>1.0599999959720001</v>
          </cell>
          <cell r="AO1875">
            <v>0</v>
          </cell>
          <cell r="AP1875">
            <v>0</v>
          </cell>
          <cell r="AZ1875">
            <v>0</v>
          </cell>
          <cell r="BT1875">
            <v>1.0599999959720001</v>
          </cell>
          <cell r="BX1875">
            <v>0</v>
          </cell>
          <cell r="CB1875">
            <v>0</v>
          </cell>
          <cell r="CE1875" t="str">
            <v>29EU</v>
          </cell>
          <cell r="CF1875" t="str">
            <v>29EU</v>
          </cell>
          <cell r="CG1875" t="str">
            <v>29EU</v>
          </cell>
        </row>
        <row r="1876">
          <cell r="O1876">
            <v>29</v>
          </cell>
          <cell r="AN1876">
            <v>0.92</v>
          </cell>
          <cell r="AO1876">
            <v>0</v>
          </cell>
          <cell r="AP1876">
            <v>0.92</v>
          </cell>
          <cell r="AZ1876">
            <v>0</v>
          </cell>
          <cell r="BT1876">
            <v>0.92</v>
          </cell>
          <cell r="BX1876">
            <v>0</v>
          </cell>
          <cell r="CB1876">
            <v>0.92</v>
          </cell>
          <cell r="CE1876" t="str">
            <v>29EU</v>
          </cell>
          <cell r="CF1876" t="str">
            <v>29EU</v>
          </cell>
          <cell r="CG1876" t="str">
            <v>29EU</v>
          </cell>
        </row>
        <row r="1877">
          <cell r="O1877">
            <v>29</v>
          </cell>
          <cell r="AN1877">
            <v>6.9005999737777213E-2</v>
          </cell>
          <cell r="AO1877">
            <v>0</v>
          </cell>
          <cell r="AP1877">
            <v>6.9005999737777213E-2</v>
          </cell>
          <cell r="AZ1877">
            <v>0</v>
          </cell>
          <cell r="BT1877">
            <v>6.9005999737777213E-2</v>
          </cell>
          <cell r="BX1877">
            <v>0</v>
          </cell>
          <cell r="CB1877">
            <v>6.9005999737777213E-2</v>
          </cell>
          <cell r="CE1877" t="str">
            <v>29EU</v>
          </cell>
          <cell r="CF1877" t="str">
            <v>29EU</v>
          </cell>
          <cell r="CG1877" t="str">
            <v>29EU</v>
          </cell>
        </row>
        <row r="1878">
          <cell r="O1878">
            <v>29</v>
          </cell>
          <cell r="AN1878">
            <v>0.12098839954024411</v>
          </cell>
          <cell r="AO1878">
            <v>0</v>
          </cell>
          <cell r="AP1878">
            <v>0.12098839954024411</v>
          </cell>
          <cell r="AZ1878">
            <v>0</v>
          </cell>
          <cell r="BT1878">
            <v>0.12098839954024411</v>
          </cell>
          <cell r="BX1878">
            <v>0</v>
          </cell>
          <cell r="CB1878">
            <v>0.12098839954024411</v>
          </cell>
          <cell r="CE1878" t="str">
            <v>29EU</v>
          </cell>
          <cell r="CF1878" t="str">
            <v>29EU</v>
          </cell>
          <cell r="CG1878" t="str">
            <v>29EU</v>
          </cell>
        </row>
        <row r="1879">
          <cell r="O1879">
            <v>29</v>
          </cell>
          <cell r="AN1879">
            <v>0</v>
          </cell>
          <cell r="AO1879">
            <v>0.2569593147751606</v>
          </cell>
          <cell r="AP1879">
            <v>0</v>
          </cell>
          <cell r="AZ1879">
            <v>0.3</v>
          </cell>
          <cell r="BT1879">
            <v>0</v>
          </cell>
          <cell r="BX1879">
            <v>0.2569593147751606</v>
          </cell>
          <cell r="CB1879">
            <v>0</v>
          </cell>
          <cell r="CE1879" t="str">
            <v>29EU</v>
          </cell>
          <cell r="CF1879" t="str">
            <v>29EU</v>
          </cell>
          <cell r="CG1879" t="str">
            <v>29EU</v>
          </cell>
        </row>
        <row r="1880">
          <cell r="O1880">
            <v>29</v>
          </cell>
          <cell r="AN1880">
            <v>0</v>
          </cell>
          <cell r="AO1880">
            <v>0.2569593147751606</v>
          </cell>
          <cell r="AP1880">
            <v>0</v>
          </cell>
          <cell r="AZ1880">
            <v>0.3</v>
          </cell>
          <cell r="BT1880">
            <v>0</v>
          </cell>
          <cell r="BX1880">
            <v>0.2569593147751606</v>
          </cell>
          <cell r="CB1880">
            <v>0</v>
          </cell>
          <cell r="CE1880" t="str">
            <v>29EU</v>
          </cell>
          <cell r="CF1880" t="str">
            <v>29EU</v>
          </cell>
          <cell r="CG1880" t="str">
            <v>29EU</v>
          </cell>
        </row>
        <row r="1881">
          <cell r="O1881">
            <v>29</v>
          </cell>
          <cell r="AN1881">
            <v>0</v>
          </cell>
          <cell r="AO1881">
            <v>0.1284796573875803</v>
          </cell>
          <cell r="AP1881">
            <v>0</v>
          </cell>
          <cell r="AZ1881">
            <v>0.15</v>
          </cell>
          <cell r="BT1881">
            <v>0</v>
          </cell>
          <cell r="BX1881">
            <v>0.1284796573875803</v>
          </cell>
          <cell r="CB1881">
            <v>0</v>
          </cell>
          <cell r="CE1881" t="str">
            <v>29EU</v>
          </cell>
          <cell r="CF1881" t="str">
            <v>29EU</v>
          </cell>
          <cell r="CG1881" t="str">
            <v>29EU</v>
          </cell>
        </row>
        <row r="1882">
          <cell r="O1882">
            <v>29</v>
          </cell>
          <cell r="AN1882">
            <v>0</v>
          </cell>
          <cell r="AO1882">
            <v>0.17130620985010708</v>
          </cell>
          <cell r="AP1882">
            <v>0</v>
          </cell>
          <cell r="AZ1882">
            <v>0.2</v>
          </cell>
          <cell r="BT1882">
            <v>0</v>
          </cell>
          <cell r="BX1882">
            <v>0.17130620985010708</v>
          </cell>
          <cell r="CB1882">
            <v>0</v>
          </cell>
          <cell r="CE1882" t="str">
            <v>29EU</v>
          </cell>
          <cell r="CF1882" t="str">
            <v>29EU</v>
          </cell>
          <cell r="CG1882" t="str">
            <v>29EU</v>
          </cell>
        </row>
        <row r="1883">
          <cell r="O1883">
            <v>29</v>
          </cell>
          <cell r="AN1883">
            <v>0</v>
          </cell>
          <cell r="AO1883">
            <v>0.34261241970021417</v>
          </cell>
          <cell r="AP1883">
            <v>0</v>
          </cell>
          <cell r="AZ1883">
            <v>0.4</v>
          </cell>
          <cell r="BT1883">
            <v>0</v>
          </cell>
          <cell r="BX1883">
            <v>0.34261241970021417</v>
          </cell>
          <cell r="CB1883">
            <v>0</v>
          </cell>
          <cell r="CE1883" t="str">
            <v>29EU</v>
          </cell>
          <cell r="CF1883" t="str">
            <v>29EU</v>
          </cell>
          <cell r="CG1883" t="str">
            <v>29EU</v>
          </cell>
        </row>
        <row r="1884">
          <cell r="O1884">
            <v>29</v>
          </cell>
          <cell r="AN1884">
            <v>0</v>
          </cell>
          <cell r="AO1884">
            <v>0.17130620985010708</v>
          </cell>
          <cell r="AP1884">
            <v>0</v>
          </cell>
          <cell r="AZ1884">
            <v>0.2</v>
          </cell>
          <cell r="BT1884">
            <v>0</v>
          </cell>
          <cell r="BX1884">
            <v>0.17130620985010708</v>
          </cell>
          <cell r="CB1884">
            <v>0</v>
          </cell>
          <cell r="CE1884" t="str">
            <v>29EU</v>
          </cell>
          <cell r="CF1884" t="str">
            <v>29EU</v>
          </cell>
          <cell r="CG1884" t="str">
            <v>29EU</v>
          </cell>
        </row>
        <row r="1885">
          <cell r="O1885">
            <v>29</v>
          </cell>
          <cell r="AN1885">
            <v>0</v>
          </cell>
          <cell r="AO1885">
            <v>0.1284796573875803</v>
          </cell>
          <cell r="AP1885">
            <v>0</v>
          </cell>
          <cell r="AZ1885">
            <v>0.15</v>
          </cell>
          <cell r="BT1885">
            <v>0</v>
          </cell>
          <cell r="BX1885">
            <v>0.1284796573875803</v>
          </cell>
          <cell r="CB1885">
            <v>0</v>
          </cell>
          <cell r="CE1885" t="str">
            <v>29EU</v>
          </cell>
          <cell r="CF1885" t="str">
            <v>29EU</v>
          </cell>
          <cell r="CG1885" t="str">
            <v>29EU</v>
          </cell>
        </row>
        <row r="1886">
          <cell r="O1886">
            <v>29</v>
          </cell>
          <cell r="AN1886">
            <v>0</v>
          </cell>
          <cell r="AO1886">
            <v>0.1284796573875803</v>
          </cell>
          <cell r="AP1886">
            <v>0</v>
          </cell>
          <cell r="AZ1886">
            <v>0.15</v>
          </cell>
          <cell r="BT1886">
            <v>0</v>
          </cell>
          <cell r="BX1886">
            <v>0.1284796573875803</v>
          </cell>
          <cell r="CB1886">
            <v>0</v>
          </cell>
          <cell r="CE1886" t="str">
            <v>29EU</v>
          </cell>
          <cell r="CF1886" t="str">
            <v>29EU</v>
          </cell>
          <cell r="CG1886" t="str">
            <v>29EU</v>
          </cell>
        </row>
        <row r="1887">
          <cell r="O1887">
            <v>29</v>
          </cell>
          <cell r="AN1887">
            <v>0.1284796573875803</v>
          </cell>
          <cell r="AO1887">
            <v>0</v>
          </cell>
          <cell r="AP1887">
            <v>0.1284796573875803</v>
          </cell>
          <cell r="AZ1887">
            <v>0</v>
          </cell>
          <cell r="BT1887">
            <v>0.1284796573875803</v>
          </cell>
          <cell r="BX1887">
            <v>0</v>
          </cell>
          <cell r="CB1887">
            <v>0.1284796573875803</v>
          </cell>
          <cell r="CE1887" t="str">
            <v>29EU</v>
          </cell>
          <cell r="CF1887" t="str">
            <v>29EU</v>
          </cell>
          <cell r="CG1887" t="str">
            <v>29EU</v>
          </cell>
        </row>
        <row r="1888">
          <cell r="O1888">
            <v>29</v>
          </cell>
          <cell r="AN1888">
            <v>0.13886462829327512</v>
          </cell>
          <cell r="AO1888">
            <v>0</v>
          </cell>
          <cell r="AP1888">
            <v>0</v>
          </cell>
          <cell r="AZ1888">
            <v>0</v>
          </cell>
          <cell r="BT1888">
            <v>0.13886462829327512</v>
          </cell>
          <cell r="BX1888">
            <v>0</v>
          </cell>
          <cell r="CB1888">
            <v>0</v>
          </cell>
          <cell r="CE1888" t="str">
            <v>29EU</v>
          </cell>
          <cell r="CF1888" t="str">
            <v>29EU</v>
          </cell>
          <cell r="CG1888" t="str">
            <v>29EU</v>
          </cell>
        </row>
        <row r="1889">
          <cell r="O1889">
            <v>29</v>
          </cell>
          <cell r="AN1889">
            <v>0</v>
          </cell>
          <cell r="AO1889">
            <v>0.85653104925053536</v>
          </cell>
          <cell r="AP1889">
            <v>0</v>
          </cell>
          <cell r="AZ1889">
            <v>1</v>
          </cell>
          <cell r="BT1889">
            <v>0</v>
          </cell>
          <cell r="BX1889">
            <v>0.85653104925053536</v>
          </cell>
          <cell r="CB1889">
            <v>0</v>
          </cell>
          <cell r="CE1889" t="str">
            <v>29EU</v>
          </cell>
          <cell r="CF1889" t="str">
            <v>29EU</v>
          </cell>
          <cell r="CG1889" t="str">
            <v>29EU</v>
          </cell>
        </row>
        <row r="1890">
          <cell r="O1890">
            <v>29</v>
          </cell>
          <cell r="AN1890">
            <v>0.92576418862183418</v>
          </cell>
          <cell r="AO1890">
            <v>0</v>
          </cell>
          <cell r="AP1890">
            <v>0.92576418862183418</v>
          </cell>
          <cell r="AZ1890">
            <v>0</v>
          </cell>
          <cell r="BT1890">
            <v>0.92576418862183418</v>
          </cell>
          <cell r="BX1890">
            <v>0</v>
          </cell>
          <cell r="CB1890">
            <v>0.92576418862183418</v>
          </cell>
          <cell r="CE1890" t="str">
            <v>29EU</v>
          </cell>
          <cell r="CF1890" t="str">
            <v>29EU</v>
          </cell>
          <cell r="CG1890" t="str">
            <v>29EU</v>
          </cell>
        </row>
        <row r="1891">
          <cell r="O1891">
            <v>30</v>
          </cell>
          <cell r="AN1891">
            <v>0</v>
          </cell>
          <cell r="AO1891">
            <v>49.888899810422188</v>
          </cell>
          <cell r="AP1891">
            <v>0</v>
          </cell>
          <cell r="AZ1891">
            <v>53.889425000000003</v>
          </cell>
          <cell r="BT1891">
            <v>0</v>
          </cell>
          <cell r="BX1891">
            <v>49.924162874810413</v>
          </cell>
          <cell r="CB1891">
            <v>0</v>
          </cell>
          <cell r="CE1891" t="str">
            <v>30EU</v>
          </cell>
          <cell r="CF1891" t="str">
            <v>30LOCAL</v>
          </cell>
          <cell r="CG1891" t="str">
            <v>30EU</v>
          </cell>
        </row>
        <row r="1892">
          <cell r="O1892">
            <v>30</v>
          </cell>
          <cell r="AN1892">
            <v>0</v>
          </cell>
          <cell r="AO1892">
            <v>0</v>
          </cell>
          <cell r="AP1892">
            <v>0</v>
          </cell>
          <cell r="AZ1892">
            <v>0</v>
          </cell>
          <cell r="BT1892">
            <v>0</v>
          </cell>
          <cell r="BX1892">
            <v>0</v>
          </cell>
          <cell r="CB1892">
            <v>0</v>
          </cell>
          <cell r="CE1892" t="str">
            <v>30EU</v>
          </cell>
          <cell r="CF1892" t="str">
            <v>30EU</v>
          </cell>
          <cell r="CG1892" t="str">
            <v>30EU</v>
          </cell>
        </row>
        <row r="1893">
          <cell r="O1893">
            <v>30</v>
          </cell>
          <cell r="AN1893">
            <v>0</v>
          </cell>
          <cell r="AO1893">
            <v>49.888899810422188</v>
          </cell>
          <cell r="AP1893">
            <v>0</v>
          </cell>
          <cell r="AZ1893">
            <v>53.889425000000003</v>
          </cell>
          <cell r="BT1893">
            <v>0</v>
          </cell>
          <cell r="BX1893">
            <v>49.924162874810413</v>
          </cell>
          <cell r="CB1893">
            <v>0</v>
          </cell>
          <cell r="CE1893" t="str">
            <v>30EU</v>
          </cell>
          <cell r="CF1893" t="str">
            <v>30LOCAL</v>
          </cell>
          <cell r="CG1893" t="str">
            <v>30EU</v>
          </cell>
        </row>
        <row r="1894">
          <cell r="O1894">
            <v>30</v>
          </cell>
          <cell r="AN1894">
            <v>0</v>
          </cell>
          <cell r="AO1894">
            <v>0</v>
          </cell>
          <cell r="AP1894">
            <v>0</v>
          </cell>
          <cell r="AZ1894">
            <v>0</v>
          </cell>
          <cell r="BT1894">
            <v>0</v>
          </cell>
          <cell r="BX1894">
            <v>0</v>
          </cell>
          <cell r="CB1894">
            <v>0</v>
          </cell>
          <cell r="CE1894" t="str">
            <v>30EU</v>
          </cell>
          <cell r="CF1894" t="str">
            <v>30EU</v>
          </cell>
          <cell r="CG1894" t="str">
            <v>30EU</v>
          </cell>
        </row>
        <row r="1895">
          <cell r="O1895">
            <v>30</v>
          </cell>
          <cell r="AN1895">
            <v>0</v>
          </cell>
          <cell r="AO1895">
            <v>7.4305999717637219</v>
          </cell>
          <cell r="AP1895">
            <v>0</v>
          </cell>
          <cell r="AZ1895">
            <v>8.0264500000000005</v>
          </cell>
          <cell r="BT1895">
            <v>0</v>
          </cell>
          <cell r="BX1895">
            <v>7.4305999717637219</v>
          </cell>
          <cell r="CB1895">
            <v>0</v>
          </cell>
          <cell r="CE1895" t="str">
            <v>30EU</v>
          </cell>
          <cell r="CF1895" t="str">
            <v>30EU</v>
          </cell>
          <cell r="CG1895" t="str">
            <v>30EU</v>
          </cell>
        </row>
        <row r="1896">
          <cell r="O1896">
            <v>30</v>
          </cell>
          <cell r="AN1896">
            <v>0</v>
          </cell>
          <cell r="AO1896">
            <v>0</v>
          </cell>
          <cell r="AP1896">
            <v>0</v>
          </cell>
          <cell r="AZ1896">
            <v>0</v>
          </cell>
          <cell r="BT1896">
            <v>0</v>
          </cell>
          <cell r="BX1896">
            <v>0</v>
          </cell>
          <cell r="CB1896">
            <v>0</v>
          </cell>
          <cell r="CE1896" t="str">
            <v>30EU</v>
          </cell>
          <cell r="CF1896" t="str">
            <v>30EU</v>
          </cell>
          <cell r="CG1896" t="str">
            <v>30EU</v>
          </cell>
        </row>
        <row r="1897">
          <cell r="O1897">
            <v>30</v>
          </cell>
          <cell r="AN1897">
            <v>0</v>
          </cell>
          <cell r="AO1897">
            <v>0.13982459946866654</v>
          </cell>
          <cell r="AP1897">
            <v>0</v>
          </cell>
          <cell r="AZ1897">
            <v>0.15103695</v>
          </cell>
          <cell r="BT1897">
            <v>0</v>
          </cell>
          <cell r="BX1897">
            <v>0.13982459946866654</v>
          </cell>
          <cell r="CB1897">
            <v>0</v>
          </cell>
          <cell r="CE1897" t="str">
            <v>30EU</v>
          </cell>
          <cell r="CF1897" t="str">
            <v>30EU</v>
          </cell>
          <cell r="CG1897" t="str">
            <v>30EU</v>
          </cell>
        </row>
        <row r="1898">
          <cell r="O1898">
            <v>30</v>
          </cell>
          <cell r="AN1898">
            <v>0</v>
          </cell>
          <cell r="AO1898">
            <v>0</v>
          </cell>
          <cell r="AP1898">
            <v>43.899899833180385</v>
          </cell>
          <cell r="AZ1898">
            <v>0</v>
          </cell>
          <cell r="BT1898">
            <v>0</v>
          </cell>
          <cell r="BX1898">
            <v>0</v>
          </cell>
          <cell r="CB1898">
            <v>66.697013975690297</v>
          </cell>
          <cell r="CE1898" t="str">
            <v>30EU</v>
          </cell>
          <cell r="CF1898" t="str">
            <v>30EU</v>
          </cell>
          <cell r="CG1898" t="str">
            <v>30LOCAL</v>
          </cell>
        </row>
        <row r="1899">
          <cell r="O1899">
            <v>30</v>
          </cell>
          <cell r="AN1899">
            <v>0</v>
          </cell>
          <cell r="AO1899">
            <v>0</v>
          </cell>
          <cell r="AP1899">
            <v>43.899899833180385</v>
          </cell>
          <cell r="AZ1899">
            <v>0</v>
          </cell>
          <cell r="BT1899">
            <v>0</v>
          </cell>
          <cell r="BX1899">
            <v>0</v>
          </cell>
          <cell r="CB1899">
            <v>66.697013975690297</v>
          </cell>
          <cell r="CE1899" t="str">
            <v>30EU</v>
          </cell>
          <cell r="CF1899" t="str">
            <v>30EU</v>
          </cell>
          <cell r="CG1899" t="str">
            <v>30LOCAL</v>
          </cell>
        </row>
        <row r="1900">
          <cell r="O1900">
            <v>30</v>
          </cell>
          <cell r="AN1900">
            <v>0</v>
          </cell>
          <cell r="AO1900">
            <v>0</v>
          </cell>
          <cell r="AP1900">
            <v>4.1021999844116408</v>
          </cell>
          <cell r="AZ1900">
            <v>0</v>
          </cell>
          <cell r="BT1900">
            <v>0</v>
          </cell>
          <cell r="BX1900">
            <v>0</v>
          </cell>
          <cell r="CB1900">
            <v>4.1021999844116408</v>
          </cell>
          <cell r="CE1900" t="str">
            <v>30EU</v>
          </cell>
          <cell r="CF1900" t="str">
            <v>30EU</v>
          </cell>
          <cell r="CG1900" t="str">
            <v>30EU</v>
          </cell>
        </row>
        <row r="1901">
          <cell r="O1901">
            <v>30</v>
          </cell>
          <cell r="AN1901">
            <v>0</v>
          </cell>
          <cell r="AO1901">
            <v>0</v>
          </cell>
          <cell r="AP1901">
            <v>0.218</v>
          </cell>
          <cell r="AZ1901">
            <v>0</v>
          </cell>
          <cell r="BT1901">
            <v>0</v>
          </cell>
          <cell r="BX1901">
            <v>0</v>
          </cell>
          <cell r="CB1901">
            <v>0.218</v>
          </cell>
          <cell r="CE1901" t="str">
            <v>30EU</v>
          </cell>
          <cell r="CF1901" t="str">
            <v>30EU</v>
          </cell>
          <cell r="CG1901" t="str">
            <v>30EU</v>
          </cell>
        </row>
        <row r="1902">
          <cell r="O1902">
            <v>30</v>
          </cell>
          <cell r="AN1902">
            <v>0</v>
          </cell>
          <cell r="AO1902">
            <v>0</v>
          </cell>
          <cell r="AP1902">
            <v>0.13982459946866654</v>
          </cell>
          <cell r="AZ1902">
            <v>0</v>
          </cell>
          <cell r="BT1902">
            <v>0</v>
          </cell>
          <cell r="BX1902">
            <v>0</v>
          </cell>
          <cell r="CB1902">
            <v>0.13982459946866654</v>
          </cell>
          <cell r="CE1902" t="str">
            <v>30EU</v>
          </cell>
          <cell r="CF1902" t="str">
            <v>30EU</v>
          </cell>
          <cell r="CG1902" t="str">
            <v>30EU</v>
          </cell>
        </row>
        <row r="1903">
          <cell r="O1903">
            <v>30</v>
          </cell>
          <cell r="AN1903">
            <v>0</v>
          </cell>
          <cell r="AO1903">
            <v>0</v>
          </cell>
          <cell r="AP1903">
            <v>4.5367999827601604E-2</v>
          </cell>
          <cell r="AZ1903">
            <v>0</v>
          </cell>
          <cell r="BT1903">
            <v>0</v>
          </cell>
          <cell r="BX1903">
            <v>0</v>
          </cell>
          <cell r="CB1903">
            <v>4.5367999827601604E-2</v>
          </cell>
          <cell r="CE1903" t="str">
            <v>30EU</v>
          </cell>
          <cell r="CF1903" t="str">
            <v>30EU</v>
          </cell>
          <cell r="CG1903" t="str">
            <v>30EU</v>
          </cell>
        </row>
        <row r="1904">
          <cell r="O1904">
            <v>30</v>
          </cell>
          <cell r="AN1904">
            <v>49.888899810422188</v>
          </cell>
          <cell r="AO1904">
            <v>0</v>
          </cell>
          <cell r="AP1904">
            <v>0</v>
          </cell>
          <cell r="AZ1904">
            <v>0</v>
          </cell>
          <cell r="BT1904">
            <v>56.4957672151574</v>
          </cell>
          <cell r="BX1904">
            <v>0</v>
          </cell>
          <cell r="CB1904">
            <v>0</v>
          </cell>
          <cell r="CE1904" t="str">
            <v>30LOCAL</v>
          </cell>
          <cell r="CF1904" t="str">
            <v>30EU</v>
          </cell>
          <cell r="CG1904" t="str">
            <v>30EU</v>
          </cell>
        </row>
        <row r="1905">
          <cell r="O1905">
            <v>30</v>
          </cell>
          <cell r="AN1905">
            <v>49.888899810422188</v>
          </cell>
          <cell r="AO1905">
            <v>0</v>
          </cell>
          <cell r="AP1905">
            <v>0</v>
          </cell>
          <cell r="AZ1905">
            <v>0</v>
          </cell>
          <cell r="BT1905">
            <v>56.4957672151574</v>
          </cell>
          <cell r="BX1905">
            <v>0</v>
          </cell>
          <cell r="CB1905">
            <v>0</v>
          </cell>
          <cell r="CE1905" t="str">
            <v>30LOCAL</v>
          </cell>
          <cell r="CF1905" t="str">
            <v>30EU</v>
          </cell>
          <cell r="CG1905" t="str">
            <v>30EU</v>
          </cell>
        </row>
        <row r="1906">
          <cell r="O1906">
            <v>30</v>
          </cell>
          <cell r="AN1906">
            <v>7.4305999717637219</v>
          </cell>
          <cell r="AO1906">
            <v>0</v>
          </cell>
          <cell r="AP1906">
            <v>0</v>
          </cell>
          <cell r="AZ1906">
            <v>0</v>
          </cell>
          <cell r="BT1906">
            <v>7.4305999717637219</v>
          </cell>
          <cell r="BX1906">
            <v>0</v>
          </cell>
          <cell r="CB1906">
            <v>0</v>
          </cell>
          <cell r="CE1906" t="str">
            <v>30EU</v>
          </cell>
          <cell r="CF1906" t="str">
            <v>30EU</v>
          </cell>
          <cell r="CG1906" t="str">
            <v>30EU</v>
          </cell>
        </row>
        <row r="1907">
          <cell r="O1907">
            <v>30</v>
          </cell>
          <cell r="AN1907">
            <v>0.218</v>
          </cell>
          <cell r="AO1907">
            <v>0</v>
          </cell>
          <cell r="AP1907">
            <v>0</v>
          </cell>
          <cell r="AZ1907">
            <v>0</v>
          </cell>
          <cell r="BT1907">
            <v>0.218</v>
          </cell>
          <cell r="BX1907">
            <v>0</v>
          </cell>
          <cell r="CB1907">
            <v>0</v>
          </cell>
          <cell r="CE1907" t="str">
            <v>30EU</v>
          </cell>
          <cell r="CF1907" t="str">
            <v>30EU</v>
          </cell>
          <cell r="CG1907" t="str">
            <v>30EU</v>
          </cell>
        </row>
        <row r="1908">
          <cell r="O1908">
            <v>30</v>
          </cell>
          <cell r="AN1908">
            <v>0.13982459946866654</v>
          </cell>
          <cell r="AO1908">
            <v>0</v>
          </cell>
          <cell r="AP1908">
            <v>0</v>
          </cell>
          <cell r="AZ1908">
            <v>0</v>
          </cell>
          <cell r="BT1908">
            <v>0.13982459946866654</v>
          </cell>
          <cell r="BX1908">
            <v>0</v>
          </cell>
          <cell r="CB1908">
            <v>0</v>
          </cell>
          <cell r="CE1908" t="str">
            <v>30EU</v>
          </cell>
          <cell r="CF1908" t="str">
            <v>30EU</v>
          </cell>
          <cell r="CG1908" t="str">
            <v>30EU</v>
          </cell>
        </row>
        <row r="1909">
          <cell r="O1909">
            <v>30</v>
          </cell>
          <cell r="AN1909">
            <v>4.5367999827601604E-2</v>
          </cell>
          <cell r="AO1909">
            <v>0</v>
          </cell>
          <cell r="AP1909">
            <v>0</v>
          </cell>
          <cell r="AZ1909">
            <v>0</v>
          </cell>
          <cell r="BT1909">
            <v>4.5367999827601604E-2</v>
          </cell>
          <cell r="BX1909">
            <v>0</v>
          </cell>
          <cell r="CB1909">
            <v>0</v>
          </cell>
          <cell r="CE1909" t="str">
            <v>30EU</v>
          </cell>
          <cell r="CF1909" t="str">
            <v>30EU</v>
          </cell>
          <cell r="CG1909" t="str">
            <v>30EU</v>
          </cell>
        </row>
        <row r="1910">
          <cell r="O1910">
            <v>31</v>
          </cell>
          <cell r="AN1910">
            <v>0</v>
          </cell>
          <cell r="AO1910">
            <v>0</v>
          </cell>
          <cell r="AP1910">
            <v>32.117999877951604</v>
          </cell>
          <cell r="AZ1910">
            <v>0</v>
          </cell>
          <cell r="BT1910">
            <v>0</v>
          </cell>
          <cell r="BX1910">
            <v>0</v>
          </cell>
          <cell r="CB1910">
            <v>32.117999877951604</v>
          </cell>
          <cell r="CE1910" t="str">
            <v>31EU</v>
          </cell>
          <cell r="CF1910" t="str">
            <v>31EU</v>
          </cell>
          <cell r="CG1910" t="str">
            <v>31EU</v>
          </cell>
        </row>
        <row r="1911">
          <cell r="O1911">
            <v>31</v>
          </cell>
          <cell r="AN1911">
            <v>0</v>
          </cell>
          <cell r="AO1911">
            <v>0</v>
          </cell>
          <cell r="AP1911">
            <v>13.377199949166641</v>
          </cell>
          <cell r="AZ1911">
            <v>0</v>
          </cell>
          <cell r="BT1911">
            <v>0</v>
          </cell>
          <cell r="BX1911">
            <v>0</v>
          </cell>
          <cell r="CB1911">
            <v>13.377199949166641</v>
          </cell>
          <cell r="CE1911" t="str">
            <v>31EU</v>
          </cell>
          <cell r="CF1911" t="str">
            <v>31EU</v>
          </cell>
          <cell r="CG1911" t="str">
            <v>31EU</v>
          </cell>
        </row>
        <row r="1912">
          <cell r="O1912">
            <v>31</v>
          </cell>
          <cell r="AN1912">
            <v>0</v>
          </cell>
          <cell r="AO1912">
            <v>0</v>
          </cell>
          <cell r="AP1912">
            <v>4.4943999829212808</v>
          </cell>
          <cell r="AZ1912">
            <v>0</v>
          </cell>
          <cell r="BT1912">
            <v>0</v>
          </cell>
          <cell r="BX1912">
            <v>0</v>
          </cell>
          <cell r="CB1912">
            <v>4.4943999829212808</v>
          </cell>
          <cell r="CE1912" t="str">
            <v>31EU</v>
          </cell>
          <cell r="CF1912" t="str">
            <v>31EU</v>
          </cell>
          <cell r="CG1912" t="str">
            <v>31EU</v>
          </cell>
        </row>
        <row r="1913">
          <cell r="O1913">
            <v>31</v>
          </cell>
          <cell r="AN1913">
            <v>0</v>
          </cell>
          <cell r="AO1913">
            <v>0</v>
          </cell>
          <cell r="AP1913">
            <v>2.3531999910578403</v>
          </cell>
          <cell r="AZ1913">
            <v>0</v>
          </cell>
          <cell r="BT1913">
            <v>0</v>
          </cell>
          <cell r="BX1913">
            <v>0</v>
          </cell>
          <cell r="CB1913">
            <v>2.3531999910578403</v>
          </cell>
          <cell r="CE1913" t="str">
            <v>31EU</v>
          </cell>
          <cell r="CF1913" t="str">
            <v>31EU</v>
          </cell>
          <cell r="CG1913" t="str">
            <v>31EU</v>
          </cell>
        </row>
        <row r="1914">
          <cell r="O1914">
            <v>31</v>
          </cell>
          <cell r="AN1914">
            <v>0</v>
          </cell>
          <cell r="AO1914">
            <v>0</v>
          </cell>
          <cell r="AP1914">
            <v>4.9713999811086795</v>
          </cell>
          <cell r="AZ1914">
            <v>0</v>
          </cell>
          <cell r="BT1914">
            <v>0</v>
          </cell>
          <cell r="BX1914">
            <v>0</v>
          </cell>
          <cell r="CB1914">
            <v>4.9713999811086795</v>
          </cell>
          <cell r="CE1914" t="str">
            <v>31EU</v>
          </cell>
          <cell r="CF1914" t="str">
            <v>31EU</v>
          </cell>
          <cell r="CG1914" t="str">
            <v>31EU</v>
          </cell>
        </row>
        <row r="1915">
          <cell r="O1915">
            <v>31</v>
          </cell>
          <cell r="AN1915">
            <v>0</v>
          </cell>
          <cell r="AO1915">
            <v>0</v>
          </cell>
          <cell r="AP1915">
            <v>0</v>
          </cell>
          <cell r="AZ1915">
            <v>0</v>
          </cell>
          <cell r="BT1915">
            <v>0</v>
          </cell>
          <cell r="BX1915">
            <v>0</v>
          </cell>
          <cell r="CB1915">
            <v>0</v>
          </cell>
          <cell r="CE1915" t="str">
            <v>31EU</v>
          </cell>
          <cell r="CF1915" t="str">
            <v>31EU</v>
          </cell>
          <cell r="CG1915" t="str">
            <v>31EU</v>
          </cell>
        </row>
        <row r="1916">
          <cell r="O1916">
            <v>31</v>
          </cell>
          <cell r="AN1916">
            <v>0</v>
          </cell>
          <cell r="AO1916">
            <v>0</v>
          </cell>
          <cell r="AP1916">
            <v>0.24995633092789521</v>
          </cell>
          <cell r="AZ1916">
            <v>0</v>
          </cell>
          <cell r="BT1916">
            <v>0</v>
          </cell>
          <cell r="BX1916">
            <v>0</v>
          </cell>
          <cell r="CB1916">
            <v>0.24995633092789521</v>
          </cell>
          <cell r="CE1916" t="str">
            <v>31EU</v>
          </cell>
          <cell r="CF1916" t="str">
            <v>31EU</v>
          </cell>
          <cell r="CG1916" t="str">
            <v>31EU</v>
          </cell>
        </row>
        <row r="1917">
          <cell r="O1917">
            <v>31</v>
          </cell>
          <cell r="AN1917">
            <v>0</v>
          </cell>
          <cell r="AO1917">
            <v>0</v>
          </cell>
          <cell r="AP1917">
            <v>0.11109170263462011</v>
          </cell>
          <cell r="AZ1917">
            <v>0</v>
          </cell>
          <cell r="BT1917">
            <v>0</v>
          </cell>
          <cell r="BX1917">
            <v>0</v>
          </cell>
          <cell r="CB1917">
            <v>0.11109170263462011</v>
          </cell>
          <cell r="CE1917" t="str">
            <v>31EU</v>
          </cell>
          <cell r="CF1917" t="str">
            <v>31EU</v>
          </cell>
          <cell r="CG1917" t="str">
            <v>31EU</v>
          </cell>
        </row>
        <row r="1918">
          <cell r="O1918">
            <v>31</v>
          </cell>
          <cell r="AN1918">
            <v>0</v>
          </cell>
          <cell r="AO1918">
            <v>0</v>
          </cell>
          <cell r="AP1918">
            <v>0.86919999669704007</v>
          </cell>
          <cell r="AZ1918">
            <v>0</v>
          </cell>
          <cell r="BT1918">
            <v>0</v>
          </cell>
          <cell r="BX1918">
            <v>0</v>
          </cell>
          <cell r="CB1918">
            <v>0.86919999669704007</v>
          </cell>
          <cell r="CE1918" t="str">
            <v>31EU</v>
          </cell>
          <cell r="CF1918" t="str">
            <v>31EU</v>
          </cell>
          <cell r="CG1918" t="str">
            <v>31EU</v>
          </cell>
        </row>
        <row r="1919">
          <cell r="O1919">
            <v>31</v>
          </cell>
          <cell r="AN1919">
            <v>0</v>
          </cell>
          <cell r="AO1919">
            <v>0</v>
          </cell>
          <cell r="AP1919">
            <v>61.988799764442561</v>
          </cell>
          <cell r="AZ1919">
            <v>0</v>
          </cell>
          <cell r="BT1919">
            <v>0</v>
          </cell>
          <cell r="BX1919">
            <v>0</v>
          </cell>
          <cell r="CB1919">
            <v>61.988799764442561</v>
          </cell>
          <cell r="CE1919" t="str">
            <v>31EU</v>
          </cell>
          <cell r="CF1919" t="str">
            <v>31EU</v>
          </cell>
          <cell r="CG1919" t="str">
            <v>31EU</v>
          </cell>
        </row>
        <row r="1920">
          <cell r="O1920">
            <v>32</v>
          </cell>
          <cell r="AN1920">
            <v>0</v>
          </cell>
          <cell r="AO1920">
            <v>0</v>
          </cell>
          <cell r="AP1920">
            <v>0</v>
          </cell>
          <cell r="AZ1920">
            <v>0</v>
          </cell>
          <cell r="BT1920">
            <v>0</v>
          </cell>
          <cell r="BX1920">
            <v>0</v>
          </cell>
          <cell r="CB1920">
            <v>0</v>
          </cell>
          <cell r="CE1920" t="str">
            <v>32EU</v>
          </cell>
          <cell r="CF1920" t="str">
            <v>32EU</v>
          </cell>
          <cell r="CG1920" t="str">
            <v>32EU</v>
          </cell>
        </row>
        <row r="1921">
          <cell r="O1921">
            <v>32</v>
          </cell>
          <cell r="AN1921">
            <v>0</v>
          </cell>
          <cell r="AO1921">
            <v>6.2950432548179869</v>
          </cell>
          <cell r="AP1921">
            <v>0</v>
          </cell>
          <cell r="AZ1921">
            <v>7.3494629999999992</v>
          </cell>
          <cell r="BT1921">
            <v>0</v>
          </cell>
          <cell r="BX1921">
            <v>6.2950432548179869</v>
          </cell>
          <cell r="CB1921">
            <v>0</v>
          </cell>
          <cell r="CE1921" t="str">
            <v>32EU</v>
          </cell>
          <cell r="CF1921" t="str">
            <v>32EU</v>
          </cell>
          <cell r="CG1921" t="str">
            <v>32EU</v>
          </cell>
        </row>
        <row r="1922">
          <cell r="O1922">
            <v>32</v>
          </cell>
          <cell r="AN1922">
            <v>6.3705999757917207</v>
          </cell>
          <cell r="AO1922">
            <v>0</v>
          </cell>
          <cell r="AP1922">
            <v>6.3705999757917207</v>
          </cell>
          <cell r="AZ1922">
            <v>0</v>
          </cell>
          <cell r="BT1922">
            <v>6.3705999757917207</v>
          </cell>
          <cell r="BX1922">
            <v>0</v>
          </cell>
          <cell r="CB1922">
            <v>6.3705999757917207</v>
          </cell>
          <cell r="CE1922" t="str">
            <v>32EU</v>
          </cell>
          <cell r="CF1922" t="str">
            <v>32EU</v>
          </cell>
          <cell r="CG1922" t="str">
            <v>32EU</v>
          </cell>
        </row>
        <row r="1923">
          <cell r="O1923">
            <v>32</v>
          </cell>
          <cell r="AN1923">
            <v>0</v>
          </cell>
          <cell r="AO1923">
            <v>3.0107226692363382</v>
          </cell>
          <cell r="AP1923">
            <v>0</v>
          </cell>
          <cell r="AZ1923">
            <v>3.515018716333425</v>
          </cell>
          <cell r="BT1923">
            <v>0</v>
          </cell>
          <cell r="BX1923">
            <v>3.0107226692363382</v>
          </cell>
          <cell r="CB1923">
            <v>0</v>
          </cell>
          <cell r="CE1923" t="str">
            <v>32EU</v>
          </cell>
          <cell r="CF1923" t="str">
            <v>32EU</v>
          </cell>
          <cell r="CG1923" t="str">
            <v>32EU</v>
          </cell>
        </row>
        <row r="1924">
          <cell r="O1924">
            <v>32</v>
          </cell>
          <cell r="AN1924">
            <v>0</v>
          </cell>
          <cell r="AO1924">
            <v>0</v>
          </cell>
          <cell r="AP1924">
            <v>0</v>
          </cell>
          <cell r="AZ1924">
            <v>0</v>
          </cell>
          <cell r="BT1924">
            <v>0</v>
          </cell>
          <cell r="BX1924">
            <v>0</v>
          </cell>
          <cell r="CB1924">
            <v>0</v>
          </cell>
          <cell r="CE1924" t="str">
            <v>32EU</v>
          </cell>
          <cell r="CF1924" t="str">
            <v>32EU</v>
          </cell>
          <cell r="CG1924" t="str">
            <v>32EU</v>
          </cell>
        </row>
        <row r="1925">
          <cell r="O1925">
            <v>32</v>
          </cell>
          <cell r="AN1925">
            <v>0</v>
          </cell>
          <cell r="AO1925">
            <v>2.2891066381156318</v>
          </cell>
          <cell r="AP1925">
            <v>0</v>
          </cell>
          <cell r="AZ1925">
            <v>2.6725319999999999</v>
          </cell>
          <cell r="BT1925">
            <v>0</v>
          </cell>
          <cell r="BX1925">
            <v>2.2891066381156318</v>
          </cell>
          <cell r="CB1925">
            <v>0</v>
          </cell>
          <cell r="CE1925" t="str">
            <v>32EU</v>
          </cell>
          <cell r="CF1925" t="str">
            <v>32EU</v>
          </cell>
          <cell r="CG1925" t="str">
            <v>32EU</v>
          </cell>
        </row>
        <row r="1926">
          <cell r="O1926">
            <v>32</v>
          </cell>
          <cell r="AN1926">
            <v>0</v>
          </cell>
          <cell r="AO1926">
            <v>15.798588436830837</v>
          </cell>
          <cell r="AP1926">
            <v>0</v>
          </cell>
          <cell r="AZ1926">
            <v>18.444852000000001</v>
          </cell>
          <cell r="BT1926">
            <v>0</v>
          </cell>
          <cell r="BX1926">
            <v>15.798588436830837</v>
          </cell>
          <cell r="CB1926">
            <v>0</v>
          </cell>
          <cell r="CE1926" t="str">
            <v>32EU</v>
          </cell>
          <cell r="CF1926" t="str">
            <v>32EU</v>
          </cell>
          <cell r="CG1926" t="str">
            <v>32EU</v>
          </cell>
        </row>
        <row r="1927">
          <cell r="O1927">
            <v>32</v>
          </cell>
          <cell r="AN1927">
            <v>0</v>
          </cell>
          <cell r="AO1927">
            <v>0</v>
          </cell>
          <cell r="AP1927">
            <v>0</v>
          </cell>
          <cell r="AZ1927">
            <v>0</v>
          </cell>
          <cell r="BT1927">
            <v>0</v>
          </cell>
          <cell r="BX1927">
            <v>0</v>
          </cell>
          <cell r="CB1927">
            <v>0</v>
          </cell>
          <cell r="CE1927" t="str">
            <v>32EU</v>
          </cell>
          <cell r="CF1927" t="str">
            <v>32EU</v>
          </cell>
          <cell r="CG1927" t="str">
            <v>32EU</v>
          </cell>
        </row>
        <row r="1928">
          <cell r="O1928">
            <v>32</v>
          </cell>
          <cell r="AN1928">
            <v>0</v>
          </cell>
          <cell r="AO1928">
            <v>3.2085019271948609</v>
          </cell>
          <cell r="AP1928">
            <v>0</v>
          </cell>
          <cell r="AZ1928">
            <v>3.7459259999999999</v>
          </cell>
          <cell r="BT1928">
            <v>0</v>
          </cell>
          <cell r="BX1928">
            <v>3.2085019271948609</v>
          </cell>
          <cell r="CB1928">
            <v>0</v>
          </cell>
          <cell r="CE1928" t="str">
            <v>32EU</v>
          </cell>
          <cell r="CF1928" t="str">
            <v>32EU</v>
          </cell>
          <cell r="CG1928" t="str">
            <v>32EU</v>
          </cell>
        </row>
        <row r="1929">
          <cell r="O1929">
            <v>32</v>
          </cell>
          <cell r="AN1929">
            <v>0</v>
          </cell>
          <cell r="AO1929">
            <v>0</v>
          </cell>
          <cell r="AP1929">
            <v>3.5933999863450805</v>
          </cell>
          <cell r="AZ1929">
            <v>0</v>
          </cell>
          <cell r="BT1929">
            <v>0</v>
          </cell>
          <cell r="BX1929">
            <v>0</v>
          </cell>
          <cell r="CB1929">
            <v>3.5933999863450805</v>
          </cell>
          <cell r="CE1929" t="str">
            <v>32EU</v>
          </cell>
          <cell r="CF1929" t="str">
            <v>32EU</v>
          </cell>
          <cell r="CG1929" t="str">
            <v>32EU</v>
          </cell>
        </row>
        <row r="1930">
          <cell r="O1930">
            <v>32</v>
          </cell>
          <cell r="AN1930">
            <v>4.4201999832032408</v>
          </cell>
          <cell r="AO1930">
            <v>0</v>
          </cell>
          <cell r="AP1930">
            <v>0</v>
          </cell>
          <cell r="AZ1930">
            <v>0</v>
          </cell>
          <cell r="BT1930">
            <v>4.4201999832032408</v>
          </cell>
          <cell r="BX1930">
            <v>0</v>
          </cell>
          <cell r="CB1930">
            <v>0</v>
          </cell>
          <cell r="CE1930" t="str">
            <v>32EU</v>
          </cell>
          <cell r="CF1930" t="str">
            <v>32EU</v>
          </cell>
          <cell r="CG1930" t="str">
            <v>32EU</v>
          </cell>
        </row>
        <row r="1931">
          <cell r="O1931">
            <v>32</v>
          </cell>
          <cell r="AN1931">
            <v>0</v>
          </cell>
          <cell r="AO1931">
            <v>8.0559999693872009E-2</v>
          </cell>
          <cell r="AP1931">
            <v>0</v>
          </cell>
          <cell r="AZ1931">
            <v>8.702E-2</v>
          </cell>
          <cell r="BT1931">
            <v>0</v>
          </cell>
          <cell r="BX1931">
            <v>8.0559999693872009E-2</v>
          </cell>
          <cell r="CB1931">
            <v>0</v>
          </cell>
          <cell r="CE1931" t="str">
            <v>32EU</v>
          </cell>
          <cell r="CF1931" t="str">
            <v>32EU</v>
          </cell>
          <cell r="CG1931" t="str">
            <v>32EU</v>
          </cell>
        </row>
        <row r="1932">
          <cell r="O1932">
            <v>32</v>
          </cell>
          <cell r="AN1932">
            <v>0</v>
          </cell>
          <cell r="AO1932">
            <v>0.21835999917023202</v>
          </cell>
          <cell r="AP1932">
            <v>0</v>
          </cell>
          <cell r="AZ1932">
            <v>0.23587</v>
          </cell>
          <cell r="BT1932">
            <v>0</v>
          </cell>
          <cell r="BX1932">
            <v>0.21835999917023202</v>
          </cell>
          <cell r="CB1932">
            <v>0</v>
          </cell>
          <cell r="CE1932" t="str">
            <v>32EU</v>
          </cell>
          <cell r="CF1932" t="str">
            <v>32EU</v>
          </cell>
          <cell r="CG1932" t="str">
            <v>32EU</v>
          </cell>
        </row>
        <row r="1933">
          <cell r="O1933">
            <v>32</v>
          </cell>
          <cell r="AN1933">
            <v>0</v>
          </cell>
          <cell r="AO1933">
            <v>0.39961999848144408</v>
          </cell>
          <cell r="AP1933">
            <v>0</v>
          </cell>
          <cell r="AZ1933">
            <v>0.43166500000000002</v>
          </cell>
          <cell r="BT1933">
            <v>0</v>
          </cell>
          <cell r="BX1933">
            <v>0.39961999848144408</v>
          </cell>
          <cell r="CB1933">
            <v>0</v>
          </cell>
          <cell r="CE1933" t="str">
            <v>32EU</v>
          </cell>
          <cell r="CF1933" t="str">
            <v>32EU</v>
          </cell>
          <cell r="CG1933" t="str">
            <v>32EU</v>
          </cell>
        </row>
        <row r="1934">
          <cell r="O1934">
            <v>32</v>
          </cell>
          <cell r="AN1934">
            <v>0</v>
          </cell>
          <cell r="AO1934">
            <v>0.30443199884315847</v>
          </cell>
          <cell r="AP1934">
            <v>0</v>
          </cell>
          <cell r="AZ1934">
            <v>0.32884400000000003</v>
          </cell>
          <cell r="BT1934">
            <v>0</v>
          </cell>
          <cell r="BX1934">
            <v>0.30443199884315847</v>
          </cell>
          <cell r="CB1934">
            <v>0</v>
          </cell>
          <cell r="CE1934" t="str">
            <v>32EU</v>
          </cell>
          <cell r="CF1934" t="str">
            <v>32EU</v>
          </cell>
          <cell r="CG1934" t="str">
            <v>32EU</v>
          </cell>
        </row>
        <row r="1935">
          <cell r="O1935">
            <v>32</v>
          </cell>
          <cell r="AN1935">
            <v>0</v>
          </cell>
          <cell r="AO1935">
            <v>0.18515283772436686</v>
          </cell>
          <cell r="AP1935">
            <v>0</v>
          </cell>
          <cell r="AZ1935">
            <v>0.2</v>
          </cell>
          <cell r="BT1935">
            <v>0</v>
          </cell>
          <cell r="BX1935">
            <v>0.18515283772436686</v>
          </cell>
          <cell r="CB1935">
            <v>0</v>
          </cell>
          <cell r="CE1935" t="str">
            <v>32EU</v>
          </cell>
          <cell r="CF1935" t="str">
            <v>32EU</v>
          </cell>
          <cell r="CG1935" t="str">
            <v>32EU</v>
          </cell>
        </row>
        <row r="1936">
          <cell r="O1936">
            <v>32</v>
          </cell>
          <cell r="AN1936">
            <v>0</v>
          </cell>
          <cell r="AO1936">
            <v>0.18515283772436686</v>
          </cell>
          <cell r="AP1936">
            <v>0</v>
          </cell>
          <cell r="AZ1936">
            <v>0.2</v>
          </cell>
          <cell r="BT1936">
            <v>0</v>
          </cell>
          <cell r="BX1936">
            <v>0.18515283772436686</v>
          </cell>
          <cell r="CB1936">
            <v>0</v>
          </cell>
          <cell r="CE1936" t="str">
            <v>32EU</v>
          </cell>
          <cell r="CF1936" t="str">
            <v>32EU</v>
          </cell>
          <cell r="CG1936" t="str">
            <v>32EU</v>
          </cell>
        </row>
        <row r="1937">
          <cell r="O1937">
            <v>32</v>
          </cell>
          <cell r="AN1937">
            <v>0</v>
          </cell>
          <cell r="AO1937">
            <v>0</v>
          </cell>
          <cell r="AP1937">
            <v>3.9431999850158408</v>
          </cell>
          <cell r="AZ1937">
            <v>0</v>
          </cell>
          <cell r="BT1937">
            <v>0</v>
          </cell>
          <cell r="BX1937">
            <v>0</v>
          </cell>
          <cell r="CB1937">
            <v>3.9431999850158408</v>
          </cell>
          <cell r="CE1937" t="str">
            <v>32EU</v>
          </cell>
          <cell r="CF1937" t="str">
            <v>32EU</v>
          </cell>
          <cell r="CG1937" t="str">
            <v>32EU</v>
          </cell>
        </row>
        <row r="1938">
          <cell r="O1938">
            <v>32</v>
          </cell>
          <cell r="AN1938">
            <v>0</v>
          </cell>
          <cell r="AO1938">
            <v>0</v>
          </cell>
          <cell r="AP1938">
            <v>3.9325999850561209</v>
          </cell>
          <cell r="AZ1938">
            <v>0</v>
          </cell>
          <cell r="BT1938">
            <v>0</v>
          </cell>
          <cell r="BX1938">
            <v>0</v>
          </cell>
          <cell r="CB1938">
            <v>3.9325999850561209</v>
          </cell>
          <cell r="CE1938" t="str">
            <v>32EU</v>
          </cell>
          <cell r="CF1938" t="str">
            <v>32EU</v>
          </cell>
          <cell r="CG1938" t="str">
            <v>32EU</v>
          </cell>
        </row>
        <row r="1939">
          <cell r="O1939">
            <v>32</v>
          </cell>
          <cell r="AN1939">
            <v>0</v>
          </cell>
          <cell r="AO1939">
            <v>0</v>
          </cell>
          <cell r="AP1939">
            <v>14.044999946629002</v>
          </cell>
          <cell r="AZ1939">
            <v>0</v>
          </cell>
          <cell r="BT1939">
            <v>0</v>
          </cell>
          <cell r="BX1939">
            <v>0</v>
          </cell>
          <cell r="CB1939">
            <v>14.044999946629002</v>
          </cell>
          <cell r="CE1939" t="str">
            <v>32EU</v>
          </cell>
          <cell r="CF1939" t="str">
            <v>32EU</v>
          </cell>
          <cell r="CG1939" t="str">
            <v>32EU</v>
          </cell>
        </row>
        <row r="1940">
          <cell r="O1940">
            <v>32</v>
          </cell>
          <cell r="AN1940">
            <v>0</v>
          </cell>
          <cell r="AO1940">
            <v>0</v>
          </cell>
          <cell r="AP1940">
            <v>0.39590999849554204</v>
          </cell>
          <cell r="AZ1940">
            <v>0</v>
          </cell>
          <cell r="BT1940">
            <v>0</v>
          </cell>
          <cell r="BX1940">
            <v>0</v>
          </cell>
          <cell r="CB1940">
            <v>0.39590999849554204</v>
          </cell>
          <cell r="CE1940" t="str">
            <v>32EU</v>
          </cell>
          <cell r="CF1940" t="str">
            <v>32EU</v>
          </cell>
          <cell r="CG1940" t="str">
            <v>32EU</v>
          </cell>
        </row>
        <row r="1941">
          <cell r="O1941">
            <v>32</v>
          </cell>
          <cell r="AN1941">
            <v>0</v>
          </cell>
          <cell r="AO1941">
            <v>0</v>
          </cell>
          <cell r="AP1941">
            <v>0.14519879944824457</v>
          </cell>
          <cell r="AZ1941">
            <v>0</v>
          </cell>
          <cell r="BT1941">
            <v>0</v>
          </cell>
          <cell r="BX1941">
            <v>0</v>
          </cell>
          <cell r="CB1941">
            <v>0.14519879944824457</v>
          </cell>
          <cell r="CE1941" t="str">
            <v>32EU</v>
          </cell>
          <cell r="CF1941" t="str">
            <v>32EU</v>
          </cell>
          <cell r="CG1941" t="str">
            <v>32EU</v>
          </cell>
        </row>
        <row r="1942">
          <cell r="O1942">
            <v>32</v>
          </cell>
          <cell r="AN1942">
            <v>0</v>
          </cell>
          <cell r="AO1942">
            <v>0</v>
          </cell>
          <cell r="AP1942">
            <v>8.0559999693872009E-2</v>
          </cell>
          <cell r="AZ1942">
            <v>0</v>
          </cell>
          <cell r="BT1942">
            <v>0</v>
          </cell>
          <cell r="BX1942">
            <v>0</v>
          </cell>
          <cell r="CB1942">
            <v>8.0559999693872009E-2</v>
          </cell>
          <cell r="CE1942" t="str">
            <v>32EU</v>
          </cell>
          <cell r="CF1942" t="str">
            <v>32EU</v>
          </cell>
          <cell r="CG1942" t="str">
            <v>32EU</v>
          </cell>
        </row>
        <row r="1943">
          <cell r="O1943">
            <v>32</v>
          </cell>
          <cell r="AN1943">
            <v>0</v>
          </cell>
          <cell r="AO1943">
            <v>0</v>
          </cell>
          <cell r="AP1943">
            <v>0.21835999917023202</v>
          </cell>
          <cell r="AZ1943">
            <v>0</v>
          </cell>
          <cell r="BT1943">
            <v>0</v>
          </cell>
          <cell r="BX1943">
            <v>0</v>
          </cell>
          <cell r="CB1943">
            <v>0.21835999917023202</v>
          </cell>
          <cell r="CE1943" t="str">
            <v>32EU</v>
          </cell>
          <cell r="CF1943" t="str">
            <v>32EU</v>
          </cell>
          <cell r="CG1943" t="str">
            <v>32EU</v>
          </cell>
        </row>
        <row r="1944">
          <cell r="O1944">
            <v>32</v>
          </cell>
          <cell r="AN1944">
            <v>0</v>
          </cell>
          <cell r="AO1944">
            <v>0</v>
          </cell>
          <cell r="AP1944">
            <v>0.18613599929268324</v>
          </cell>
          <cell r="AZ1944">
            <v>0</v>
          </cell>
          <cell r="BT1944">
            <v>0</v>
          </cell>
          <cell r="BX1944">
            <v>0</v>
          </cell>
          <cell r="CB1944">
            <v>0.18613599929268324</v>
          </cell>
          <cell r="CE1944" t="str">
            <v>32EU</v>
          </cell>
          <cell r="CF1944" t="str">
            <v>32EU</v>
          </cell>
          <cell r="CG1944" t="str">
            <v>32EU</v>
          </cell>
        </row>
        <row r="1945">
          <cell r="O1945">
            <v>32</v>
          </cell>
          <cell r="AN1945">
            <v>0</v>
          </cell>
          <cell r="AO1945">
            <v>0</v>
          </cell>
          <cell r="AP1945">
            <v>0.39961999848144408</v>
          </cell>
          <cell r="AZ1945">
            <v>0</v>
          </cell>
          <cell r="BT1945">
            <v>0</v>
          </cell>
          <cell r="BX1945">
            <v>0</v>
          </cell>
          <cell r="CB1945">
            <v>0.39961999848144408</v>
          </cell>
          <cell r="CE1945" t="str">
            <v>32EU</v>
          </cell>
          <cell r="CF1945" t="str">
            <v>32EU</v>
          </cell>
          <cell r="CG1945" t="str">
            <v>32EU</v>
          </cell>
        </row>
        <row r="1946">
          <cell r="O1946">
            <v>32</v>
          </cell>
          <cell r="AN1946">
            <v>0</v>
          </cell>
          <cell r="AO1946">
            <v>0</v>
          </cell>
          <cell r="AP1946">
            <v>0.30443199884315847</v>
          </cell>
          <cell r="AZ1946">
            <v>0</v>
          </cell>
          <cell r="BT1946">
            <v>0</v>
          </cell>
          <cell r="BX1946">
            <v>0</v>
          </cell>
          <cell r="CB1946">
            <v>0.30443199884315847</v>
          </cell>
          <cell r="CE1946" t="str">
            <v>32EU</v>
          </cell>
          <cell r="CF1946" t="str">
            <v>32EU</v>
          </cell>
          <cell r="CG1946" t="str">
            <v>32EU</v>
          </cell>
        </row>
        <row r="1947">
          <cell r="O1947">
            <v>32</v>
          </cell>
          <cell r="AN1947">
            <v>3.9431999850158408</v>
          </cell>
          <cell r="AO1947">
            <v>0</v>
          </cell>
          <cell r="AP1947">
            <v>0</v>
          </cell>
          <cell r="AZ1947">
            <v>0</v>
          </cell>
          <cell r="BT1947">
            <v>3.9431999850158408</v>
          </cell>
          <cell r="BX1947">
            <v>0</v>
          </cell>
          <cell r="CB1947">
            <v>0</v>
          </cell>
          <cell r="CE1947" t="str">
            <v>32EU</v>
          </cell>
          <cell r="CF1947" t="str">
            <v>32EU</v>
          </cell>
          <cell r="CG1947" t="str">
            <v>32EU</v>
          </cell>
        </row>
        <row r="1948">
          <cell r="O1948">
            <v>32</v>
          </cell>
          <cell r="AN1948">
            <v>3.9325999850561209</v>
          </cell>
          <cell r="AO1948">
            <v>0</v>
          </cell>
          <cell r="AP1948">
            <v>0</v>
          </cell>
          <cell r="AZ1948">
            <v>0</v>
          </cell>
          <cell r="BT1948">
            <v>3.9325999850561209</v>
          </cell>
          <cell r="BX1948">
            <v>0</v>
          </cell>
          <cell r="CB1948">
            <v>0</v>
          </cell>
          <cell r="CE1948" t="str">
            <v>32EU</v>
          </cell>
          <cell r="CF1948" t="str">
            <v>32EU</v>
          </cell>
          <cell r="CG1948" t="str">
            <v>32EU</v>
          </cell>
        </row>
        <row r="1949">
          <cell r="O1949">
            <v>32</v>
          </cell>
          <cell r="AN1949">
            <v>3.9325999850561209</v>
          </cell>
          <cell r="AO1949">
            <v>0</v>
          </cell>
          <cell r="AP1949">
            <v>0</v>
          </cell>
          <cell r="AZ1949">
            <v>0</v>
          </cell>
          <cell r="BT1949">
            <v>3.9325999850561209</v>
          </cell>
          <cell r="BX1949">
            <v>0</v>
          </cell>
          <cell r="CB1949">
            <v>0</v>
          </cell>
          <cell r="CE1949" t="str">
            <v>32EU</v>
          </cell>
          <cell r="CF1949" t="str">
            <v>32EU</v>
          </cell>
          <cell r="CG1949" t="str">
            <v>32EU</v>
          </cell>
        </row>
        <row r="1950">
          <cell r="O1950">
            <v>32</v>
          </cell>
          <cell r="AN1950">
            <v>14.044999946629002</v>
          </cell>
          <cell r="AO1950">
            <v>0</v>
          </cell>
          <cell r="AP1950">
            <v>0</v>
          </cell>
          <cell r="AZ1950">
            <v>0</v>
          </cell>
          <cell r="BT1950">
            <v>14.044999946629002</v>
          </cell>
          <cell r="BX1950">
            <v>0</v>
          </cell>
          <cell r="CB1950">
            <v>0</v>
          </cell>
          <cell r="CE1950" t="str">
            <v>32EU</v>
          </cell>
          <cell r="CF1950" t="str">
            <v>32EU</v>
          </cell>
          <cell r="CG1950" t="str">
            <v>32EU</v>
          </cell>
        </row>
        <row r="1951">
          <cell r="O1951">
            <v>32</v>
          </cell>
          <cell r="AN1951">
            <v>0.18613599929268324</v>
          </cell>
          <cell r="AO1951">
            <v>0</v>
          </cell>
          <cell r="AP1951">
            <v>0</v>
          </cell>
          <cell r="AZ1951">
            <v>0</v>
          </cell>
          <cell r="BT1951">
            <v>0.18613599929268324</v>
          </cell>
          <cell r="BX1951">
            <v>0</v>
          </cell>
          <cell r="CB1951">
            <v>0</v>
          </cell>
          <cell r="CE1951" t="str">
            <v>32EU</v>
          </cell>
          <cell r="CF1951" t="str">
            <v>32EU</v>
          </cell>
          <cell r="CG1951" t="str">
            <v>32EU</v>
          </cell>
        </row>
        <row r="1952">
          <cell r="O1952">
            <v>32</v>
          </cell>
          <cell r="AN1952">
            <v>8.0559999693872009E-2</v>
          </cell>
          <cell r="AO1952">
            <v>0</v>
          </cell>
          <cell r="AP1952">
            <v>0</v>
          </cell>
          <cell r="AZ1952">
            <v>0</v>
          </cell>
          <cell r="BT1952">
            <v>8.0559999693872009E-2</v>
          </cell>
          <cell r="BX1952">
            <v>0</v>
          </cell>
          <cell r="CB1952">
            <v>0</v>
          </cell>
          <cell r="CE1952" t="str">
            <v>32EU</v>
          </cell>
          <cell r="CF1952" t="str">
            <v>32EU</v>
          </cell>
          <cell r="CG1952" t="str">
            <v>32EU</v>
          </cell>
        </row>
        <row r="1953">
          <cell r="O1953">
            <v>32</v>
          </cell>
          <cell r="AN1953">
            <v>0.22471999914606403</v>
          </cell>
          <cell r="AO1953">
            <v>0</v>
          </cell>
          <cell r="AP1953">
            <v>0</v>
          </cell>
          <cell r="AZ1953">
            <v>0</v>
          </cell>
          <cell r="BT1953">
            <v>0.22471999914606403</v>
          </cell>
          <cell r="BX1953">
            <v>0</v>
          </cell>
          <cell r="CB1953">
            <v>0</v>
          </cell>
          <cell r="CE1953" t="str">
            <v>32EU</v>
          </cell>
          <cell r="CF1953" t="str">
            <v>32EU</v>
          </cell>
          <cell r="CG1953" t="str">
            <v>32EU</v>
          </cell>
        </row>
        <row r="1954">
          <cell r="O1954">
            <v>32</v>
          </cell>
          <cell r="AN1954">
            <v>0.27920399893902487</v>
          </cell>
          <cell r="AO1954">
            <v>0</v>
          </cell>
          <cell r="AP1954">
            <v>0</v>
          </cell>
          <cell r="AZ1954">
            <v>0</v>
          </cell>
          <cell r="BT1954">
            <v>0.27920399893902487</v>
          </cell>
          <cell r="BX1954">
            <v>0</v>
          </cell>
          <cell r="CB1954">
            <v>0</v>
          </cell>
          <cell r="CE1954" t="str">
            <v>32EU</v>
          </cell>
          <cell r="CF1954" t="str">
            <v>32EU</v>
          </cell>
          <cell r="CG1954" t="str">
            <v>32EU</v>
          </cell>
        </row>
        <row r="1955">
          <cell r="O1955">
            <v>32</v>
          </cell>
          <cell r="AN1955">
            <v>0.39961999848144408</v>
          </cell>
          <cell r="AO1955">
            <v>0</v>
          </cell>
          <cell r="AP1955">
            <v>0</v>
          </cell>
          <cell r="AZ1955">
            <v>0</v>
          </cell>
          <cell r="BT1955">
            <v>0.39961999848144408</v>
          </cell>
          <cell r="BX1955">
            <v>0</v>
          </cell>
          <cell r="CB1955">
            <v>0</v>
          </cell>
          <cell r="CE1955" t="str">
            <v>32EU</v>
          </cell>
          <cell r="CF1955" t="str">
            <v>32EU</v>
          </cell>
          <cell r="CG1955" t="str">
            <v>32EU</v>
          </cell>
        </row>
        <row r="1956">
          <cell r="O1956">
            <v>32</v>
          </cell>
          <cell r="AN1956">
            <v>0.30443199884315847</v>
          </cell>
          <cell r="AO1956">
            <v>0</v>
          </cell>
          <cell r="AP1956">
            <v>0</v>
          </cell>
          <cell r="AZ1956">
            <v>0</v>
          </cell>
          <cell r="BT1956">
            <v>0.30443199884315847</v>
          </cell>
          <cell r="BX1956">
            <v>0</v>
          </cell>
          <cell r="CB1956">
            <v>0</v>
          </cell>
          <cell r="CE1956" t="str">
            <v>32EU</v>
          </cell>
          <cell r="CF1956" t="str">
            <v>32EU</v>
          </cell>
          <cell r="CG1956" t="str">
            <v>32EU</v>
          </cell>
        </row>
        <row r="1957">
          <cell r="O1957">
            <v>32</v>
          </cell>
          <cell r="AN1957">
            <v>0.11467079956425098</v>
          </cell>
          <cell r="AO1957">
            <v>0</v>
          </cell>
          <cell r="AP1957">
            <v>0</v>
          </cell>
          <cell r="AZ1957">
            <v>0</v>
          </cell>
          <cell r="BT1957">
            <v>0.11467079956425098</v>
          </cell>
          <cell r="BX1957">
            <v>0</v>
          </cell>
          <cell r="CB1957">
            <v>0</v>
          </cell>
          <cell r="CE1957" t="str">
            <v>32EU</v>
          </cell>
          <cell r="CF1957" t="str">
            <v>32EU</v>
          </cell>
          <cell r="CG1957" t="str">
            <v>32EU</v>
          </cell>
        </row>
        <row r="1958">
          <cell r="O1958">
            <v>32</v>
          </cell>
          <cell r="AN1958">
            <v>9.6799199632163047E-2</v>
          </cell>
          <cell r="AO1958">
            <v>0</v>
          </cell>
          <cell r="AP1958">
            <v>0</v>
          </cell>
          <cell r="AZ1958">
            <v>0</v>
          </cell>
          <cell r="BT1958">
            <v>9.6799199632163047E-2</v>
          </cell>
          <cell r="BX1958">
            <v>0</v>
          </cell>
          <cell r="CB1958">
            <v>0</v>
          </cell>
          <cell r="CE1958" t="str">
            <v>32EU</v>
          </cell>
          <cell r="CF1958" t="str">
            <v>32EU</v>
          </cell>
          <cell r="CG1958" t="str">
            <v>32EU</v>
          </cell>
        </row>
        <row r="1959">
          <cell r="O1959">
            <v>34</v>
          </cell>
          <cell r="AN1959">
            <v>0</v>
          </cell>
          <cell r="AO1959">
            <v>0</v>
          </cell>
          <cell r="AP1959">
            <v>0</v>
          </cell>
          <cell r="AZ1959">
            <v>0</v>
          </cell>
          <cell r="BT1959">
            <v>0</v>
          </cell>
          <cell r="BX1959">
            <v>0</v>
          </cell>
          <cell r="CB1959">
            <v>0</v>
          </cell>
          <cell r="CE1959" t="str">
            <v>34EU</v>
          </cell>
          <cell r="CF1959" t="str">
            <v>34EU</v>
          </cell>
          <cell r="CG1959" t="str">
            <v>34EU</v>
          </cell>
        </row>
        <row r="1960">
          <cell r="O1960">
            <v>34</v>
          </cell>
          <cell r="AN1960">
            <v>0</v>
          </cell>
          <cell r="AO1960">
            <v>0</v>
          </cell>
          <cell r="AP1960">
            <v>0</v>
          </cell>
          <cell r="AZ1960">
            <v>0</v>
          </cell>
          <cell r="BT1960">
            <v>0</v>
          </cell>
          <cell r="BX1960">
            <v>0</v>
          </cell>
          <cell r="CB1960">
            <v>0</v>
          </cell>
          <cell r="CE1960" t="str">
            <v>34EU</v>
          </cell>
          <cell r="CF1960" t="str">
            <v>34EU</v>
          </cell>
          <cell r="CG1960" t="str">
            <v>34EU</v>
          </cell>
        </row>
        <row r="1961">
          <cell r="O1961">
            <v>34</v>
          </cell>
          <cell r="AN1961">
            <v>0</v>
          </cell>
          <cell r="AO1961">
            <v>0</v>
          </cell>
          <cell r="AP1961">
            <v>0</v>
          </cell>
          <cell r="AZ1961">
            <v>0</v>
          </cell>
          <cell r="BT1961">
            <v>0</v>
          </cell>
          <cell r="BX1961">
            <v>0</v>
          </cell>
          <cell r="CB1961">
            <v>0</v>
          </cell>
          <cell r="CE1961" t="str">
            <v>34EU</v>
          </cell>
          <cell r="CF1961" t="str">
            <v>34EU</v>
          </cell>
          <cell r="CG1961" t="str">
            <v>34EU</v>
          </cell>
        </row>
        <row r="1962">
          <cell r="O1962">
            <v>34</v>
          </cell>
          <cell r="AN1962">
            <v>0</v>
          </cell>
          <cell r="AO1962">
            <v>0</v>
          </cell>
          <cell r="AP1962">
            <v>69.339737727775386</v>
          </cell>
          <cell r="AZ1962">
            <v>0</v>
          </cell>
          <cell r="BT1962">
            <v>0</v>
          </cell>
          <cell r="BX1962">
            <v>0</v>
          </cell>
          <cell r="CB1962">
            <v>58.810066923361312</v>
          </cell>
          <cell r="CE1962" t="str">
            <v>34EU</v>
          </cell>
          <cell r="CF1962" t="str">
            <v>34EU</v>
          </cell>
          <cell r="CG1962" t="str">
            <v>34LOCAL</v>
          </cell>
        </row>
        <row r="1963">
          <cell r="O1963">
            <v>34</v>
          </cell>
          <cell r="AN1963">
            <v>0</v>
          </cell>
          <cell r="AO1963">
            <v>0</v>
          </cell>
          <cell r="AP1963">
            <v>6.6932750837358617</v>
          </cell>
          <cell r="AZ1963">
            <v>0</v>
          </cell>
          <cell r="BT1963">
            <v>0</v>
          </cell>
          <cell r="BX1963">
            <v>0</v>
          </cell>
          <cell r="CB1963">
            <v>36.693417568073961</v>
          </cell>
          <cell r="CE1963" t="str">
            <v>34EU</v>
          </cell>
          <cell r="CF1963" t="str">
            <v>34EU</v>
          </cell>
          <cell r="CG1963" t="str">
            <v>34LOCAL</v>
          </cell>
        </row>
        <row r="1964">
          <cell r="O1964">
            <v>34</v>
          </cell>
          <cell r="AN1964">
            <v>76.033012811511242</v>
          </cell>
          <cell r="AO1964">
            <v>0</v>
          </cell>
          <cell r="AP1964">
            <v>0</v>
          </cell>
          <cell r="AZ1964">
            <v>0</v>
          </cell>
          <cell r="BT1964">
            <v>99.361600762267756</v>
          </cell>
          <cell r="BX1964">
            <v>0</v>
          </cell>
          <cell r="CB1964">
            <v>0</v>
          </cell>
          <cell r="CE1964" t="str">
            <v>34LOCAL</v>
          </cell>
          <cell r="CF1964" t="str">
            <v>34EU</v>
          </cell>
          <cell r="CG1964" t="str">
            <v>34EU</v>
          </cell>
        </row>
        <row r="1965">
          <cell r="O1965">
            <v>34</v>
          </cell>
          <cell r="AN1965">
            <v>0</v>
          </cell>
          <cell r="AO1965">
            <v>76.033012811511242</v>
          </cell>
          <cell r="AP1965">
            <v>0</v>
          </cell>
          <cell r="AZ1965">
            <v>82.13</v>
          </cell>
          <cell r="BT1965">
            <v>0</v>
          </cell>
          <cell r="BX1965">
            <v>170.00910611804071</v>
          </cell>
          <cell r="CB1965">
            <v>0</v>
          </cell>
          <cell r="CE1965" t="str">
            <v>34EU</v>
          </cell>
          <cell r="CF1965" t="str">
            <v>34LOCAL</v>
          </cell>
          <cell r="CG1965" t="str">
            <v>34EU</v>
          </cell>
        </row>
        <row r="1966">
          <cell r="O1966">
            <v>34</v>
          </cell>
          <cell r="AN1966">
            <v>0</v>
          </cell>
          <cell r="AO1966">
            <v>0</v>
          </cell>
          <cell r="AP1966">
            <v>0</v>
          </cell>
          <cell r="AZ1966">
            <v>0</v>
          </cell>
          <cell r="BT1966">
            <v>0</v>
          </cell>
          <cell r="BX1966">
            <v>-28.800745431058218</v>
          </cell>
          <cell r="CB1966">
            <v>0</v>
          </cell>
          <cell r="CE1966" t="str">
            <v>34EU</v>
          </cell>
          <cell r="CF1966" t="str">
            <v>34LOCAL</v>
          </cell>
          <cell r="CG1966" t="str">
            <v>34EU</v>
          </cell>
        </row>
        <row r="1967">
          <cell r="O1967">
            <v>34</v>
          </cell>
          <cell r="AN1967">
            <v>0</v>
          </cell>
          <cell r="AO1967">
            <v>0</v>
          </cell>
          <cell r="AP1967">
            <v>0</v>
          </cell>
          <cell r="AZ1967">
            <v>0</v>
          </cell>
          <cell r="BT1967">
            <v>0</v>
          </cell>
          <cell r="BX1967">
            <v>0</v>
          </cell>
          <cell r="CB1967">
            <v>11.762013384672263</v>
          </cell>
          <cell r="CE1967" t="str">
            <v>34EU</v>
          </cell>
          <cell r="CF1967" t="str">
            <v>34EU</v>
          </cell>
          <cell r="CG1967" t="str">
            <v>34LOCAL</v>
          </cell>
        </row>
        <row r="1968">
          <cell r="O1968">
            <v>34</v>
          </cell>
          <cell r="AN1968">
            <v>-2</v>
          </cell>
          <cell r="AO1968">
            <v>-2</v>
          </cell>
          <cell r="AP1968">
            <v>-2</v>
          </cell>
          <cell r="AZ1968">
            <v>-2</v>
          </cell>
          <cell r="BT1968">
            <v>-2</v>
          </cell>
          <cell r="BX1968">
            <v>-2</v>
          </cell>
          <cell r="CB1968">
            <v>-2</v>
          </cell>
          <cell r="CE1968" t="str">
            <v>34LOCAL</v>
          </cell>
          <cell r="CF1968" t="str">
            <v>34LOCAL</v>
          </cell>
          <cell r="CG1968" t="str">
            <v>34LOCAL</v>
          </cell>
        </row>
        <row r="1969">
          <cell r="O1969">
            <v>35</v>
          </cell>
          <cell r="AN1969">
            <v>0</v>
          </cell>
          <cell r="AO1969">
            <v>0</v>
          </cell>
          <cell r="AP1969">
            <v>0</v>
          </cell>
          <cell r="AZ1969">
            <v>0</v>
          </cell>
          <cell r="BT1969">
            <v>0</v>
          </cell>
          <cell r="BX1969">
            <v>0</v>
          </cell>
          <cell r="CB1969">
            <v>0</v>
          </cell>
          <cell r="CE1969" t="str">
            <v>35EU</v>
          </cell>
          <cell r="CF1969" t="str">
            <v>35EU</v>
          </cell>
          <cell r="CG1969" t="str">
            <v>35EU</v>
          </cell>
        </row>
        <row r="1970">
          <cell r="O1970">
            <v>36</v>
          </cell>
          <cell r="AN1970">
            <v>0</v>
          </cell>
          <cell r="AO1970">
            <v>0</v>
          </cell>
          <cell r="AP1970">
            <v>0</v>
          </cell>
          <cell r="AZ1970">
            <v>0</v>
          </cell>
          <cell r="BT1970">
            <v>0</v>
          </cell>
          <cell r="BX1970">
            <v>0</v>
          </cell>
          <cell r="CB1970">
            <v>0</v>
          </cell>
          <cell r="CE1970" t="str">
            <v>36EU</v>
          </cell>
          <cell r="CF1970" t="str">
            <v>36EU</v>
          </cell>
          <cell r="CG1970" t="str">
            <v>36EU</v>
          </cell>
        </row>
        <row r="1971">
          <cell r="O1971">
            <v>37</v>
          </cell>
          <cell r="AN1971">
            <v>0</v>
          </cell>
          <cell r="AO1971">
            <v>0</v>
          </cell>
          <cell r="AP1971">
            <v>0</v>
          </cell>
          <cell r="AZ1971">
            <v>0</v>
          </cell>
          <cell r="BT1971">
            <v>0</v>
          </cell>
          <cell r="BX1971">
            <v>0</v>
          </cell>
          <cell r="CB1971">
            <v>0</v>
          </cell>
          <cell r="CE1971" t="str">
            <v>37EU</v>
          </cell>
          <cell r="CF1971" t="str">
            <v>37EU</v>
          </cell>
          <cell r="CG1971" t="str">
            <v>37EU</v>
          </cell>
        </row>
        <row r="1972">
          <cell r="O1972">
            <v>38</v>
          </cell>
          <cell r="AN1972">
            <v>212.14812146457953</v>
          </cell>
          <cell r="AO1972">
            <v>212.14812146457953</v>
          </cell>
          <cell r="AP1972">
            <v>212.14812146457953</v>
          </cell>
          <cell r="AZ1972">
            <v>229.16000000000003</v>
          </cell>
          <cell r="BT1972">
            <v>212.14812146457953</v>
          </cell>
          <cell r="BX1972">
            <v>212.14812146457953</v>
          </cell>
          <cell r="CB1972">
            <v>212.14812146457953</v>
          </cell>
          <cell r="CE1972" t="str">
            <v>38EU</v>
          </cell>
          <cell r="CF1972" t="str">
            <v>38EU</v>
          </cell>
          <cell r="CG1972" t="str">
            <v>38EU</v>
          </cell>
        </row>
        <row r="1973">
          <cell r="O1973">
            <v>39</v>
          </cell>
          <cell r="AN1973">
            <v>19.468820886717175</v>
          </cell>
          <cell r="AO1973">
            <v>19.468820886717175</v>
          </cell>
          <cell r="AP1973">
            <v>19.468820886717175</v>
          </cell>
          <cell r="AZ1973">
            <v>21.03</v>
          </cell>
          <cell r="BT1973">
            <v>19.468820886717175</v>
          </cell>
          <cell r="BX1973">
            <v>19.468820886717175</v>
          </cell>
          <cell r="CB1973">
            <v>19.468820886717175</v>
          </cell>
          <cell r="CE1973" t="str">
            <v>39EU</v>
          </cell>
          <cell r="CF1973" t="str">
            <v>39EU</v>
          </cell>
          <cell r="CG1973" t="str">
            <v>39EU</v>
          </cell>
        </row>
        <row r="1974">
          <cell r="O1974">
            <v>40</v>
          </cell>
          <cell r="AN1974">
            <v>0</v>
          </cell>
          <cell r="AO1974">
            <v>0</v>
          </cell>
          <cell r="AP1974">
            <v>0</v>
          </cell>
          <cell r="AZ1974">
            <v>0</v>
          </cell>
          <cell r="BT1974">
            <v>0</v>
          </cell>
          <cell r="BX1974">
            <v>0</v>
          </cell>
          <cell r="CB1974">
            <v>0</v>
          </cell>
          <cell r="CE1974" t="str">
            <v>40EU</v>
          </cell>
          <cell r="CF1974" t="str">
            <v>40EU</v>
          </cell>
          <cell r="CG1974" t="str">
            <v>40EU</v>
          </cell>
        </row>
        <row r="1975">
          <cell r="O1975">
            <v>41</v>
          </cell>
          <cell r="AN1975">
            <v>23.144104715545854</v>
          </cell>
          <cell r="AO1975">
            <v>23.144104715545854</v>
          </cell>
          <cell r="AP1975">
            <v>23.144104715545854</v>
          </cell>
          <cell r="AZ1975">
            <v>25</v>
          </cell>
          <cell r="BT1975">
            <v>23.144104715545854</v>
          </cell>
          <cell r="BX1975">
            <v>23.144104715545854</v>
          </cell>
          <cell r="CB1975">
            <v>23.144104715545854</v>
          </cell>
          <cell r="CE1975" t="str">
            <v>41EU</v>
          </cell>
          <cell r="CF1975" t="str">
            <v>41EU</v>
          </cell>
          <cell r="CG1975" t="str">
            <v>41EU</v>
          </cell>
        </row>
        <row r="1976">
          <cell r="O1976">
            <v>1</v>
          </cell>
        </row>
        <row r="1977">
          <cell r="O1977">
            <v>1</v>
          </cell>
          <cell r="BT1977">
            <v>135.38991517328344</v>
          </cell>
          <cell r="BX1977">
            <v>135.20704580646782</v>
          </cell>
          <cell r="CB1977">
            <v>135.20704580646782</v>
          </cell>
          <cell r="CE1977" t="str">
            <v>LOCAL</v>
          </cell>
        </row>
        <row r="1978">
          <cell r="O1978">
            <v>1</v>
          </cell>
          <cell r="BT1978">
            <v>12.8</v>
          </cell>
          <cell r="BX1978">
            <v>12.8</v>
          </cell>
          <cell r="CB1978">
            <v>12.8</v>
          </cell>
          <cell r="CE1978" t="str">
            <v>EU</v>
          </cell>
        </row>
        <row r="1979">
          <cell r="O1979">
            <v>1</v>
          </cell>
          <cell r="BT1979">
            <v>148.18991517328345</v>
          </cell>
          <cell r="BX1979">
            <v>148.00704580646783</v>
          </cell>
          <cell r="CB1979">
            <v>148.00704580646783</v>
          </cell>
        </row>
        <row r="1980">
          <cell r="O1980">
            <v>1</v>
          </cell>
        </row>
        <row r="1981">
          <cell r="O1981">
            <v>1</v>
          </cell>
          <cell r="BT1981">
            <v>99.551826828531716</v>
          </cell>
          <cell r="BX1981">
            <v>29.647372945696979</v>
          </cell>
          <cell r="CB1981">
            <v>29.647372945696979</v>
          </cell>
          <cell r="CE1981" t="str">
            <v>EUCostofLOCAL</v>
          </cell>
        </row>
        <row r="1982">
          <cell r="O1982">
            <v>1</v>
          </cell>
          <cell r="BT1982">
            <v>-35.838088344751725</v>
          </cell>
          <cell r="BX1982">
            <v>-105.55967286077083</v>
          </cell>
          <cell r="CB1982">
            <v>-105.55967286077083</v>
          </cell>
        </row>
        <row r="1983">
          <cell r="O1983">
            <v>2</v>
          </cell>
        </row>
        <row r="1984">
          <cell r="O1984">
            <v>2</v>
          </cell>
          <cell r="BT1984">
            <v>50.214332148491025</v>
          </cell>
          <cell r="BX1984">
            <v>50.214332148491025</v>
          </cell>
          <cell r="CB1984">
            <v>50.214332148491025</v>
          </cell>
          <cell r="CE1984" t="str">
            <v>LOCAL</v>
          </cell>
        </row>
        <row r="1985">
          <cell r="O1985">
            <v>2</v>
          </cell>
          <cell r="BT1985">
            <v>0</v>
          </cell>
          <cell r="BX1985">
            <v>0</v>
          </cell>
          <cell r="CB1985">
            <v>0</v>
          </cell>
          <cell r="CE1985" t="str">
            <v>EU</v>
          </cell>
        </row>
        <row r="1986">
          <cell r="O1986">
            <v>2</v>
          </cell>
          <cell r="BT1986">
            <v>50.214332148491025</v>
          </cell>
          <cell r="BX1986">
            <v>50.214332148491025</v>
          </cell>
          <cell r="CB1986">
            <v>50.214332148491025</v>
          </cell>
        </row>
        <row r="1987">
          <cell r="O1987">
            <v>2</v>
          </cell>
        </row>
        <row r="1988">
          <cell r="O1988">
            <v>2</v>
          </cell>
          <cell r="BT1988">
            <v>45.135633016257522</v>
          </cell>
          <cell r="BX1988">
            <v>45.135633016257522</v>
          </cell>
          <cell r="CB1988">
            <v>45.135633016257522</v>
          </cell>
          <cell r="CE1988" t="str">
            <v>EUCostofLOCAL</v>
          </cell>
        </row>
        <row r="1989">
          <cell r="O1989">
            <v>2</v>
          </cell>
          <cell r="BT1989">
            <v>-5.0786991322335027</v>
          </cell>
          <cell r="BX1989">
            <v>-5.0786991322335027</v>
          </cell>
          <cell r="CB1989">
            <v>-5.0786991322335027</v>
          </cell>
        </row>
        <row r="1990">
          <cell r="O1990">
            <v>3</v>
          </cell>
        </row>
        <row r="1991">
          <cell r="O1991">
            <v>3</v>
          </cell>
          <cell r="BT1991">
            <v>75.963072869265844</v>
          </cell>
          <cell r="BX1991">
            <v>73.028048865161324</v>
          </cell>
          <cell r="CB1991">
            <v>75.963072869265844</v>
          </cell>
          <cell r="CE1991" t="str">
            <v>LOCAL</v>
          </cell>
        </row>
        <row r="1992">
          <cell r="O1992">
            <v>3</v>
          </cell>
          <cell r="BT1992">
            <v>0</v>
          </cell>
          <cell r="BX1992">
            <v>0</v>
          </cell>
          <cell r="CB1992">
            <v>0</v>
          </cell>
          <cell r="CE1992" t="str">
            <v>EU</v>
          </cell>
        </row>
        <row r="1993">
          <cell r="O1993">
            <v>3</v>
          </cell>
          <cell r="BT1993">
            <v>75.963072869265844</v>
          </cell>
          <cell r="BX1993">
            <v>73.028048865161324</v>
          </cell>
          <cell r="CB1993">
            <v>75.963072869265844</v>
          </cell>
        </row>
        <row r="1994">
          <cell r="O1994">
            <v>3</v>
          </cell>
        </row>
        <row r="1995">
          <cell r="O1995">
            <v>3</v>
          </cell>
          <cell r="BT1995">
            <v>53.885653170590935</v>
          </cell>
          <cell r="BX1995">
            <v>35.148185992885033</v>
          </cell>
          <cell r="CB1995">
            <v>53.885653170590935</v>
          </cell>
          <cell r="CE1995" t="str">
            <v>EUCostofLOCAL</v>
          </cell>
        </row>
        <row r="1996">
          <cell r="O1996">
            <v>3</v>
          </cell>
          <cell r="BT1996">
            <v>-22.077419698674909</v>
          </cell>
          <cell r="BX1996">
            <v>-37.879862872276291</v>
          </cell>
          <cell r="CB1996">
            <v>-22.077419698674909</v>
          </cell>
        </row>
        <row r="1997">
          <cell r="O1997">
            <v>4</v>
          </cell>
        </row>
        <row r="1998">
          <cell r="O1998">
            <v>4</v>
          </cell>
          <cell r="BT1998">
            <v>15.049530175327501</v>
          </cell>
          <cell r="BX1998">
            <v>12.589289590018467</v>
          </cell>
          <cell r="CB1998">
            <v>15.049530175327501</v>
          </cell>
          <cell r="CE1998" t="str">
            <v>LOCAL</v>
          </cell>
        </row>
        <row r="1999">
          <cell r="O1999">
            <v>4</v>
          </cell>
          <cell r="BT1999">
            <v>15.666315667086831</v>
          </cell>
          <cell r="BX1999">
            <v>8.7636487979874662</v>
          </cell>
          <cell r="CB1999">
            <v>15.386446650135147</v>
          </cell>
          <cell r="CE1999" t="str">
            <v>EU</v>
          </cell>
        </row>
        <row r="2000">
          <cell r="O2000">
            <v>4</v>
          </cell>
          <cell r="BT2000">
            <v>30.715845842414332</v>
          </cell>
          <cell r="BX2000">
            <v>21.352938388005931</v>
          </cell>
          <cell r="CB2000">
            <v>30.435976825462646</v>
          </cell>
        </row>
        <row r="2001">
          <cell r="O2001">
            <v>4</v>
          </cell>
        </row>
        <row r="2002">
          <cell r="O2002">
            <v>4</v>
          </cell>
          <cell r="BT2002">
            <v>17.195262215753132</v>
          </cell>
          <cell r="BX2002">
            <v>15.951225223719089</v>
          </cell>
          <cell r="CB2002">
            <v>17.195262215753132</v>
          </cell>
          <cell r="CE2002" t="str">
            <v>EUCostofLOCAL</v>
          </cell>
        </row>
        <row r="2003">
          <cell r="O2003">
            <v>4</v>
          </cell>
          <cell r="BT2003">
            <v>2.1457320404256315</v>
          </cell>
          <cell r="BX2003">
            <v>3.3619356337006217</v>
          </cell>
          <cell r="CB2003">
            <v>2.1457320404256315</v>
          </cell>
        </row>
        <row r="2004">
          <cell r="O2004">
            <v>5</v>
          </cell>
        </row>
        <row r="2005">
          <cell r="O2005">
            <v>5</v>
          </cell>
          <cell r="BT2005">
            <v>137.93002849461419</v>
          </cell>
          <cell r="BX2005">
            <v>182.99829736506555</v>
          </cell>
          <cell r="CB2005">
            <v>260.32156411036698</v>
          </cell>
          <cell r="CE2005" t="str">
            <v>LOCAL</v>
          </cell>
        </row>
        <row r="2006">
          <cell r="O2006">
            <v>5</v>
          </cell>
          <cell r="BT2006">
            <v>8.7554784988111027</v>
          </cell>
          <cell r="BX2006">
            <v>8.7554784988111027</v>
          </cell>
          <cell r="CB2006">
            <v>1.191985077770719</v>
          </cell>
          <cell r="CE2006" t="str">
            <v>EU</v>
          </cell>
        </row>
        <row r="2007">
          <cell r="O2007">
            <v>5</v>
          </cell>
          <cell r="BT2007">
            <v>146.68550699342529</v>
          </cell>
          <cell r="BX2007">
            <v>191.75377586387665</v>
          </cell>
          <cell r="CB2007">
            <v>261.51354918813769</v>
          </cell>
        </row>
        <row r="2008">
          <cell r="O2008">
            <v>5</v>
          </cell>
        </row>
        <row r="2009">
          <cell r="O2009">
            <v>5</v>
          </cell>
          <cell r="BT2009">
            <v>131.09746675073794</v>
          </cell>
          <cell r="BX2009">
            <v>164.37868933169287</v>
          </cell>
          <cell r="CB2009">
            <v>224.14602534911853</v>
          </cell>
          <cell r="CE2009" t="str">
            <v>EUCostofLOCAL</v>
          </cell>
        </row>
        <row r="2010">
          <cell r="O2010">
            <v>5</v>
          </cell>
          <cell r="BT2010">
            <v>-6.8325617438762549</v>
          </cell>
          <cell r="BX2010">
            <v>-18.619608033372685</v>
          </cell>
          <cell r="CB2010">
            <v>-36.175538761248447</v>
          </cell>
        </row>
        <row r="2011">
          <cell r="O2011">
            <v>6</v>
          </cell>
        </row>
        <row r="2012">
          <cell r="O2012">
            <v>6</v>
          </cell>
          <cell r="BT2012">
            <v>91.346710260715511</v>
          </cell>
          <cell r="BX2012">
            <v>129.91260255439843</v>
          </cell>
          <cell r="CB2012">
            <v>54.594872668835919</v>
          </cell>
          <cell r="CE2012" t="str">
            <v>LOCAL</v>
          </cell>
        </row>
        <row r="2013">
          <cell r="O2013">
            <v>6</v>
          </cell>
          <cell r="BT2013">
            <v>152.95879947644056</v>
          </cell>
          <cell r="BX2013">
            <v>141.42879947644056</v>
          </cell>
          <cell r="CB2013">
            <v>137.77879947644058</v>
          </cell>
          <cell r="CE2013" t="str">
            <v>EU</v>
          </cell>
        </row>
        <row r="2014">
          <cell r="O2014">
            <v>6</v>
          </cell>
          <cell r="BT2014">
            <v>244.30550973715606</v>
          </cell>
          <cell r="BX2014">
            <v>271.34140203083899</v>
          </cell>
          <cell r="CB2014">
            <v>192.37367214527649</v>
          </cell>
        </row>
        <row r="2015">
          <cell r="O2015">
            <v>6</v>
          </cell>
        </row>
        <row r="2016">
          <cell r="O2016">
            <v>6</v>
          </cell>
          <cell r="BT2016">
            <v>105.85456797173934</v>
          </cell>
          <cell r="BX2016">
            <v>145.43496782133386</v>
          </cell>
          <cell r="CB2016">
            <v>69.102730379859764</v>
          </cell>
          <cell r="CE2016" t="str">
            <v>EUCostofLOCAL</v>
          </cell>
        </row>
        <row r="2017">
          <cell r="O2017">
            <v>6</v>
          </cell>
          <cell r="BT2017">
            <v>14.507857711023831</v>
          </cell>
          <cell r="BX2017">
            <v>15.522365266935424</v>
          </cell>
          <cell r="CB2017">
            <v>14.507857711023846</v>
          </cell>
        </row>
        <row r="2018">
          <cell r="O2018">
            <v>7</v>
          </cell>
        </row>
        <row r="2019">
          <cell r="O2019">
            <v>7</v>
          </cell>
          <cell r="BT2019">
            <v>768.54692710814686</v>
          </cell>
          <cell r="BX2019">
            <v>402.31732491899794</v>
          </cell>
          <cell r="CB2019">
            <v>462.57014881079635</v>
          </cell>
          <cell r="CE2019" t="str">
            <v>LOCAL</v>
          </cell>
        </row>
        <row r="2020">
          <cell r="O2020">
            <v>7</v>
          </cell>
          <cell r="BT2020">
            <v>12.544104755825852</v>
          </cell>
          <cell r="BX2020">
            <v>12.544104755825852</v>
          </cell>
          <cell r="CB2020">
            <v>19.116104730852253</v>
          </cell>
          <cell r="CE2020" t="str">
            <v>EU</v>
          </cell>
        </row>
        <row r="2021">
          <cell r="O2021">
            <v>7</v>
          </cell>
          <cell r="BT2021">
            <v>781.09103186397272</v>
          </cell>
          <cell r="BX2021">
            <v>414.8614296748238</v>
          </cell>
          <cell r="CB2021">
            <v>481.68625354164863</v>
          </cell>
        </row>
        <row r="2022">
          <cell r="O2022">
            <v>7</v>
          </cell>
        </row>
        <row r="2023">
          <cell r="O2023">
            <v>7</v>
          </cell>
          <cell r="BT2023">
            <v>1045.7462527206358</v>
          </cell>
          <cell r="BX2023">
            <v>375.74625272063588</v>
          </cell>
          <cell r="CB2023">
            <v>350.38045281702591</v>
          </cell>
          <cell r="CE2023" t="str">
            <v>EUCostofLOCAL</v>
          </cell>
        </row>
        <row r="2024">
          <cell r="O2024">
            <v>7</v>
          </cell>
          <cell r="BT2024">
            <v>277.19932561248891</v>
          </cell>
          <cell r="BX2024">
            <v>-26.57107219836206</v>
          </cell>
          <cell r="CB2024">
            <v>-112.18969599377044</v>
          </cell>
        </row>
        <row r="2025">
          <cell r="O2025">
            <v>8</v>
          </cell>
        </row>
        <row r="2026">
          <cell r="O2026">
            <v>8</v>
          </cell>
          <cell r="BT2026">
            <v>22.302399915250881</v>
          </cell>
          <cell r="BX2026">
            <v>22.302399915250881</v>
          </cell>
          <cell r="CB2026">
            <v>23.563799910457561</v>
          </cell>
          <cell r="CE2026" t="str">
            <v>LOCAL</v>
          </cell>
        </row>
        <row r="2027">
          <cell r="O2027">
            <v>8</v>
          </cell>
          <cell r="BT2027">
            <v>66.403487747666759</v>
          </cell>
          <cell r="BX2027">
            <v>71.446967728501519</v>
          </cell>
          <cell r="CB2027">
            <v>61.485087766356685</v>
          </cell>
          <cell r="CE2027" t="str">
            <v>EU</v>
          </cell>
        </row>
        <row r="2028">
          <cell r="O2028">
            <v>8</v>
          </cell>
          <cell r="BT2028">
            <v>88.705887662917632</v>
          </cell>
          <cell r="BX2028">
            <v>93.749367643752407</v>
          </cell>
          <cell r="CB2028">
            <v>85.048887676814246</v>
          </cell>
        </row>
        <row r="2029">
          <cell r="O2029">
            <v>8</v>
          </cell>
        </row>
        <row r="2030">
          <cell r="O2030">
            <v>8</v>
          </cell>
          <cell r="BT2030">
            <v>23.659199910095044</v>
          </cell>
          <cell r="BX2030">
            <v>24.030199908685244</v>
          </cell>
          <cell r="CB2030">
            <v>24.030199908685244</v>
          </cell>
          <cell r="CE2030" t="str">
            <v>EUCostofLOCAL</v>
          </cell>
        </row>
        <row r="2031">
          <cell r="O2031">
            <v>8</v>
          </cell>
          <cell r="BT2031">
            <v>1.3567999948441631</v>
          </cell>
          <cell r="BX2031">
            <v>1.7277999934343633</v>
          </cell>
          <cell r="CB2031">
            <v>0.46639999822768274</v>
          </cell>
        </row>
        <row r="2032">
          <cell r="O2032">
            <v>9</v>
          </cell>
        </row>
        <row r="2033">
          <cell r="O2033">
            <v>9</v>
          </cell>
          <cell r="BT2033">
            <v>195.10506834756481</v>
          </cell>
          <cell r="BX2033">
            <v>140.0808489618106</v>
          </cell>
          <cell r="CB2033">
            <v>181.84442896340468</v>
          </cell>
          <cell r="CE2033" t="str">
            <v>LOCAL</v>
          </cell>
        </row>
        <row r="2034">
          <cell r="O2034">
            <v>9</v>
          </cell>
          <cell r="BT2034">
            <v>18.595924370673515</v>
          </cell>
          <cell r="BX2034">
            <v>11.794752396517968</v>
          </cell>
          <cell r="CB2034">
            <v>5.4146124207625004</v>
          </cell>
          <cell r="CE2034" t="str">
            <v>EU</v>
          </cell>
        </row>
        <row r="2035">
          <cell r="O2035">
            <v>9</v>
          </cell>
          <cell r="BT2035">
            <v>213.70099271823833</v>
          </cell>
          <cell r="BX2035">
            <v>151.87560135832857</v>
          </cell>
          <cell r="CB2035">
            <v>187.25904138416718</v>
          </cell>
        </row>
        <row r="2036">
          <cell r="O2036">
            <v>9</v>
          </cell>
        </row>
        <row r="2037">
          <cell r="O2037">
            <v>9</v>
          </cell>
          <cell r="BT2037">
            <v>158.96173154441703</v>
          </cell>
          <cell r="BX2037">
            <v>140.32057346678187</v>
          </cell>
          <cell r="CB2037">
            <v>154.21314402534375</v>
          </cell>
          <cell r="CE2037" t="str">
            <v>EUCostofLOCAL</v>
          </cell>
        </row>
        <row r="2038">
          <cell r="O2038">
            <v>9</v>
          </cell>
          <cell r="BT2038">
            <v>-36.143336803147776</v>
          </cell>
          <cell r="BX2038">
            <v>0.23972450497126374</v>
          </cell>
          <cell r="CB2038">
            <v>-27.631284938060929</v>
          </cell>
        </row>
        <row r="2039">
          <cell r="O2039">
            <v>10</v>
          </cell>
        </row>
        <row r="2040">
          <cell r="O2040">
            <v>10</v>
          </cell>
          <cell r="BT2040">
            <v>233.8155822876852</v>
          </cell>
          <cell r="BX2040">
            <v>168.25441940584219</v>
          </cell>
          <cell r="CB2040">
            <v>172.55217259768406</v>
          </cell>
          <cell r="CE2040" t="str">
            <v>LOCAL</v>
          </cell>
        </row>
        <row r="2041">
          <cell r="O2041">
            <v>10</v>
          </cell>
          <cell r="BT2041">
            <v>146.76527281028009</v>
          </cell>
          <cell r="BX2041">
            <v>128.37312900593443</v>
          </cell>
          <cell r="CB2041">
            <v>149.74387279896141</v>
          </cell>
          <cell r="CE2041" t="str">
            <v>EU</v>
          </cell>
        </row>
        <row r="2042">
          <cell r="O2042">
            <v>10</v>
          </cell>
          <cell r="BT2042">
            <v>380.5808550979653</v>
          </cell>
          <cell r="BX2042">
            <v>296.62754841177662</v>
          </cell>
          <cell r="CB2042">
            <v>322.29604539664547</v>
          </cell>
        </row>
        <row r="2043">
          <cell r="O2043">
            <v>10</v>
          </cell>
        </row>
        <row r="2044">
          <cell r="O2044">
            <v>10</v>
          </cell>
          <cell r="BT2044">
            <v>240.88279910828129</v>
          </cell>
          <cell r="BX2044">
            <v>182.74179932921717</v>
          </cell>
          <cell r="CB2044">
            <v>175.20739933421191</v>
          </cell>
          <cell r="CE2044" t="str">
            <v>EUCostofLOCAL</v>
          </cell>
        </row>
        <row r="2045">
          <cell r="O2045">
            <v>10</v>
          </cell>
          <cell r="BT2045">
            <v>7.0672168205960872</v>
          </cell>
          <cell r="BX2045">
            <v>14.487379923374988</v>
          </cell>
          <cell r="CB2045">
            <v>2.655226736527851</v>
          </cell>
        </row>
        <row r="2046">
          <cell r="O2046">
            <v>12</v>
          </cell>
        </row>
        <row r="2047">
          <cell r="O2047">
            <v>12</v>
          </cell>
          <cell r="BT2047">
            <v>312.33121510900594</v>
          </cell>
          <cell r="BX2047">
            <v>299.08413183833136</v>
          </cell>
          <cell r="CB2047">
            <v>312.33121510900594</v>
          </cell>
          <cell r="CE2047" t="str">
            <v>LOCAL</v>
          </cell>
        </row>
        <row r="2048">
          <cell r="O2048">
            <v>12</v>
          </cell>
          <cell r="BT2048">
            <v>0</v>
          </cell>
          <cell r="BX2048">
            <v>0</v>
          </cell>
          <cell r="CB2048">
            <v>0</v>
          </cell>
          <cell r="CE2048" t="str">
            <v>EU</v>
          </cell>
        </row>
        <row r="2049">
          <cell r="O2049">
            <v>12</v>
          </cell>
          <cell r="BT2049">
            <v>312.33121510900594</v>
          </cell>
          <cell r="BX2049">
            <v>299.08413183833136</v>
          </cell>
          <cell r="CB2049">
            <v>312.33121510900594</v>
          </cell>
        </row>
        <row r="2050">
          <cell r="O2050">
            <v>12</v>
          </cell>
        </row>
        <row r="2051">
          <cell r="O2051">
            <v>12</v>
          </cell>
          <cell r="BT2051">
            <v>0</v>
          </cell>
          <cell r="BX2051">
            <v>0</v>
          </cell>
          <cell r="CB2051">
            <v>0</v>
          </cell>
          <cell r="CE2051" t="str">
            <v>EUCostofLOCAL</v>
          </cell>
        </row>
        <row r="2052">
          <cell r="O2052">
            <v>12</v>
          </cell>
          <cell r="BT2052">
            <v>-312.33121510900594</v>
          </cell>
          <cell r="BX2052">
            <v>-299.08413183833136</v>
          </cell>
          <cell r="CB2052">
            <v>-312.33121510900594</v>
          </cell>
        </row>
        <row r="2053">
          <cell r="O2053">
            <v>13</v>
          </cell>
        </row>
        <row r="2054">
          <cell r="O2054">
            <v>13</v>
          </cell>
          <cell r="BT2054">
            <v>200.61976619708375</v>
          </cell>
          <cell r="BX2054">
            <v>194.44440187818006</v>
          </cell>
          <cell r="CB2054">
            <v>153.76065121416153</v>
          </cell>
          <cell r="CE2054" t="str">
            <v>LOCAL</v>
          </cell>
        </row>
        <row r="2055">
          <cell r="O2055">
            <v>13</v>
          </cell>
          <cell r="BT2055">
            <v>393.76109815024671</v>
          </cell>
          <cell r="BX2055">
            <v>243.10096853703084</v>
          </cell>
          <cell r="CB2055">
            <v>304.39087049802464</v>
          </cell>
          <cell r="CE2055" t="str">
            <v>EU</v>
          </cell>
        </row>
        <row r="2056">
          <cell r="O2056">
            <v>13</v>
          </cell>
          <cell r="BT2056">
            <v>594.38086434733043</v>
          </cell>
          <cell r="BX2056">
            <v>437.54537041521087</v>
          </cell>
          <cell r="CB2056">
            <v>458.1515217121862</v>
          </cell>
        </row>
        <row r="2057">
          <cell r="O2057">
            <v>13</v>
          </cell>
        </row>
        <row r="2058">
          <cell r="O2058">
            <v>13</v>
          </cell>
          <cell r="BT2058">
            <v>251.53637895682553</v>
          </cell>
          <cell r="BX2058">
            <v>179.56237923032668</v>
          </cell>
          <cell r="CB2058">
            <v>172.75370764047915</v>
          </cell>
          <cell r="CE2058" t="str">
            <v>EUCostofLOCAL</v>
          </cell>
        </row>
        <row r="2059">
          <cell r="O2059">
            <v>13</v>
          </cell>
          <cell r="BT2059">
            <v>50.916612759741781</v>
          </cell>
          <cell r="BX2059">
            <v>-14.882022647853375</v>
          </cell>
          <cell r="CB2059">
            <v>18.993056426317622</v>
          </cell>
        </row>
        <row r="2060">
          <cell r="O2060">
            <v>14</v>
          </cell>
        </row>
        <row r="2061">
          <cell r="O2061">
            <v>14</v>
          </cell>
          <cell r="BT2061">
            <v>308.41846246868863</v>
          </cell>
          <cell r="BX2061">
            <v>291.43561831627721</v>
          </cell>
          <cell r="CB2061">
            <v>294.83618072666576</v>
          </cell>
          <cell r="CE2061" t="str">
            <v>LOCAL</v>
          </cell>
        </row>
        <row r="2062">
          <cell r="O2062">
            <v>14</v>
          </cell>
          <cell r="BT2062">
            <v>437.25643687424235</v>
          </cell>
          <cell r="BX2062">
            <v>442.81039492413993</v>
          </cell>
          <cell r="CB2062">
            <v>332.68971758294077</v>
          </cell>
          <cell r="CE2062" t="str">
            <v>EU</v>
          </cell>
        </row>
        <row r="2063">
          <cell r="O2063">
            <v>14</v>
          </cell>
          <cell r="BT2063">
            <v>745.67489934293098</v>
          </cell>
          <cell r="BX2063">
            <v>734.24601324041714</v>
          </cell>
          <cell r="CB2063">
            <v>627.52589830960653</v>
          </cell>
        </row>
        <row r="2064">
          <cell r="O2064">
            <v>14</v>
          </cell>
        </row>
        <row r="2065">
          <cell r="O2065">
            <v>14</v>
          </cell>
          <cell r="BT2065">
            <v>312.64621191238103</v>
          </cell>
          <cell r="BX2065">
            <v>284.12980503384387</v>
          </cell>
          <cell r="CB2065">
            <v>285.94430284354269</v>
          </cell>
          <cell r="CE2065" t="str">
            <v>EUCostofLOCAL</v>
          </cell>
        </row>
        <row r="2066">
          <cell r="O2066">
            <v>14</v>
          </cell>
          <cell r="BT2066">
            <v>4.227749443692403</v>
          </cell>
          <cell r="BX2066">
            <v>-7.3058132824333484</v>
          </cell>
          <cell r="CB2066">
            <v>-8.8918778831230725</v>
          </cell>
        </row>
        <row r="2067">
          <cell r="O2067">
            <v>15</v>
          </cell>
        </row>
        <row r="2068">
          <cell r="O2068">
            <v>15</v>
          </cell>
          <cell r="BT2068">
            <v>78.264628655468755</v>
          </cell>
          <cell r="BX2068">
            <v>92.653405630425326</v>
          </cell>
          <cell r="CB2068">
            <v>78.264628655468755</v>
          </cell>
          <cell r="CE2068" t="str">
            <v>LOCAL</v>
          </cell>
        </row>
        <row r="2069">
          <cell r="O2069">
            <v>15</v>
          </cell>
          <cell r="BT2069">
            <v>45.164827276682288</v>
          </cell>
          <cell r="BX2069">
            <v>40.029093324170333</v>
          </cell>
          <cell r="CB2069">
            <v>45.164827276682288</v>
          </cell>
          <cell r="CE2069" t="str">
            <v>EU</v>
          </cell>
        </row>
        <row r="2070">
          <cell r="O2070">
            <v>15</v>
          </cell>
          <cell r="BT2070">
            <v>123.42945593215104</v>
          </cell>
          <cell r="BX2070">
            <v>132.68249895459564</v>
          </cell>
          <cell r="CB2070">
            <v>123.42945593215104</v>
          </cell>
        </row>
        <row r="2071">
          <cell r="O2071">
            <v>15</v>
          </cell>
        </row>
        <row r="2072">
          <cell r="O2072">
            <v>15</v>
          </cell>
          <cell r="BT2072">
            <v>98.790360520246878</v>
          </cell>
          <cell r="BX2072">
            <v>131.24855904146847</v>
          </cell>
          <cell r="CB2072">
            <v>98.790360520246878</v>
          </cell>
          <cell r="CE2072" t="str">
            <v>EUCostofLOCAL</v>
          </cell>
        </row>
        <row r="2073">
          <cell r="O2073">
            <v>15</v>
          </cell>
          <cell r="BT2073">
            <v>20.525731864778123</v>
          </cell>
          <cell r="BX2073">
            <v>38.595153411043142</v>
          </cell>
          <cell r="CB2073">
            <v>20.525731864778123</v>
          </cell>
        </row>
        <row r="2074">
          <cell r="O2074">
            <v>16</v>
          </cell>
        </row>
        <row r="2075">
          <cell r="O2075">
            <v>16</v>
          </cell>
          <cell r="BT2075">
            <v>0</v>
          </cell>
          <cell r="BX2075">
            <v>0</v>
          </cell>
          <cell r="CB2075">
            <v>0</v>
          </cell>
          <cell r="CE2075" t="str">
            <v>LOCAL</v>
          </cell>
        </row>
        <row r="2076">
          <cell r="O2076">
            <v>16</v>
          </cell>
          <cell r="BT2076">
            <v>187.64946728693204</v>
          </cell>
          <cell r="BX2076">
            <v>187.64946728693204</v>
          </cell>
          <cell r="CB2076">
            <v>187.64946728693204</v>
          </cell>
          <cell r="CE2076" t="str">
            <v>EU</v>
          </cell>
        </row>
        <row r="2077">
          <cell r="O2077">
            <v>16</v>
          </cell>
          <cell r="BT2077">
            <v>187.64946728693204</v>
          </cell>
          <cell r="BX2077">
            <v>187.64946728693204</v>
          </cell>
          <cell r="CB2077">
            <v>187.64946728693204</v>
          </cell>
        </row>
        <row r="2078">
          <cell r="O2078">
            <v>16</v>
          </cell>
        </row>
        <row r="2079">
          <cell r="O2079">
            <v>16</v>
          </cell>
          <cell r="BT2079">
            <v>0</v>
          </cell>
          <cell r="BX2079">
            <v>0</v>
          </cell>
          <cell r="CB2079">
            <v>0</v>
          </cell>
          <cell r="CE2079" t="str">
            <v>EUCostofLOCAL</v>
          </cell>
        </row>
        <row r="2080">
          <cell r="O2080">
            <v>16</v>
          </cell>
          <cell r="BT2080">
            <v>0</v>
          </cell>
          <cell r="BX2080">
            <v>0</v>
          </cell>
          <cell r="CB2080">
            <v>0</v>
          </cell>
        </row>
        <row r="2081">
          <cell r="O2081">
            <v>17</v>
          </cell>
        </row>
        <row r="2082">
          <cell r="O2082">
            <v>17</v>
          </cell>
          <cell r="BT2082">
            <v>0</v>
          </cell>
          <cell r="BX2082">
            <v>0</v>
          </cell>
          <cell r="CB2082">
            <v>0</v>
          </cell>
          <cell r="CE2082" t="str">
            <v>LOCAL</v>
          </cell>
        </row>
        <row r="2083">
          <cell r="O2083">
            <v>17</v>
          </cell>
          <cell r="BT2083">
            <v>190.12700976476233</v>
          </cell>
          <cell r="BX2083">
            <v>190.12700976476233</v>
          </cell>
          <cell r="CB2083">
            <v>200.12700976476233</v>
          </cell>
          <cell r="CE2083" t="str">
            <v>EU</v>
          </cell>
        </row>
        <row r="2084">
          <cell r="O2084">
            <v>17</v>
          </cell>
          <cell r="BT2084">
            <v>190.12700976476233</v>
          </cell>
          <cell r="BX2084">
            <v>190.12700976476233</v>
          </cell>
          <cell r="CB2084">
            <v>200.12700976476233</v>
          </cell>
        </row>
        <row r="2085">
          <cell r="O2085">
            <v>17</v>
          </cell>
        </row>
        <row r="2086">
          <cell r="O2086">
            <v>17</v>
          </cell>
          <cell r="BT2086">
            <v>0</v>
          </cell>
          <cell r="BX2086">
            <v>0</v>
          </cell>
          <cell r="CB2086">
            <v>0</v>
          </cell>
          <cell r="CE2086" t="str">
            <v>EUCostofLOCAL</v>
          </cell>
        </row>
        <row r="2087">
          <cell r="O2087">
            <v>17</v>
          </cell>
          <cell r="BT2087">
            <v>0</v>
          </cell>
          <cell r="BX2087">
            <v>0</v>
          </cell>
          <cell r="CB2087">
            <v>0</v>
          </cell>
        </row>
        <row r="2088">
          <cell r="O2088">
            <v>18</v>
          </cell>
        </row>
        <row r="2089">
          <cell r="O2089">
            <v>18</v>
          </cell>
          <cell r="BT2089">
            <v>89.359417676380005</v>
          </cell>
          <cell r="BX2089">
            <v>82.412560767971371</v>
          </cell>
          <cell r="CB2089">
            <v>102.54640749058774</v>
          </cell>
          <cell r="CE2089" t="str">
            <v>LOCAL</v>
          </cell>
        </row>
        <row r="2090">
          <cell r="O2090">
            <v>18</v>
          </cell>
          <cell r="BT2090">
            <v>223.71906588979232</v>
          </cell>
          <cell r="BX2090">
            <v>131.63762389762346</v>
          </cell>
          <cell r="CB2090">
            <v>135.96434096488017</v>
          </cell>
          <cell r="CE2090" t="str">
            <v>EU</v>
          </cell>
        </row>
        <row r="2091">
          <cell r="O2091">
            <v>18</v>
          </cell>
          <cell r="BT2091">
            <v>313.07848356617234</v>
          </cell>
          <cell r="BX2091">
            <v>214.05018466559483</v>
          </cell>
          <cell r="CB2091">
            <v>238.5107484554679</v>
          </cell>
        </row>
        <row r="2092">
          <cell r="O2092">
            <v>18</v>
          </cell>
        </row>
        <row r="2093">
          <cell r="O2093">
            <v>18</v>
          </cell>
          <cell r="BT2093">
            <v>96.114652560528512</v>
          </cell>
          <cell r="BX2093">
            <v>76.376850888807269</v>
          </cell>
          <cell r="CB2093">
            <v>96.114652560528512</v>
          </cell>
          <cell r="CE2093" t="str">
            <v>EUCostofLOCAL</v>
          </cell>
        </row>
        <row r="2094">
          <cell r="O2094">
            <v>18</v>
          </cell>
          <cell r="BT2094">
            <v>6.755234884148507</v>
          </cell>
          <cell r="BX2094">
            <v>-6.0357098791641022</v>
          </cell>
          <cell r="CB2094">
            <v>-6.4317549300592276</v>
          </cell>
        </row>
        <row r="2095">
          <cell r="O2095">
            <v>19</v>
          </cell>
        </row>
        <row r="2096">
          <cell r="O2096">
            <v>19</v>
          </cell>
          <cell r="BT2096">
            <v>0</v>
          </cell>
          <cell r="BX2096">
            <v>0</v>
          </cell>
          <cell r="CB2096">
            <v>0</v>
          </cell>
          <cell r="CE2096" t="str">
            <v>LOCAL</v>
          </cell>
        </row>
        <row r="2097">
          <cell r="O2097">
            <v>19</v>
          </cell>
          <cell r="BT2097">
            <v>20.837266948786436</v>
          </cell>
          <cell r="BX2097">
            <v>15.809496243585768</v>
          </cell>
          <cell r="CB2097">
            <v>27.787952499444788</v>
          </cell>
          <cell r="CE2097" t="str">
            <v>EU</v>
          </cell>
        </row>
        <row r="2098">
          <cell r="O2098">
            <v>19</v>
          </cell>
          <cell r="BT2098">
            <v>20.837266948786436</v>
          </cell>
          <cell r="BX2098">
            <v>15.809496243585768</v>
          </cell>
          <cell r="CB2098">
            <v>27.787952499444788</v>
          </cell>
        </row>
        <row r="2099">
          <cell r="O2099">
            <v>19</v>
          </cell>
        </row>
        <row r="2100">
          <cell r="O2100">
            <v>19</v>
          </cell>
          <cell r="BT2100">
            <v>0</v>
          </cell>
          <cell r="BX2100">
            <v>0</v>
          </cell>
          <cell r="CB2100">
            <v>0</v>
          </cell>
          <cell r="CE2100" t="str">
            <v>EUCostofLOCAL</v>
          </cell>
        </row>
        <row r="2101">
          <cell r="O2101">
            <v>19</v>
          </cell>
          <cell r="BT2101">
            <v>0</v>
          </cell>
          <cell r="BX2101">
            <v>0</v>
          </cell>
          <cell r="CB2101">
            <v>0</v>
          </cell>
        </row>
        <row r="2102">
          <cell r="O2102">
            <v>20</v>
          </cell>
        </row>
        <row r="2103">
          <cell r="O2103">
            <v>20</v>
          </cell>
          <cell r="BT2103">
            <v>227.28026708840866</v>
          </cell>
          <cell r="BX2103">
            <v>130.45385602613464</v>
          </cell>
          <cell r="CB2103">
            <v>226.86579997290363</v>
          </cell>
          <cell r="CE2103" t="str">
            <v>LOCAL</v>
          </cell>
        </row>
        <row r="2104">
          <cell r="O2104">
            <v>20</v>
          </cell>
          <cell r="BT2104">
            <v>11.156986071119787</v>
          </cell>
          <cell r="BX2104">
            <v>45.813199825909848</v>
          </cell>
          <cell r="CB2104">
            <v>11.156986071119787</v>
          </cell>
          <cell r="CE2104" t="str">
            <v>EU</v>
          </cell>
        </row>
        <row r="2105">
          <cell r="O2105">
            <v>20</v>
          </cell>
          <cell r="BT2105">
            <v>238.43725315952844</v>
          </cell>
          <cell r="BX2105">
            <v>176.26705585204451</v>
          </cell>
          <cell r="CB2105">
            <v>238.02278604402341</v>
          </cell>
        </row>
        <row r="2106">
          <cell r="O2106">
            <v>20</v>
          </cell>
        </row>
        <row r="2107">
          <cell r="O2107">
            <v>20</v>
          </cell>
          <cell r="BT2107">
            <v>252.56282000095999</v>
          </cell>
          <cell r="BX2107">
            <v>142.70315329227421</v>
          </cell>
          <cell r="CB2107">
            <v>252.18122000241007</v>
          </cell>
          <cell r="CE2107" t="str">
            <v>EUCostofLOCAL</v>
          </cell>
        </row>
        <row r="2108">
          <cell r="O2108">
            <v>20</v>
          </cell>
          <cell r="BT2108">
            <v>25.282552912551324</v>
          </cell>
          <cell r="BX2108">
            <v>12.249297266139564</v>
          </cell>
          <cell r="CB2108">
            <v>25.315420029506441</v>
          </cell>
        </row>
        <row r="2109">
          <cell r="O2109">
            <v>21</v>
          </cell>
        </row>
        <row r="2110">
          <cell r="O2110">
            <v>21</v>
          </cell>
          <cell r="BT2110">
            <v>0</v>
          </cell>
          <cell r="BX2110">
            <v>0</v>
          </cell>
          <cell r="CB2110">
            <v>0</v>
          </cell>
          <cell r="CE2110" t="str">
            <v>LOCAL</v>
          </cell>
        </row>
        <row r="2111">
          <cell r="O2111">
            <v>21</v>
          </cell>
          <cell r="BT2111">
            <v>53.922348494772336</v>
          </cell>
          <cell r="BX2111">
            <v>55.071345451483097</v>
          </cell>
          <cell r="CB2111">
            <v>55.071345451483097</v>
          </cell>
          <cell r="CE2111" t="str">
            <v>EU</v>
          </cell>
        </row>
        <row r="2112">
          <cell r="O2112">
            <v>21</v>
          </cell>
          <cell r="BT2112">
            <v>53.922348494772336</v>
          </cell>
          <cell r="BX2112">
            <v>55.071345451483097</v>
          </cell>
          <cell r="CB2112">
            <v>55.071345451483097</v>
          </cell>
        </row>
        <row r="2113">
          <cell r="O2113">
            <v>21</v>
          </cell>
        </row>
        <row r="2114">
          <cell r="O2114">
            <v>21</v>
          </cell>
          <cell r="BT2114">
            <v>0</v>
          </cell>
          <cell r="BX2114">
            <v>0</v>
          </cell>
          <cell r="CB2114">
            <v>0</v>
          </cell>
          <cell r="CE2114" t="str">
            <v>EUCostofLOCAL</v>
          </cell>
        </row>
        <row r="2115">
          <cell r="O2115">
            <v>21</v>
          </cell>
          <cell r="BT2115">
            <v>0</v>
          </cell>
          <cell r="BX2115">
            <v>0</v>
          </cell>
          <cell r="CB2115">
            <v>0</v>
          </cell>
        </row>
        <row r="2116">
          <cell r="O2116">
            <v>22</v>
          </cell>
        </row>
        <row r="2117">
          <cell r="O2117">
            <v>22</v>
          </cell>
          <cell r="BT2117">
            <v>210.14969719652487</v>
          </cell>
          <cell r="BX2117">
            <v>272.31791161181286</v>
          </cell>
          <cell r="CB2117">
            <v>176.56779162888731</v>
          </cell>
          <cell r="CE2117" t="str">
            <v>LOCAL</v>
          </cell>
        </row>
        <row r="2118">
          <cell r="O2118">
            <v>22</v>
          </cell>
          <cell r="BT2118">
            <v>25.774987674980814</v>
          </cell>
          <cell r="BX2118">
            <v>25.774987674980814</v>
          </cell>
          <cell r="CB2118">
            <v>11.004659615850066</v>
          </cell>
          <cell r="CE2118" t="str">
            <v>EU</v>
          </cell>
        </row>
        <row r="2119">
          <cell r="O2119">
            <v>22</v>
          </cell>
          <cell r="BT2119">
            <v>235.92468487150569</v>
          </cell>
          <cell r="BX2119">
            <v>298.09289928679368</v>
          </cell>
          <cell r="CB2119">
            <v>187.57245124473738</v>
          </cell>
        </row>
        <row r="2120">
          <cell r="O2120">
            <v>22</v>
          </cell>
        </row>
        <row r="2121">
          <cell r="O2121">
            <v>22</v>
          </cell>
          <cell r="BT2121">
            <v>284.25061726045908</v>
          </cell>
          <cell r="BX2121">
            <v>284.25061726045908</v>
          </cell>
          <cell r="CB2121">
            <v>190.92951368494823</v>
          </cell>
          <cell r="CE2121" t="str">
            <v>EUCostofLOCAL</v>
          </cell>
        </row>
        <row r="2122">
          <cell r="O2122">
            <v>22</v>
          </cell>
          <cell r="BT2122">
            <v>74.100920063934211</v>
          </cell>
          <cell r="BX2122">
            <v>11.93270564864622</v>
          </cell>
          <cell r="CB2122">
            <v>14.361722056060927</v>
          </cell>
        </row>
        <row r="2123">
          <cell r="O2123">
            <v>23</v>
          </cell>
        </row>
        <row r="2124">
          <cell r="O2124">
            <v>23</v>
          </cell>
          <cell r="BT2124">
            <v>892.58926429276141</v>
          </cell>
          <cell r="BX2124">
            <v>734.44009126017602</v>
          </cell>
          <cell r="CB2124">
            <v>578.36483121783294</v>
          </cell>
          <cell r="CE2124" t="str">
            <v>LOCAL</v>
          </cell>
        </row>
        <row r="2125">
          <cell r="O2125">
            <v>23</v>
          </cell>
          <cell r="BT2125">
            <v>331.39955505723259</v>
          </cell>
          <cell r="BX2125">
            <v>144.41068502681537</v>
          </cell>
          <cell r="CB2125">
            <v>294.41631568381013</v>
          </cell>
          <cell r="CE2125" t="str">
            <v>EU</v>
          </cell>
        </row>
        <row r="2126">
          <cell r="O2126">
            <v>23</v>
          </cell>
          <cell r="BT2126">
            <v>1223.9888193499939</v>
          </cell>
          <cell r="BX2126">
            <v>878.85077628699139</v>
          </cell>
          <cell r="CB2126">
            <v>872.78114690164307</v>
          </cell>
        </row>
        <row r="2127">
          <cell r="O2127">
            <v>23</v>
          </cell>
        </row>
        <row r="2128">
          <cell r="O2128">
            <v>23</v>
          </cell>
          <cell r="BT2128">
            <v>1156.4487885664587</v>
          </cell>
          <cell r="BX2128">
            <v>832.72483609133326</v>
          </cell>
          <cell r="CB2128">
            <v>577.02269677001584</v>
          </cell>
          <cell r="CE2128" t="str">
            <v>EUCostofLOCAL</v>
          </cell>
        </row>
        <row r="2129">
          <cell r="O2129">
            <v>23</v>
          </cell>
          <cell r="BT2129">
            <v>263.85952427369728</v>
          </cell>
          <cell r="BX2129">
            <v>98.284744831157241</v>
          </cell>
          <cell r="CB2129">
            <v>-1.3421344478171022</v>
          </cell>
        </row>
        <row r="2130">
          <cell r="O2130">
            <v>24</v>
          </cell>
        </row>
        <row r="2131">
          <cell r="O2131">
            <v>24</v>
          </cell>
          <cell r="BT2131">
            <v>0</v>
          </cell>
          <cell r="BX2131">
            <v>0</v>
          </cell>
          <cell r="CB2131">
            <v>0</v>
          </cell>
          <cell r="CE2131" t="str">
            <v>LOCAL</v>
          </cell>
        </row>
        <row r="2132">
          <cell r="O2132">
            <v>24</v>
          </cell>
          <cell r="BT2132">
            <v>870.94308650900621</v>
          </cell>
          <cell r="BX2132">
            <v>1220.3511777301928</v>
          </cell>
          <cell r="CB2132">
            <v>1017.4309757048908</v>
          </cell>
          <cell r="CE2132" t="str">
            <v>EU</v>
          </cell>
        </row>
        <row r="2133">
          <cell r="O2133">
            <v>24</v>
          </cell>
          <cell r="BT2133">
            <v>870.94308650900621</v>
          </cell>
          <cell r="BX2133">
            <v>1220.3511777301928</v>
          </cell>
          <cell r="CB2133">
            <v>1017.4309757048908</v>
          </cell>
        </row>
        <row r="2134">
          <cell r="O2134">
            <v>24</v>
          </cell>
        </row>
        <row r="2135">
          <cell r="O2135">
            <v>24</v>
          </cell>
          <cell r="BT2135">
            <v>0</v>
          </cell>
          <cell r="BX2135">
            <v>0</v>
          </cell>
          <cell r="CB2135">
            <v>0</v>
          </cell>
          <cell r="CE2135" t="str">
            <v>EUCostofLOCAL</v>
          </cell>
        </row>
        <row r="2136">
          <cell r="O2136">
            <v>24</v>
          </cell>
          <cell r="BT2136">
            <v>0</v>
          </cell>
          <cell r="BX2136">
            <v>0</v>
          </cell>
          <cell r="CB2136">
            <v>0</v>
          </cell>
        </row>
        <row r="2137">
          <cell r="O2137">
            <v>25</v>
          </cell>
        </row>
        <row r="2138">
          <cell r="O2138">
            <v>25</v>
          </cell>
          <cell r="BT2138">
            <v>0</v>
          </cell>
          <cell r="BX2138">
            <v>0</v>
          </cell>
          <cell r="CB2138">
            <v>0</v>
          </cell>
          <cell r="CE2138" t="str">
            <v>LOCAL</v>
          </cell>
        </row>
        <row r="2139">
          <cell r="O2139">
            <v>25</v>
          </cell>
          <cell r="BT2139">
            <v>768.40689594580635</v>
          </cell>
          <cell r="BX2139">
            <v>846.70671219627582</v>
          </cell>
          <cell r="CB2139">
            <v>575.25568127211193</v>
          </cell>
          <cell r="CE2139" t="str">
            <v>EU</v>
          </cell>
        </row>
        <row r="2140">
          <cell r="O2140">
            <v>25</v>
          </cell>
          <cell r="BT2140">
            <v>0</v>
          </cell>
          <cell r="BX2140">
            <v>0</v>
          </cell>
          <cell r="CB2140">
            <v>0</v>
          </cell>
        </row>
        <row r="2141">
          <cell r="O2141">
            <v>25</v>
          </cell>
        </row>
        <row r="2142">
          <cell r="O2142">
            <v>25</v>
          </cell>
          <cell r="BT2142">
            <v>0</v>
          </cell>
          <cell r="BX2142">
            <v>0</v>
          </cell>
          <cell r="CB2142">
            <v>0</v>
          </cell>
          <cell r="CE2142" t="str">
            <v>EUCostofLOCAL</v>
          </cell>
        </row>
        <row r="2143">
          <cell r="O2143">
            <v>25</v>
          </cell>
          <cell r="BT2143">
            <v>0</v>
          </cell>
          <cell r="BX2143">
            <v>0</v>
          </cell>
          <cell r="CB2143">
            <v>0</v>
          </cell>
        </row>
        <row r="2144">
          <cell r="O2144">
            <v>26</v>
          </cell>
        </row>
        <row r="2145">
          <cell r="O2145">
            <v>26</v>
          </cell>
          <cell r="BT2145">
            <v>0</v>
          </cell>
          <cell r="BX2145">
            <v>0</v>
          </cell>
          <cell r="CB2145">
            <v>0</v>
          </cell>
          <cell r="CE2145" t="str">
            <v>LOCAL</v>
          </cell>
        </row>
        <row r="2146">
          <cell r="O2146">
            <v>26</v>
          </cell>
          <cell r="BT2146">
            <v>115.20927956220476</v>
          </cell>
          <cell r="BX2146">
            <v>34.261241970021416</v>
          </cell>
          <cell r="CB2146">
            <v>128.43807951193531</v>
          </cell>
          <cell r="CE2146" t="str">
            <v>EU</v>
          </cell>
        </row>
        <row r="2147">
          <cell r="O2147">
            <v>26</v>
          </cell>
          <cell r="BT2147">
            <v>115.20927956220476</v>
          </cell>
          <cell r="BX2147">
            <v>34.261241970021416</v>
          </cell>
          <cell r="CB2147">
            <v>128.43807951193531</v>
          </cell>
        </row>
        <row r="2148">
          <cell r="O2148">
            <v>26</v>
          </cell>
        </row>
        <row r="2149">
          <cell r="O2149">
            <v>26</v>
          </cell>
          <cell r="BT2149">
            <v>0</v>
          </cell>
          <cell r="BX2149">
            <v>0</v>
          </cell>
          <cell r="CB2149">
            <v>0</v>
          </cell>
          <cell r="CE2149" t="str">
            <v>EUCostofLOCAL</v>
          </cell>
        </row>
        <row r="2150">
          <cell r="O2150">
            <v>26</v>
          </cell>
          <cell r="BT2150">
            <v>0</v>
          </cell>
          <cell r="BX2150">
            <v>0</v>
          </cell>
          <cell r="CB2150">
            <v>0</v>
          </cell>
        </row>
        <row r="2151">
          <cell r="O2151">
            <v>27</v>
          </cell>
        </row>
        <row r="2152">
          <cell r="O2152">
            <v>27</v>
          </cell>
          <cell r="BT2152">
            <v>25.434277122466696</v>
          </cell>
          <cell r="BX2152">
            <v>0</v>
          </cell>
          <cell r="CB2152">
            <v>14.635411287999256</v>
          </cell>
          <cell r="CE2152" t="str">
            <v>LOCAL</v>
          </cell>
        </row>
        <row r="2153">
          <cell r="O2153">
            <v>27</v>
          </cell>
          <cell r="BT2153">
            <v>0.38800000000000001</v>
          </cell>
          <cell r="BX2153">
            <v>12.83738195269235</v>
          </cell>
          <cell r="CB2153">
            <v>12.83738195269235</v>
          </cell>
          <cell r="CE2153" t="str">
            <v>EU</v>
          </cell>
        </row>
        <row r="2154">
          <cell r="O2154">
            <v>27</v>
          </cell>
          <cell r="BT2154">
            <v>25.822277122466698</v>
          </cell>
          <cell r="BX2154">
            <v>12.83738195269235</v>
          </cell>
          <cell r="CB2154">
            <v>27.472793240691608</v>
          </cell>
        </row>
        <row r="2155">
          <cell r="O2155">
            <v>27</v>
          </cell>
        </row>
        <row r="2156">
          <cell r="O2156">
            <v>27</v>
          </cell>
          <cell r="BT2156">
            <v>30.574731952692353</v>
          </cell>
          <cell r="BX2156">
            <v>0</v>
          </cell>
          <cell r="CB2156">
            <v>18.125350000000001</v>
          </cell>
          <cell r="CE2156" t="str">
            <v>EUCostofLOCAL</v>
          </cell>
        </row>
        <row r="2157">
          <cell r="O2157">
            <v>27</v>
          </cell>
          <cell r="BT2157">
            <v>5.1404548302256572</v>
          </cell>
          <cell r="BX2157">
            <v>0</v>
          </cell>
          <cell r="CB2157">
            <v>3.489938712000745</v>
          </cell>
        </row>
        <row r="2158">
          <cell r="O2158">
            <v>28</v>
          </cell>
        </row>
        <row r="2159">
          <cell r="O2159">
            <v>28</v>
          </cell>
          <cell r="BT2159">
            <v>184.48886869205114</v>
          </cell>
          <cell r="BX2159">
            <v>171.76647140125249</v>
          </cell>
          <cell r="CB2159">
            <v>207.50195921221069</v>
          </cell>
          <cell r="CE2159" t="str">
            <v>LOCAL</v>
          </cell>
        </row>
        <row r="2160">
          <cell r="O2160">
            <v>28</v>
          </cell>
          <cell r="BT2160">
            <v>60.628002756767962</v>
          </cell>
          <cell r="BX2160">
            <v>64.062402743717243</v>
          </cell>
          <cell r="CB2160">
            <v>60.320602757936086</v>
          </cell>
          <cell r="CE2160" t="str">
            <v>EU</v>
          </cell>
        </row>
        <row r="2161">
          <cell r="O2161">
            <v>28</v>
          </cell>
          <cell r="BT2161">
            <v>245.1168714488191</v>
          </cell>
          <cell r="BX2161">
            <v>235.82887414496975</v>
          </cell>
          <cell r="CB2161">
            <v>267.82256197014681</v>
          </cell>
        </row>
        <row r="2162">
          <cell r="O2162">
            <v>28</v>
          </cell>
        </row>
        <row r="2163">
          <cell r="O2163">
            <v>28</v>
          </cell>
          <cell r="BT2163">
            <v>209.78299938552863</v>
          </cell>
          <cell r="BX2163">
            <v>216.18579930545198</v>
          </cell>
          <cell r="CB2163">
            <v>209.78299938552863</v>
          </cell>
          <cell r="CE2163" t="str">
            <v>EUCostofLOCAL</v>
          </cell>
        </row>
        <row r="2164">
          <cell r="O2164">
            <v>28</v>
          </cell>
          <cell r="BT2164">
            <v>25.294130693477484</v>
          </cell>
          <cell r="BX2164">
            <v>44.419327904199491</v>
          </cell>
          <cell r="CB2164">
            <v>2.2810401733179333</v>
          </cell>
        </row>
        <row r="2165">
          <cell r="O2165">
            <v>29</v>
          </cell>
        </row>
        <row r="2166">
          <cell r="O2166">
            <v>29</v>
          </cell>
          <cell r="BT2166">
            <v>0</v>
          </cell>
          <cell r="BX2166">
            <v>0</v>
          </cell>
          <cell r="CB2166">
            <v>0</v>
          </cell>
          <cell r="CE2166" t="str">
            <v>LOCAL</v>
          </cell>
        </row>
        <row r="2167">
          <cell r="O2167">
            <v>29</v>
          </cell>
          <cell r="BT2167">
            <v>124.44700088440148</v>
          </cell>
          <cell r="BX2167">
            <v>114.32083943277964</v>
          </cell>
          <cell r="CB2167">
            <v>87.80169010662307</v>
          </cell>
          <cell r="CE2167" t="str">
            <v>EU</v>
          </cell>
        </row>
        <row r="2168">
          <cell r="O2168">
            <v>29</v>
          </cell>
          <cell r="BT2168">
            <v>124.44700088440148</v>
          </cell>
          <cell r="BX2168">
            <v>114.32083943277964</v>
          </cell>
          <cell r="CB2168">
            <v>87.80169010662307</v>
          </cell>
        </row>
        <row r="2169">
          <cell r="O2169">
            <v>29</v>
          </cell>
        </row>
        <row r="2170">
          <cell r="O2170">
            <v>29</v>
          </cell>
          <cell r="BT2170">
            <v>0</v>
          </cell>
          <cell r="BX2170">
            <v>0</v>
          </cell>
          <cell r="CB2170">
            <v>0</v>
          </cell>
          <cell r="CE2170" t="str">
            <v>EUCostofLOCAL</v>
          </cell>
        </row>
        <row r="2171">
          <cell r="O2171">
            <v>29</v>
          </cell>
          <cell r="BT2171">
            <v>0</v>
          </cell>
          <cell r="BX2171">
            <v>0</v>
          </cell>
          <cell r="CB2171">
            <v>0</v>
          </cell>
        </row>
        <row r="2172">
          <cell r="O2172">
            <v>30</v>
          </cell>
        </row>
        <row r="2173">
          <cell r="O2173">
            <v>30</v>
          </cell>
          <cell r="BT2173">
            <v>112.9915344303148</v>
          </cell>
          <cell r="BX2173">
            <v>99.848325749620827</v>
          </cell>
          <cell r="CB2173">
            <v>133.39402795138059</v>
          </cell>
          <cell r="CE2173" t="str">
            <v>LOCAL</v>
          </cell>
        </row>
        <row r="2174">
          <cell r="O2174">
            <v>30</v>
          </cell>
          <cell r="BT2174">
            <v>7.8337925710599903</v>
          </cell>
          <cell r="BX2174">
            <v>7.5704245712323885</v>
          </cell>
          <cell r="CB2174">
            <v>4.5053925837079092</v>
          </cell>
          <cell r="CE2174" t="str">
            <v>EU</v>
          </cell>
        </row>
        <row r="2175">
          <cell r="O2175">
            <v>30</v>
          </cell>
          <cell r="BT2175">
            <v>120.82532700137479</v>
          </cell>
          <cell r="BX2175">
            <v>107.41875032085322</v>
          </cell>
          <cell r="CB2175">
            <v>137.8994205350885</v>
          </cell>
        </row>
        <row r="2176">
          <cell r="O2176">
            <v>30</v>
          </cell>
        </row>
        <row r="2177">
          <cell r="O2177">
            <v>30</v>
          </cell>
          <cell r="BT2177">
            <v>99.777799620844377</v>
          </cell>
          <cell r="BX2177">
            <v>99.777799620844377</v>
          </cell>
          <cell r="CB2177">
            <v>87.799799666360769</v>
          </cell>
          <cell r="CE2177" t="str">
            <v>EUCostofLOCAL</v>
          </cell>
        </row>
        <row r="2178">
          <cell r="O2178">
            <v>30</v>
          </cell>
          <cell r="BT2178">
            <v>-13.213734809470424</v>
          </cell>
          <cell r="BX2178">
            <v>-7.0526128776450037E-2</v>
          </cell>
          <cell r="CB2178">
            <v>-45.594228285019824</v>
          </cell>
        </row>
        <row r="2179">
          <cell r="O2179">
            <v>31</v>
          </cell>
        </row>
        <row r="2180">
          <cell r="O2180">
            <v>31</v>
          </cell>
          <cell r="BT2180">
            <v>0</v>
          </cell>
          <cell r="BX2180">
            <v>0</v>
          </cell>
          <cell r="CB2180">
            <v>0</v>
          </cell>
          <cell r="CE2180" t="str">
            <v>LOCAL</v>
          </cell>
        </row>
        <row r="2181">
          <cell r="O2181">
            <v>31</v>
          </cell>
          <cell r="BT2181">
            <v>0</v>
          </cell>
          <cell r="BX2181">
            <v>0</v>
          </cell>
          <cell r="CB2181">
            <v>120.53324757690817</v>
          </cell>
          <cell r="CE2181" t="str">
            <v>EU</v>
          </cell>
        </row>
        <row r="2182">
          <cell r="O2182">
            <v>31</v>
          </cell>
          <cell r="BT2182">
            <v>0</v>
          </cell>
          <cell r="BX2182">
            <v>0</v>
          </cell>
          <cell r="CB2182">
            <v>120.53324757690817</v>
          </cell>
        </row>
        <row r="2183">
          <cell r="O2183">
            <v>31</v>
          </cell>
        </row>
        <row r="2184">
          <cell r="O2184">
            <v>31</v>
          </cell>
          <cell r="BT2184">
            <v>0</v>
          </cell>
          <cell r="BX2184">
            <v>0</v>
          </cell>
          <cell r="CB2184">
            <v>0</v>
          </cell>
          <cell r="CE2184" t="str">
            <v>EUCostofLOCAL</v>
          </cell>
        </row>
        <row r="2185">
          <cell r="O2185">
            <v>31</v>
          </cell>
          <cell r="BT2185">
            <v>0</v>
          </cell>
          <cell r="BX2185">
            <v>0</v>
          </cell>
          <cell r="CB2185">
            <v>0</v>
          </cell>
        </row>
        <row r="2186">
          <cell r="O2186">
            <v>32</v>
          </cell>
        </row>
        <row r="2187">
          <cell r="O2187">
            <v>32</v>
          </cell>
          <cell r="BT2187">
            <v>0</v>
          </cell>
          <cell r="BX2187">
            <v>0</v>
          </cell>
          <cell r="CB2187">
            <v>0</v>
          </cell>
          <cell r="CE2187" t="str">
            <v>LOCAL</v>
          </cell>
        </row>
        <row r="2188">
          <cell r="O2188">
            <v>32</v>
          </cell>
          <cell r="BT2188">
            <v>38.330341854344709</v>
          </cell>
          <cell r="BX2188">
            <v>31.975240597833093</v>
          </cell>
          <cell r="CB2188">
            <v>33.615016672262939</v>
          </cell>
          <cell r="CE2188" t="str">
            <v>EU</v>
          </cell>
        </row>
        <row r="2189">
          <cell r="O2189">
            <v>32</v>
          </cell>
          <cell r="BT2189">
            <v>38.330341854344709</v>
          </cell>
          <cell r="BX2189">
            <v>31.975240597833093</v>
          </cell>
          <cell r="CB2189">
            <v>33.615016672262939</v>
          </cell>
        </row>
        <row r="2190">
          <cell r="O2190">
            <v>32</v>
          </cell>
        </row>
        <row r="2191">
          <cell r="O2191">
            <v>32</v>
          </cell>
          <cell r="BT2191">
            <v>0</v>
          </cell>
          <cell r="BX2191">
            <v>0</v>
          </cell>
          <cell r="CB2191">
            <v>0</v>
          </cell>
          <cell r="CE2191" t="str">
            <v>EUCostofLOCAL</v>
          </cell>
        </row>
        <row r="2192">
          <cell r="O2192">
            <v>32</v>
          </cell>
          <cell r="BT2192">
            <v>0</v>
          </cell>
          <cell r="BX2192">
            <v>0</v>
          </cell>
          <cell r="CB2192">
            <v>0</v>
          </cell>
        </row>
        <row r="2193">
          <cell r="O2193">
            <v>34</v>
          </cell>
        </row>
        <row r="2194">
          <cell r="O2194">
            <v>34</v>
          </cell>
          <cell r="BT2194">
            <v>97.361600762267756</v>
          </cell>
          <cell r="BX2194">
            <v>139.20836068698247</v>
          </cell>
          <cell r="CB2194">
            <v>105.26549787610753</v>
          </cell>
          <cell r="CE2194" t="str">
            <v>LOCAL</v>
          </cell>
        </row>
        <row r="2195">
          <cell r="O2195">
            <v>34</v>
          </cell>
          <cell r="BT2195">
            <v>0</v>
          </cell>
          <cell r="BX2195">
            <v>0</v>
          </cell>
          <cell r="CB2195">
            <v>0</v>
          </cell>
          <cell r="CE2195" t="str">
            <v>EU</v>
          </cell>
        </row>
        <row r="2196">
          <cell r="O2196">
            <v>34</v>
          </cell>
          <cell r="BT2196">
            <v>97.361600762267756</v>
          </cell>
          <cell r="BX2196">
            <v>139.20836068698247</v>
          </cell>
          <cell r="CB2196">
            <v>105.26549787610753</v>
          </cell>
        </row>
        <row r="2197">
          <cell r="O2197">
            <v>34</v>
          </cell>
        </row>
        <row r="2198">
          <cell r="O2198">
            <v>34</v>
          </cell>
          <cell r="BT2198">
            <v>74.033012811511242</v>
          </cell>
          <cell r="BX2198">
            <v>74.033012811511242</v>
          </cell>
          <cell r="CB2198">
            <v>74.033012811511242</v>
          </cell>
          <cell r="CE2198" t="str">
            <v>EUCostofLOCAL</v>
          </cell>
        </row>
        <row r="2199">
          <cell r="O2199">
            <v>34</v>
          </cell>
          <cell r="BT2199">
            <v>-23.328587950756514</v>
          </cell>
          <cell r="BX2199">
            <v>-65.175347875471232</v>
          </cell>
          <cell r="CB2199">
            <v>-31.23248506459629</v>
          </cell>
        </row>
        <row r="2200">
          <cell r="O2200">
            <v>42</v>
          </cell>
        </row>
        <row r="2201">
          <cell r="O2201">
            <v>42</v>
          </cell>
        </row>
        <row r="2202">
          <cell r="O2202">
            <v>42</v>
          </cell>
        </row>
        <row r="2203">
          <cell r="O2203">
            <v>42</v>
          </cell>
          <cell r="BT2203">
            <v>4464.9525664717667</v>
          </cell>
          <cell r="BX2203">
            <v>3824.9697446986688</v>
          </cell>
          <cell r="CB2203">
            <v>3816.2153704043089</v>
          </cell>
        </row>
        <row r="2204">
          <cell r="O2204">
            <v>42</v>
          </cell>
          <cell r="BT2204">
            <v>4341.444832899927</v>
          </cell>
          <cell r="BX2204">
            <v>4250.2265738121969</v>
          </cell>
          <cell r="CB2204">
            <v>4049.0784697562776</v>
          </cell>
        </row>
        <row r="2205">
          <cell r="O2205">
            <v>42</v>
          </cell>
          <cell r="BT2205">
            <v>8806.3973993716936</v>
          </cell>
          <cell r="BX2205">
            <v>8075.1963185108652</v>
          </cell>
          <cell r="CB2205">
            <v>7865.2938401605861</v>
          </cell>
        </row>
        <row r="2206">
          <cell r="O2206">
            <v>42</v>
          </cell>
        </row>
        <row r="2207">
          <cell r="O2207">
            <v>42</v>
          </cell>
          <cell r="BT2207">
            <v>4788.4887667854764</v>
          </cell>
          <cell r="BX2207">
            <v>3479.5277123332257</v>
          </cell>
          <cell r="CB2207">
            <v>3206.4214890481153</v>
          </cell>
        </row>
        <row r="2208">
          <cell r="O2208">
            <v>42</v>
          </cell>
          <cell r="BT2208">
            <v>323.53620031370974</v>
          </cell>
          <cell r="BX2208">
            <v>-345.44203236544308</v>
          </cell>
          <cell r="CB2208">
            <v>-609.79388135619365</v>
          </cell>
        </row>
        <row r="2209">
          <cell r="O2209">
            <v>42</v>
          </cell>
        </row>
        <row r="2210">
          <cell r="O2210">
            <v>42</v>
          </cell>
          <cell r="BT2210" t="str">
            <v>European Content</v>
          </cell>
          <cell r="BX2210" t="str">
            <v>European Content</v>
          </cell>
          <cell r="CB2210" t="str">
            <v>European Content</v>
          </cell>
        </row>
        <row r="2211">
          <cell r="O2211">
            <v>42</v>
          </cell>
          <cell r="BT2211" t="str">
            <v>Non-European Content</v>
          </cell>
          <cell r="BX2211" t="str">
            <v>Non-European Content</v>
          </cell>
          <cell r="CB2211" t="str">
            <v>Non-European Content</v>
          </cell>
        </row>
        <row r="2212">
          <cell r="O2212">
            <v>42</v>
          </cell>
        </row>
        <row r="2213">
          <cell r="O2213">
            <v>42</v>
          </cell>
        </row>
        <row r="2214">
          <cell r="O2214">
            <v>42</v>
          </cell>
          <cell r="BT2214" t="str">
            <v>from EU, US or JP</v>
          </cell>
          <cell r="BX2214" t="str">
            <v>from EU, US or JP</v>
          </cell>
          <cell r="CB2214" t="str">
            <v>from EU, US or JP</v>
          </cell>
        </row>
        <row r="2215">
          <cell r="O2215">
            <v>42</v>
          </cell>
          <cell r="BT2215" t="str">
            <v>from Taiwan</v>
          </cell>
          <cell r="BX2215" t="str">
            <v>from Taiwan</v>
          </cell>
          <cell r="CB2215" t="str">
            <v>from Taiwan</v>
          </cell>
        </row>
        <row r="2216">
          <cell r="O2216">
            <v>42</v>
          </cell>
          <cell r="BT2216" t="str">
            <v>from South Africa</v>
          </cell>
          <cell r="BX2216" t="str">
            <v>from South Africa</v>
          </cell>
          <cell r="CB2216" t="str">
            <v>from South Africa</v>
          </cell>
        </row>
        <row r="2217">
          <cell r="O2217">
            <v>42</v>
          </cell>
          <cell r="BT2217" t="str">
            <v>from Philippines</v>
          </cell>
          <cell r="BX2217" t="str">
            <v>from Philippines</v>
          </cell>
          <cell r="CB2217" t="str">
            <v>from Philippines</v>
          </cell>
        </row>
        <row r="2218">
          <cell r="O2218">
            <v>42</v>
          </cell>
          <cell r="BT2218" t="str">
            <v>from Thailand</v>
          </cell>
          <cell r="BX2218" t="str">
            <v>from Thailand</v>
          </cell>
          <cell r="CB2218" t="str">
            <v>from Thailand</v>
          </cell>
        </row>
        <row r="2219">
          <cell r="O2219">
            <v>42</v>
          </cell>
          <cell r="BT2219" t="str">
            <v>from Malaysia</v>
          </cell>
          <cell r="BX2219" t="str">
            <v>from Malaysia</v>
          </cell>
          <cell r="CB2219" t="str">
            <v>from Malaysia</v>
          </cell>
        </row>
        <row r="2220">
          <cell r="O2220">
            <v>42</v>
          </cell>
          <cell r="BT2220" t="str">
            <v>from China</v>
          </cell>
          <cell r="BX2220" t="str">
            <v>from China</v>
          </cell>
          <cell r="CB2220" t="str">
            <v>from China</v>
          </cell>
        </row>
        <row r="2221">
          <cell r="O2221">
            <v>42</v>
          </cell>
          <cell r="BT2221" t="str">
            <v>from Korea and elsewhere</v>
          </cell>
          <cell r="BX2221" t="str">
            <v>from Korea and elsewhere</v>
          </cell>
          <cell r="CB2221" t="str">
            <v>from Korea and elsewhere</v>
          </cell>
        </row>
        <row r="2222">
          <cell r="O2222">
            <v>42</v>
          </cell>
        </row>
        <row r="2223">
          <cell r="O2223">
            <v>42</v>
          </cell>
        </row>
      </sheetData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unk 01 (frozen)"/>
      <sheetName val="Chunk 01 (frozen) (2)"/>
      <sheetName val="Chunk 02 (frozen)"/>
      <sheetName val="Chunk 03 (frozen)"/>
      <sheetName val="Chunk 12 (frozen)"/>
      <sheetName val="Chunk 14 (frozen)"/>
      <sheetName val="Update from ESTA"/>
      <sheetName val="Closures"/>
      <sheetName val="Door Sash&amp;Strainer"/>
      <sheetName val="3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s&amp;Fixed Costs"/>
      <sheetName val="Per Unit Data"/>
      <sheetName val="Investment"/>
      <sheetName val="Cap Carry"/>
      <sheetName val="Conditioning"/>
      <sheetName val="Working Cap"/>
      <sheetName val="Summary"/>
      <sheetName val="FAP Manual BoM"/>
      <sheetName val="Facer - 3f"/>
      <sheetName val="04"/>
      <sheetName val="05"/>
      <sheetName val="07"/>
      <sheetName val="10"/>
      <sheetName val="13"/>
      <sheetName val="15"/>
      <sheetName val="16-17"/>
      <sheetName val="18"/>
      <sheetName val="19"/>
      <sheetName val="Chunk 20 (frozen)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4"/>
      <sheetName val="CompHeadernames"/>
      <sheetName val="Chunk1"/>
      <sheetName val="Chunk2"/>
      <sheetName val="Chunk3"/>
      <sheetName val="Chunk 04 (frozen)"/>
      <sheetName val="Chunk 07 (frozen)"/>
      <sheetName val="Chunk 13 (frozen)"/>
      <sheetName val="Chunk 15 (frozen)"/>
      <sheetName val="Chunks 16, 17 (frozen)"/>
      <sheetName val="Chunk 18 (frozen)"/>
      <sheetName val="Chunk 19 (frozen)"/>
      <sheetName val="Chunk 22 (frozen)"/>
      <sheetName val="Chunk 24 (frozen)"/>
      <sheetName val="Chunk 25 (frozen)"/>
      <sheetName val="Chunk 29 (frozen)"/>
      <sheetName val="Chunk 30 (frozen)"/>
      <sheetName val="Chunk 31 (frozen)"/>
      <sheetName val="Chunk 32 (frozen)"/>
      <sheetName val="Overview"/>
      <sheetName val="Exch. Rates &amp; Duty"/>
      <sheetName val="BOM Air Distr"/>
      <sheetName val="BOM Main Hsg"/>
      <sheetName val="Input"/>
      <sheetName val="Vols&amp;Fixed_Costs"/>
      <sheetName val="Per_Unit_Data"/>
      <sheetName val="Cap_Carry"/>
      <sheetName val="Working_Cap"/>
      <sheetName val="FAP_Manual_BoM"/>
      <sheetName val="Facer_-_3f"/>
      <sheetName val="Chunk_20_(frozen)"/>
      <sheetName val="Chunk_04_(frozen)"/>
      <sheetName val="Chunk_07_(frozen)"/>
      <sheetName val="Chunk_13_(frozen)"/>
      <sheetName val="Chunk_15_(frozen)"/>
      <sheetName val="Chunks_16,_17_(frozen)"/>
      <sheetName val="Chunk_18_(frozen)"/>
      <sheetName val="Chunk_19_(frozen)"/>
      <sheetName val="Chunk_22_(frozen)"/>
      <sheetName val="Chunk_24_(frozen)"/>
      <sheetName val="Chunk_25_(frozen)"/>
      <sheetName val="Chunk_29_(frozen)"/>
      <sheetName val="Chunk_30_(frozen)"/>
      <sheetName val="Chunk_31_(frozen)"/>
      <sheetName val="Chunk_32_(frozen)"/>
      <sheetName val="Exch__Rates_&amp;_Duty"/>
      <sheetName val="BOM_Air_Distr"/>
      <sheetName val="BOM_Main_Hsg"/>
      <sheetName val="Vols&amp;Fixed_Costs1"/>
      <sheetName val="Per_Unit_Data1"/>
      <sheetName val="Cap_Carry1"/>
      <sheetName val="Working_Cap1"/>
      <sheetName val="FAP_Manual_BoM1"/>
      <sheetName val="Facer_-_3f1"/>
      <sheetName val="Chunk_20_(frozen)1"/>
      <sheetName val="Chunk_04_(frozen)1"/>
      <sheetName val="Chunk_07_(frozen)1"/>
      <sheetName val="Chunk_13_(frozen)1"/>
      <sheetName val="Chunk_15_(frozen)1"/>
      <sheetName val="Chunks_16,_17_(frozen)1"/>
      <sheetName val="Chunk_18_(frozen)1"/>
      <sheetName val="Chunk_19_(frozen)1"/>
      <sheetName val="Chunk_22_(frozen)1"/>
      <sheetName val="Chunk_24_(frozen)1"/>
      <sheetName val="Chunk_25_(frozen)1"/>
      <sheetName val="Chunk_29_(frozen)1"/>
      <sheetName val="Chunk_30_(frozen)1"/>
      <sheetName val="Chunk_31_(frozen)1"/>
      <sheetName val="Chunk_32_(frozen)1"/>
      <sheetName val="Exch__Rates_&amp;_Duty1"/>
      <sheetName val="BOM_Air_Distr1"/>
      <sheetName val="BOM_Main_Hsg1"/>
    </sheetNames>
    <sheetDataSet>
      <sheetData sheetId="0" refreshError="1">
        <row r="5">
          <cell r="G5">
            <v>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5">
          <cell r="G5">
            <v>10</v>
          </cell>
        </row>
      </sheetData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unk1"/>
      <sheetName val="Derived Cost"/>
      <sheetName val="Chunk2"/>
      <sheetName val="Chunk3"/>
      <sheetName val="BOM_Data"/>
      <sheetName val="Chunk1 (2)"/>
      <sheetName val="EU Costs to Purchasing"/>
    </sheetNames>
    <sheetDataSet>
      <sheetData sheetId="0" refreshError="1">
        <row r="5">
          <cell r="P5" t="str">
            <v>R16A044</v>
          </cell>
          <cell r="Q5" t="str">
            <v>A_</v>
          </cell>
          <cell r="R5" t="e">
            <v>#N/A</v>
          </cell>
          <cell r="S5" t="str">
            <v>YES</v>
          </cell>
          <cell r="T5">
            <v>1.0480349344978166</v>
          </cell>
          <cell r="U5" t="str">
            <v>APR &amp; FRT S/M ASY RH/LH</v>
          </cell>
        </row>
        <row r="7">
          <cell r="P7" t="str">
            <v>R16020</v>
          </cell>
          <cell r="Q7" t="str">
            <v>A_</v>
          </cell>
          <cell r="R7" t="e">
            <v>#N/A</v>
          </cell>
          <cell r="S7" t="str">
            <v>YES</v>
          </cell>
          <cell r="T7">
            <v>6.6194866604803497</v>
          </cell>
          <cell r="U7" t="str">
            <v>APR ASY FRT FNDR RH/LH</v>
          </cell>
        </row>
        <row r="8">
          <cell r="P8" t="str">
            <v>R16044</v>
          </cell>
          <cell r="Q8" t="str">
            <v>A_</v>
          </cell>
          <cell r="R8">
            <v>0.64</v>
          </cell>
          <cell r="S8" t="e">
            <v>#N/A</v>
          </cell>
          <cell r="T8" t="e">
            <v>#N/A</v>
          </cell>
          <cell r="U8" t="str">
            <v>APR FRT FNDR RH</v>
          </cell>
        </row>
        <row r="9">
          <cell r="P9" t="str">
            <v>R16055</v>
          </cell>
          <cell r="Q9" t="str">
            <v>A_</v>
          </cell>
          <cell r="R9" t="e">
            <v>#N/A</v>
          </cell>
          <cell r="S9" t="e">
            <v>#N/A</v>
          </cell>
          <cell r="T9" t="e">
            <v>#N/A</v>
          </cell>
          <cell r="U9" t="str">
            <v>APR ASY FRT FNDR FRT</v>
          </cell>
        </row>
        <row r="10">
          <cell r="P10" t="str">
            <v>R16045</v>
          </cell>
          <cell r="Q10" t="str">
            <v>A_</v>
          </cell>
          <cell r="R10">
            <v>0.64</v>
          </cell>
          <cell r="S10" t="e">
            <v>#N/A</v>
          </cell>
          <cell r="T10" t="e">
            <v>#N/A</v>
          </cell>
          <cell r="U10" t="str">
            <v>APR FRT FNDR RH</v>
          </cell>
        </row>
        <row r="11">
          <cell r="P11" t="str">
            <v>W520720</v>
          </cell>
          <cell r="Q11" t="str">
            <v>S300</v>
          </cell>
          <cell r="R11">
            <v>1.4312226250000002E-2</v>
          </cell>
          <cell r="S11" t="e">
            <v>#N/A</v>
          </cell>
          <cell r="T11" t="e">
            <v>#N/A</v>
          </cell>
          <cell r="U11" t="str">
            <v>Nut Weld M6 Hex Flng 8</v>
          </cell>
        </row>
        <row r="12">
          <cell r="P12" t="str">
            <v>R16031</v>
          </cell>
          <cell r="Q12" t="str">
            <v>A_</v>
          </cell>
          <cell r="R12">
            <v>0.72</v>
          </cell>
          <cell r="S12" t="e">
            <v>#N/A</v>
          </cell>
          <cell r="T12" t="e">
            <v>#N/A</v>
          </cell>
          <cell r="U12" t="str">
            <v>REINF ASY FRT FNDR APR LH</v>
          </cell>
        </row>
        <row r="13">
          <cell r="P13" t="str">
            <v>R16137</v>
          </cell>
          <cell r="Q13" t="str">
            <v>A_</v>
          </cell>
          <cell r="R13" t="e">
            <v>#N/A</v>
          </cell>
          <cell r="S13" t="e">
            <v>#N/A</v>
          </cell>
          <cell r="T13" t="e">
            <v>#N/A</v>
          </cell>
          <cell r="U13" t="str">
            <v>REINF FRT FNDR APR LH</v>
          </cell>
        </row>
        <row r="14">
          <cell r="P14" t="str">
            <v>W520721</v>
          </cell>
          <cell r="Q14" t="str">
            <v>S300</v>
          </cell>
          <cell r="R14">
            <v>1.8044854856000003E-2</v>
          </cell>
          <cell r="S14" t="e">
            <v>#N/A</v>
          </cell>
          <cell r="T14" t="e">
            <v>#N/A</v>
          </cell>
          <cell r="U14" t="str">
            <v>Nut Weld M8 Hex Flng</v>
          </cell>
        </row>
        <row r="15">
          <cell r="P15" t="str">
            <v>R16A018</v>
          </cell>
          <cell r="Q15" t="str">
            <v>A_</v>
          </cell>
          <cell r="R15" t="e">
            <v>#N/A</v>
          </cell>
          <cell r="S15" t="e">
            <v>#N/A</v>
          </cell>
          <cell r="T15" t="e">
            <v>#N/A</v>
          </cell>
          <cell r="U15" t="str">
            <v xml:space="preserve">APR FRT FNDR RR RH/LH </v>
          </cell>
        </row>
        <row r="16">
          <cell r="P16" t="str">
            <v>R16A018</v>
          </cell>
          <cell r="Q16" t="str">
            <v>A_</v>
          </cell>
          <cell r="R16" t="e">
            <v>#N/A</v>
          </cell>
          <cell r="S16" t="e">
            <v>#N/A</v>
          </cell>
          <cell r="T16" t="e">
            <v>#N/A</v>
          </cell>
          <cell r="U16" t="str">
            <v xml:space="preserve">APR FRT FNDR RR RH/LH </v>
          </cell>
        </row>
        <row r="17">
          <cell r="P17" t="str">
            <v>R16F050</v>
          </cell>
          <cell r="Q17" t="str">
            <v>A_</v>
          </cell>
          <cell r="R17" t="e">
            <v>#N/A</v>
          </cell>
          <cell r="S17" t="e">
            <v>#N/A</v>
          </cell>
          <cell r="T17" t="e">
            <v>#N/A</v>
          </cell>
          <cell r="U17" t="str">
            <v>APR FRT FNDR RR FRT RH</v>
          </cell>
        </row>
        <row r="18">
          <cell r="P18" t="str">
            <v>R16F006</v>
          </cell>
          <cell r="Q18" t="str">
            <v>A_</v>
          </cell>
          <cell r="R18">
            <v>1.81</v>
          </cell>
          <cell r="S18" t="e">
            <v>#N/A</v>
          </cell>
          <cell r="T18" t="e">
            <v>#N/A</v>
          </cell>
          <cell r="U18" t="str">
            <v>Apr Asy RH/LH</v>
          </cell>
        </row>
        <row r="19">
          <cell r="P19" t="str">
            <v>R16F048</v>
          </cell>
          <cell r="Q19" t="str">
            <v>A_</v>
          </cell>
          <cell r="R19" t="e">
            <v>#N/A</v>
          </cell>
          <cell r="S19" t="e">
            <v>#N/A</v>
          </cell>
          <cell r="T19" t="e">
            <v>#N/A</v>
          </cell>
          <cell r="U19" t="str">
            <v>APR FRT FNDR RR MID LH</v>
          </cell>
        </row>
        <row r="20">
          <cell r="P20" t="str">
            <v>W520720</v>
          </cell>
          <cell r="Q20" t="str">
            <v>S300</v>
          </cell>
          <cell r="R20">
            <v>1.4312226250000002E-2</v>
          </cell>
          <cell r="S20" t="e">
            <v>#N/A</v>
          </cell>
          <cell r="T20" t="e">
            <v>#N/A</v>
          </cell>
          <cell r="U20" t="str">
            <v>Nut Weld M6 Hex Flng 8</v>
          </cell>
        </row>
        <row r="21">
          <cell r="P21" t="str">
            <v>R16F049</v>
          </cell>
          <cell r="Q21" t="str">
            <v>A_</v>
          </cell>
          <cell r="R21" t="e">
            <v>#N/A</v>
          </cell>
          <cell r="S21" t="e">
            <v>#N/A</v>
          </cell>
          <cell r="T21" t="e">
            <v>#N/A</v>
          </cell>
          <cell r="U21" t="str">
            <v>APR FRT FNDR RR MID LH</v>
          </cell>
        </row>
        <row r="22">
          <cell r="P22" t="str">
            <v>W520720</v>
          </cell>
          <cell r="Q22" t="str">
            <v>S300</v>
          </cell>
          <cell r="R22">
            <v>1.4312226250000002E-2</v>
          </cell>
          <cell r="S22" t="e">
            <v>#N/A</v>
          </cell>
          <cell r="T22" t="e">
            <v>#N/A</v>
          </cell>
          <cell r="U22" t="str">
            <v>Nut Weld M6 Hex Flng 8</v>
          </cell>
        </row>
        <row r="23">
          <cell r="P23" t="str">
            <v>R3438</v>
          </cell>
          <cell r="Q23" t="str">
            <v>A_</v>
          </cell>
          <cell r="R23">
            <v>2.92</v>
          </cell>
          <cell r="S23" t="str">
            <v>YES</v>
          </cell>
          <cell r="T23">
            <v>2.5502183406113534</v>
          </cell>
          <cell r="U23" t="str">
            <v>HSG FRT SUSP MNTG RH/LH</v>
          </cell>
        </row>
        <row r="24">
          <cell r="P24" t="str">
            <v>R8C087</v>
          </cell>
          <cell r="Q24" t="str">
            <v>A_</v>
          </cell>
          <cell r="R24">
            <v>7.0000000000000007E-2</v>
          </cell>
          <cell r="S24" t="str">
            <v>YES</v>
          </cell>
          <cell r="T24">
            <v>6.1135371179039305E-2</v>
          </cell>
          <cell r="U24" t="str">
            <v>BRKT RAD COOL RESVR</v>
          </cell>
        </row>
        <row r="25">
          <cell r="P25" t="str">
            <v>R8C091</v>
          </cell>
          <cell r="Q25" t="str">
            <v>A_</v>
          </cell>
          <cell r="R25" t="e">
            <v>#N/A</v>
          </cell>
          <cell r="S25" t="str">
            <v>YES</v>
          </cell>
          <cell r="T25">
            <v>5.3393337274270133E-2</v>
          </cell>
          <cell r="U25" t="str">
            <v>BRKT RAD SUPT EXT TO APR</v>
          </cell>
        </row>
        <row r="26">
          <cell r="P26" t="str">
            <v>R3A153</v>
          </cell>
          <cell r="Q26" t="str">
            <v>A_</v>
          </cell>
          <cell r="R26">
            <v>0.23499999999999999</v>
          </cell>
          <cell r="S26" t="str">
            <v>YES</v>
          </cell>
          <cell r="T26">
            <v>0.20524017467248906</v>
          </cell>
          <cell r="U26" t="str">
            <v>REINF FRT SUSP HSG</v>
          </cell>
        </row>
        <row r="27">
          <cell r="P27" t="str">
            <v>R16A168</v>
          </cell>
          <cell r="Q27" t="str">
            <v>A_</v>
          </cell>
          <cell r="R27">
            <v>1E-3</v>
          </cell>
          <cell r="S27" t="e">
            <v>#N/A</v>
          </cell>
          <cell r="T27" t="e">
            <v>#N/A</v>
          </cell>
          <cell r="U27" t="str">
            <v>EXT ASY FRT FNDR FRT</v>
          </cell>
        </row>
        <row r="28">
          <cell r="P28" t="str">
            <v>R16184</v>
          </cell>
          <cell r="Q28" t="str">
            <v>A_</v>
          </cell>
          <cell r="R28">
            <v>1.43</v>
          </cell>
          <cell r="S28" t="str">
            <v>YES</v>
          </cell>
          <cell r="T28">
            <v>1.2489082969432315</v>
          </cell>
          <cell r="U28" t="str">
            <v>EXT FRT FNDR APR RH/LH</v>
          </cell>
        </row>
        <row r="29">
          <cell r="P29" t="str">
            <v>R16184</v>
          </cell>
          <cell r="Q29" t="str">
            <v>A_</v>
          </cell>
          <cell r="R29">
            <v>1.43</v>
          </cell>
          <cell r="S29" t="str">
            <v>YES</v>
          </cell>
          <cell r="T29">
            <v>1.2489082969432315</v>
          </cell>
          <cell r="U29" t="str">
            <v>EXT FRT FNDR APR RH/LH</v>
          </cell>
        </row>
        <row r="30">
          <cell r="P30" t="str">
            <v>W520720</v>
          </cell>
          <cell r="Q30" t="str">
            <v>S300</v>
          </cell>
          <cell r="R30">
            <v>1.4312226250000002E-2</v>
          </cell>
          <cell r="S30" t="e">
            <v>#N/A</v>
          </cell>
          <cell r="T30" t="e">
            <v>#N/A</v>
          </cell>
          <cell r="U30" t="str">
            <v>Nut Weld M6 Hex Flng 8</v>
          </cell>
        </row>
        <row r="31">
          <cell r="P31" t="str">
            <v>R16D230</v>
          </cell>
          <cell r="Q31" t="str">
            <v>A_</v>
          </cell>
          <cell r="R31">
            <v>0</v>
          </cell>
          <cell r="S31" t="e">
            <v>#N/A</v>
          </cell>
          <cell r="T31" t="e">
            <v>#N/A</v>
          </cell>
          <cell r="U31" t="str">
            <v>BRA ASY FRT FNDR EXT LWR RH/LH</v>
          </cell>
        </row>
        <row r="32">
          <cell r="P32" t="str">
            <v>R16D154</v>
          </cell>
          <cell r="Q32" t="str">
            <v>A_</v>
          </cell>
          <cell r="R32">
            <v>0.53</v>
          </cell>
          <cell r="S32" t="str">
            <v>YES</v>
          </cell>
          <cell r="T32">
            <v>0.83930131004366804</v>
          </cell>
          <cell r="U32" t="str">
            <v>BRA FRT FNDR APR UPR MBR RH/LH</v>
          </cell>
        </row>
        <row r="33">
          <cell r="P33" t="str">
            <v>W520721</v>
          </cell>
          <cell r="Q33" t="str">
            <v>S300</v>
          </cell>
          <cell r="R33">
            <v>1.8044854856000003E-2</v>
          </cell>
          <cell r="S33" t="e">
            <v>#N/A</v>
          </cell>
          <cell r="T33" t="e">
            <v>#N/A</v>
          </cell>
          <cell r="U33" t="str">
            <v xml:space="preserve">Nut Weld M8 Hex Flng </v>
          </cell>
        </row>
        <row r="34">
          <cell r="P34" t="str">
            <v>R16D154</v>
          </cell>
          <cell r="Q34" t="str">
            <v>A_</v>
          </cell>
          <cell r="R34">
            <v>0.53</v>
          </cell>
          <cell r="S34" t="str">
            <v>YES</v>
          </cell>
          <cell r="T34">
            <v>0.83930131004366804</v>
          </cell>
          <cell r="U34" t="str">
            <v>BRA FRT FNDR APR UPR MBR RH/LH</v>
          </cell>
        </row>
        <row r="35">
          <cell r="P35" t="str">
            <v>R14A301</v>
          </cell>
          <cell r="Q35" t="str">
            <v>A_</v>
          </cell>
          <cell r="R35" t="e">
            <v>#N/A</v>
          </cell>
          <cell r="S35" t="str">
            <v>YES</v>
          </cell>
          <cell r="T35">
            <v>0.17467248908296945</v>
          </cell>
          <cell r="U35" t="str">
            <v>BRKT RLY MTNG</v>
          </cell>
        </row>
        <row r="36">
          <cell r="P36" t="str">
            <v>R16F032</v>
          </cell>
          <cell r="Q36" t="str">
            <v>A</v>
          </cell>
          <cell r="R36" t="e">
            <v>#N/A</v>
          </cell>
          <cell r="S36" t="str">
            <v>YES</v>
          </cell>
          <cell r="T36">
            <v>0.91531435327320221</v>
          </cell>
          <cell r="U36" t="str">
            <v>ABS APR FRT FNDR</v>
          </cell>
        </row>
        <row r="37">
          <cell r="P37" t="str">
            <v>R10462</v>
          </cell>
          <cell r="Q37" t="str">
            <v>A_</v>
          </cell>
          <cell r="R37" t="e">
            <v>#N/A</v>
          </cell>
          <cell r="S37" t="str">
            <v>YES</v>
          </cell>
          <cell r="T37">
            <v>31.962484589393888</v>
          </cell>
          <cell r="U37" t="str">
            <v>MBR ASY FRT SD RH</v>
          </cell>
        </row>
        <row r="38">
          <cell r="P38" t="str">
            <v>R10578</v>
          </cell>
          <cell r="Q38" t="str">
            <v>A</v>
          </cell>
          <cell r="R38">
            <v>0.38</v>
          </cell>
          <cell r="S38" t="e">
            <v>#N/A</v>
          </cell>
          <cell r="T38" t="e">
            <v>#N/A</v>
          </cell>
          <cell r="U38" t="str">
            <v>FRT TIE DOWN RH</v>
          </cell>
        </row>
        <row r="39">
          <cell r="P39" t="str">
            <v>R10524</v>
          </cell>
          <cell r="Q39" t="str">
            <v>A_</v>
          </cell>
          <cell r="R39">
            <v>8.0299999999999994</v>
          </cell>
          <cell r="S39" t="e">
            <v>#N/A</v>
          </cell>
          <cell r="T39" t="e">
            <v>#N/A</v>
          </cell>
          <cell r="U39" t="str">
            <v>MBR FLR SD INR FRT RH/LH</v>
          </cell>
        </row>
        <row r="40">
          <cell r="P40" t="str">
            <v>F10524</v>
          </cell>
          <cell r="Q40" t="str">
            <v>A_</v>
          </cell>
          <cell r="R40">
            <v>11.78</v>
          </cell>
          <cell r="S40" t="e">
            <v>#N/A</v>
          </cell>
          <cell r="T40" t="e">
            <v>#N/A</v>
          </cell>
          <cell r="U40" t="str">
            <v>MBR FLR SD INR FRT RH/LH</v>
          </cell>
        </row>
        <row r="41">
          <cell r="P41" t="str">
            <v>W704473</v>
          </cell>
          <cell r="Q41" t="str">
            <v>S300</v>
          </cell>
          <cell r="R41">
            <v>8.7999999999999995E-2</v>
          </cell>
          <cell r="S41" t="e">
            <v>#N/A</v>
          </cell>
          <cell r="T41" t="e">
            <v>#N/A</v>
          </cell>
          <cell r="U41" t="str">
            <v>Weld Bolt M10x25</v>
          </cell>
        </row>
        <row r="42">
          <cell r="P42" t="str">
            <v>W520721</v>
          </cell>
          <cell r="Q42" t="str">
            <v>S300</v>
          </cell>
          <cell r="R42">
            <v>1.8044854856000003E-2</v>
          </cell>
          <cell r="S42" t="e">
            <v>#N/A</v>
          </cell>
          <cell r="T42" t="e">
            <v>#N/A</v>
          </cell>
          <cell r="U42" t="str">
            <v>Nut Weld M8 Hex Flng</v>
          </cell>
        </row>
        <row r="43">
          <cell r="P43" t="str">
            <v>R101A88</v>
          </cell>
          <cell r="Q43" t="str">
            <v>A_</v>
          </cell>
          <cell r="R43">
            <v>4.1399999999999997</v>
          </cell>
          <cell r="S43" t="e">
            <v>#N/A</v>
          </cell>
          <cell r="T43" t="e">
            <v>#N/A</v>
          </cell>
          <cell r="U43" t="str">
            <v>FILL FLR SD MBR FRT RH/LH</v>
          </cell>
        </row>
        <row r="44">
          <cell r="P44" t="str">
            <v>F101A88</v>
          </cell>
          <cell r="Q44" t="str">
            <v>A_</v>
          </cell>
          <cell r="R44">
            <v>10.130000000000001</v>
          </cell>
          <cell r="S44" t="e">
            <v>#N/A</v>
          </cell>
          <cell r="T44" t="e">
            <v>#N/A</v>
          </cell>
          <cell r="U44" t="str">
            <v>FILL FLR SD MBR FRT RH/LH</v>
          </cell>
        </row>
        <row r="46">
          <cell r="P46" t="str">
            <v>R10762</v>
          </cell>
          <cell r="Q46" t="str">
            <v>A_</v>
          </cell>
          <cell r="R46">
            <v>0.82</v>
          </cell>
          <cell r="S46" t="str">
            <v>YES</v>
          </cell>
          <cell r="T46">
            <v>0.71615720524017457</v>
          </cell>
          <cell r="U46" t="str">
            <v>J48 Supt Battery Tray</v>
          </cell>
        </row>
        <row r="47">
          <cell r="P47" t="str">
            <v>R10762</v>
          </cell>
          <cell r="Q47" t="str">
            <v>A_</v>
          </cell>
          <cell r="R47">
            <v>0.82</v>
          </cell>
          <cell r="S47" t="str">
            <v>YES</v>
          </cell>
          <cell r="T47">
            <v>0.71615720524017457</v>
          </cell>
          <cell r="U47" t="str">
            <v>Supt Battery Tray</v>
          </cell>
        </row>
        <row r="48">
          <cell r="P48" t="str">
            <v>R101D36</v>
          </cell>
          <cell r="Q48" t="str">
            <v>A_</v>
          </cell>
          <cell r="R48">
            <v>2.11</v>
          </cell>
          <cell r="S48" t="e">
            <v>#N/A</v>
          </cell>
          <cell r="T48" t="e">
            <v>#N/A</v>
          </cell>
          <cell r="U48" t="str">
            <v>REINF ASY FRT S/M END PLT LH</v>
          </cell>
        </row>
        <row r="49">
          <cell r="P49" t="str">
            <v>R100A50</v>
          </cell>
          <cell r="Q49" t="str">
            <v>A_</v>
          </cell>
          <cell r="R49">
            <v>1.4</v>
          </cell>
          <cell r="S49" t="e">
            <v>#N/A</v>
          </cell>
          <cell r="T49" t="e">
            <v>#N/A</v>
          </cell>
          <cell r="U49" t="str">
            <v>REINF FRT S/M END PLT RH/LH</v>
          </cell>
        </row>
        <row r="50">
          <cell r="P50" t="str">
            <v>W703879</v>
          </cell>
          <cell r="Q50" t="str">
            <v>S300</v>
          </cell>
          <cell r="R50">
            <v>2.3311754116000002E-2</v>
          </cell>
          <cell r="S50" t="e">
            <v>#N/A</v>
          </cell>
          <cell r="T50" t="e">
            <v>#N/A</v>
          </cell>
          <cell r="U50" t="str">
            <v>Bolt Weld M8x20 Spl. Pil . 8</v>
          </cell>
        </row>
        <row r="52">
          <cell r="P52" t="str">
            <v>R6K033</v>
          </cell>
          <cell r="Q52" t="str">
            <v>A_</v>
          </cell>
          <cell r="R52">
            <v>3.57</v>
          </cell>
          <cell r="S52" t="e">
            <v>#N/A</v>
          </cell>
          <cell r="T52" t="e">
            <v>#N/A</v>
          </cell>
          <cell r="U52" t="str">
            <v>REINF ASY ENG FRT MTNG RH</v>
          </cell>
        </row>
        <row r="53">
          <cell r="P53" t="str">
            <v>R6B007</v>
          </cell>
          <cell r="Q53" t="str">
            <v>A_</v>
          </cell>
          <cell r="R53" t="e">
            <v>#N/A</v>
          </cell>
          <cell r="S53" t="e">
            <v>#N/A</v>
          </cell>
          <cell r="T53" t="e">
            <v>#N/A</v>
          </cell>
          <cell r="U53" t="str">
            <v>REINF ENG FRT MTNG SUPT RH</v>
          </cell>
        </row>
        <row r="54">
          <cell r="P54" t="str">
            <v>R5C364</v>
          </cell>
          <cell r="Q54" t="str">
            <v>C_</v>
          </cell>
          <cell r="R54">
            <v>0.93500000000000005</v>
          </cell>
          <cell r="S54" t="e">
            <v>#N/A</v>
          </cell>
          <cell r="T54" t="e">
            <v>#N/A</v>
          </cell>
          <cell r="U54" t="str">
            <v>Thread Tube M12</v>
          </cell>
        </row>
        <row r="55">
          <cell r="P55" t="str">
            <v>R6E042</v>
          </cell>
          <cell r="Q55" t="str">
            <v>A_</v>
          </cell>
          <cell r="R55">
            <v>0.92</v>
          </cell>
          <cell r="S55" t="e">
            <v>#N/A</v>
          </cell>
          <cell r="T55" t="e">
            <v>#N/A</v>
          </cell>
          <cell r="U55" t="str">
            <v>BRKT ASY ENG MTNG RR LH</v>
          </cell>
        </row>
        <row r="56">
          <cell r="P56" t="str">
            <v>R6B084</v>
          </cell>
          <cell r="Q56" t="str">
            <v>A_</v>
          </cell>
          <cell r="R56" t="e">
            <v>#N/A</v>
          </cell>
          <cell r="S56" t="e">
            <v>#N/A</v>
          </cell>
          <cell r="T56" t="e">
            <v>#N/A</v>
          </cell>
          <cell r="U56" t="str">
            <v>BRKT ENG MTNG RR LH</v>
          </cell>
        </row>
        <row r="57">
          <cell r="P57" t="str">
            <v>W704473</v>
          </cell>
          <cell r="Q57" t="str">
            <v>S300</v>
          </cell>
          <cell r="R57">
            <v>8.7999999999999995E-2</v>
          </cell>
          <cell r="S57" t="e">
            <v>#N/A</v>
          </cell>
          <cell r="T57" t="e">
            <v>#N/A</v>
          </cell>
          <cell r="U57" t="str">
            <v>Weld Bolt M10x25</v>
          </cell>
        </row>
        <row r="58">
          <cell r="P58" t="str">
            <v>R6A095</v>
          </cell>
          <cell r="Q58" t="str">
            <v>A_</v>
          </cell>
          <cell r="R58" t="e">
            <v>#N/A</v>
          </cell>
          <cell r="S58" t="e">
            <v>#N/A</v>
          </cell>
          <cell r="T58" t="e">
            <v>#N/A</v>
          </cell>
          <cell r="U58" t="str">
            <v>BRKT ASY ENG MTNG LH</v>
          </cell>
        </row>
        <row r="59">
          <cell r="P59" t="str">
            <v>R6061</v>
          </cell>
          <cell r="Q59" t="str">
            <v>A_</v>
          </cell>
          <cell r="R59" t="e">
            <v>#N/A</v>
          </cell>
          <cell r="S59" t="e">
            <v>#N/A</v>
          </cell>
          <cell r="T59" t="e">
            <v>#N/A</v>
          </cell>
          <cell r="U59" t="str">
            <v>BRKT ENG MTNG LH</v>
          </cell>
        </row>
        <row r="61">
          <cell r="P61" t="str">
            <v>W704473</v>
          </cell>
          <cell r="Q61" t="str">
            <v>S300</v>
          </cell>
          <cell r="R61">
            <v>8.7999999999999995E-2</v>
          </cell>
          <cell r="S61" t="e">
            <v>#N/A</v>
          </cell>
          <cell r="T61" t="e">
            <v>#N/A</v>
          </cell>
          <cell r="U61" t="str">
            <v>Weld Bolt M10x25</v>
          </cell>
        </row>
        <row r="62">
          <cell r="P62" t="str">
            <v>R10276</v>
          </cell>
          <cell r="Q62" t="str">
            <v>A_</v>
          </cell>
          <cell r="R62">
            <v>0.88</v>
          </cell>
          <cell r="S62" t="e">
            <v>#N/A</v>
          </cell>
          <cell r="T62" t="e">
            <v>#N/A</v>
          </cell>
          <cell r="U62" t="str">
            <v>REINF FRT S/M INR</v>
          </cell>
        </row>
        <row r="63">
          <cell r="P63" t="str">
            <v>2L455</v>
          </cell>
          <cell r="Q63" t="str">
            <v>B_</v>
          </cell>
          <cell r="R63">
            <v>1E-3</v>
          </cell>
          <cell r="S63" t="e">
            <v>#N/A</v>
          </cell>
          <cell r="T63" t="e">
            <v>#N/A</v>
          </cell>
          <cell r="U63" t="str">
            <v>BRKT BRK LN FRT</v>
          </cell>
        </row>
        <row r="64">
          <cell r="P64" t="str">
            <v>R102K31</v>
          </cell>
          <cell r="Q64" t="str">
            <v>A_</v>
          </cell>
          <cell r="R64">
            <v>0.53</v>
          </cell>
          <cell r="S64" t="e">
            <v>#N/A</v>
          </cell>
          <cell r="T64" t="e">
            <v>#N/A</v>
          </cell>
          <cell r="U64" t="str">
            <v>REINF ASY FLR SD FRT MBR RH/LH</v>
          </cell>
        </row>
        <row r="65">
          <cell r="P65" t="str">
            <v>R10460</v>
          </cell>
          <cell r="Q65" t="str">
            <v>A_</v>
          </cell>
          <cell r="R65">
            <v>0.79</v>
          </cell>
          <cell r="S65" t="e">
            <v>#N/A</v>
          </cell>
          <cell r="T65" t="e">
            <v>#N/A</v>
          </cell>
          <cell r="U65" t="str">
            <v>REINF FLR SD MBR INR FRT RH/LH</v>
          </cell>
        </row>
        <row r="66">
          <cell r="P66" t="str">
            <v>R5C364</v>
          </cell>
          <cell r="Q66" t="str">
            <v>A_</v>
          </cell>
          <cell r="R66">
            <v>0.93500000000000005</v>
          </cell>
          <cell r="S66" t="e">
            <v>#N/A</v>
          </cell>
          <cell r="T66" t="e">
            <v>#N/A</v>
          </cell>
          <cell r="U66" t="str">
            <v>SPCR - SUBFR MTNG M12</v>
          </cell>
        </row>
        <row r="68">
          <cell r="P68" t="str">
            <v>R106A60</v>
          </cell>
          <cell r="Q68" t="str">
            <v>A_</v>
          </cell>
          <cell r="R68">
            <v>0.86</v>
          </cell>
          <cell r="S68" t="e">
            <v>#N/A</v>
          </cell>
          <cell r="T68" t="e">
            <v>#N/A</v>
          </cell>
          <cell r="U68" t="str">
            <v>GST FLR SD INR MBR FRT RH/LH</v>
          </cell>
        </row>
        <row r="69">
          <cell r="P69" t="str">
            <v>R103B62</v>
          </cell>
          <cell r="Q69" t="str">
            <v>A_</v>
          </cell>
          <cell r="R69">
            <v>1.1399999999999999</v>
          </cell>
          <cell r="S69" t="e">
            <v>#N/A</v>
          </cell>
          <cell r="T69" t="e">
            <v>#N/A</v>
          </cell>
          <cell r="U69" t="str">
            <v>REINF MBR FL SD OTR FRT RH/LH</v>
          </cell>
        </row>
        <row r="70">
          <cell r="P70" t="str">
            <v>R108A38</v>
          </cell>
          <cell r="Q70" t="str">
            <v>A_</v>
          </cell>
          <cell r="R70">
            <v>0.65</v>
          </cell>
          <cell r="S70" t="e">
            <v>#N/A</v>
          </cell>
          <cell r="T70" t="e">
            <v>#N/A</v>
          </cell>
          <cell r="U70" t="str">
            <v>REINF ASY FRT S/M at FR MTNG RR RH/LH</v>
          </cell>
        </row>
        <row r="71">
          <cell r="S71" t="e">
            <v>#N/A</v>
          </cell>
          <cell r="T71" t="e">
            <v>#N/A</v>
          </cell>
        </row>
        <row r="72">
          <cell r="P72" t="str">
            <v>R108A30</v>
          </cell>
          <cell r="Q72" t="str">
            <v>A_</v>
          </cell>
          <cell r="R72" t="e">
            <v>#N/A</v>
          </cell>
          <cell r="S72" t="e">
            <v>#N/A</v>
          </cell>
          <cell r="T72" t="e">
            <v>#N/A</v>
          </cell>
          <cell r="U72" t="str">
            <v>REINF FRT S/M at FR MTNG RR RH/LH</v>
          </cell>
        </row>
        <row r="73">
          <cell r="P73" t="str">
            <v>R5C364</v>
          </cell>
          <cell r="Q73" t="str">
            <v>B_</v>
          </cell>
          <cell r="R73">
            <v>0.93500000000000005</v>
          </cell>
          <cell r="S73" t="e">
            <v>#N/A</v>
          </cell>
          <cell r="T73" t="e">
            <v>#N/A</v>
          </cell>
          <cell r="U73" t="str">
            <v>SPCR - SUB FR MTNG M16</v>
          </cell>
        </row>
        <row r="74">
          <cell r="P74" t="str">
            <v>W520722</v>
          </cell>
          <cell r="Q74" t="str">
            <v>S300</v>
          </cell>
          <cell r="R74">
            <v>3.1429648845000005E-2</v>
          </cell>
          <cell r="S74" t="e">
            <v>#N/A</v>
          </cell>
          <cell r="T74" t="e">
            <v>#N/A</v>
          </cell>
          <cell r="U74" t="str">
            <v>Nut Weld M10 Hex Flng</v>
          </cell>
        </row>
        <row r="75">
          <cell r="P75" t="str">
            <v>W520721</v>
          </cell>
          <cell r="Q75" t="str">
            <v>S300</v>
          </cell>
          <cell r="R75">
            <v>1.8044854856000003E-2</v>
          </cell>
          <cell r="S75" t="e">
            <v>#N/A</v>
          </cell>
          <cell r="T75" t="e">
            <v>#N/A</v>
          </cell>
          <cell r="U75" t="str">
            <v>Nut Weld M8 Hex Flng</v>
          </cell>
        </row>
        <row r="76">
          <cell r="P76" t="str">
            <v>R101A02</v>
          </cell>
          <cell r="Q76" t="str">
            <v>A_</v>
          </cell>
          <cell r="R76">
            <v>1.45</v>
          </cell>
          <cell r="S76" t="e">
            <v>#N/A</v>
          </cell>
          <cell r="T76" t="e">
            <v>#N/A</v>
          </cell>
          <cell r="U76" t="str">
            <v>REINF FRT S/M RH/LH</v>
          </cell>
        </row>
        <row r="77">
          <cell r="P77" t="str">
            <v>R044A52</v>
          </cell>
          <cell r="Q77" t="str">
            <v>A_</v>
          </cell>
          <cell r="R77" t="e">
            <v>#N/A</v>
          </cell>
          <cell r="S77" t="e">
            <v>#N/A</v>
          </cell>
          <cell r="T77" t="e">
            <v>#N/A</v>
          </cell>
          <cell r="U77" t="str">
            <v>BRKT ASY I/PNL MTNG RH/LH</v>
          </cell>
        </row>
        <row r="78">
          <cell r="P78" t="str">
            <v>R044B50</v>
          </cell>
          <cell r="Q78" t="str">
            <v>A_</v>
          </cell>
          <cell r="R78" t="e">
            <v>#N/A</v>
          </cell>
          <cell r="S78" t="e">
            <v>#N/A</v>
          </cell>
          <cell r="T78" t="e">
            <v>#N/A</v>
          </cell>
          <cell r="U78" t="str">
            <v>BRKT I/PNL MTNG RH/LH</v>
          </cell>
        </row>
        <row r="79">
          <cell r="P79" t="str">
            <v>W520722</v>
          </cell>
          <cell r="Q79" t="str">
            <v>S300</v>
          </cell>
          <cell r="R79">
            <v>3.1429648845000005E-2</v>
          </cell>
          <cell r="S79" t="e">
            <v>#N/A</v>
          </cell>
          <cell r="T79" t="e">
            <v>#N/A</v>
          </cell>
          <cell r="U79" t="str">
            <v>Nut Weld M10 Hex Flng</v>
          </cell>
        </row>
        <row r="80">
          <cell r="P80" t="str">
            <v>R10658</v>
          </cell>
          <cell r="Q80" t="str">
            <v>A_</v>
          </cell>
          <cell r="R80">
            <v>1.84</v>
          </cell>
          <cell r="S80" t="e">
            <v>#N/A</v>
          </cell>
          <cell r="T80" t="e">
            <v>#N/A</v>
          </cell>
          <cell r="U80" t="str">
            <v>BRKT ASY DH C/M UPR</v>
          </cell>
        </row>
        <row r="81">
          <cell r="P81" t="str">
            <v>F10658</v>
          </cell>
          <cell r="Q81" t="str">
            <v>A_</v>
          </cell>
          <cell r="R81">
            <v>2.04</v>
          </cell>
          <cell r="S81" t="e">
            <v>#N/A</v>
          </cell>
          <cell r="T81" t="e">
            <v>#N/A</v>
          </cell>
          <cell r="U81" t="str">
            <v>BRKT ASY DH C/M UPR</v>
          </cell>
        </row>
        <row r="82">
          <cell r="P82" t="str">
            <v>R111C88</v>
          </cell>
          <cell r="Q82" t="str">
            <v>A_</v>
          </cell>
          <cell r="R82" t="e">
            <v>#N/A</v>
          </cell>
          <cell r="S82" t="e">
            <v>#N/A</v>
          </cell>
          <cell r="T82" t="e">
            <v>#N/A</v>
          </cell>
          <cell r="U82" t="str">
            <v>BRKT FLR S/M FRT TO C/M RH/LH</v>
          </cell>
        </row>
        <row r="83">
          <cell r="P83" t="str">
            <v>F111C88</v>
          </cell>
          <cell r="Q83" t="str">
            <v>A_</v>
          </cell>
          <cell r="R83" t="e">
            <v>#N/A</v>
          </cell>
          <cell r="S83" t="e">
            <v>#N/A</v>
          </cell>
          <cell r="T83" t="e">
            <v>#N/A</v>
          </cell>
          <cell r="U83" t="str">
            <v>BRKT FLR S/M FRT TO C/M RH/LH</v>
          </cell>
        </row>
        <row r="84">
          <cell r="P84" t="str">
            <v>W705212</v>
          </cell>
          <cell r="Q84" t="str">
            <v>S300</v>
          </cell>
          <cell r="R84">
            <v>1.8731841716000001E-2</v>
          </cell>
          <cell r="S84" t="e">
            <v>#N/A</v>
          </cell>
          <cell r="T84" t="e">
            <v>#N/A</v>
          </cell>
          <cell r="U84" t="str">
            <v>Bolt Weld M6x15 Pil 8</v>
          </cell>
        </row>
        <row r="85">
          <cell r="P85" t="str">
            <v>W520720</v>
          </cell>
          <cell r="Q85" t="str">
            <v>S300</v>
          </cell>
          <cell r="R85">
            <v>1.4312226250000002E-2</v>
          </cell>
          <cell r="S85" t="e">
            <v>#N/A</v>
          </cell>
          <cell r="T85" t="e">
            <v>#N/A</v>
          </cell>
          <cell r="U85" t="str">
            <v>Nut Weld M6 Hex Flng 8</v>
          </cell>
        </row>
        <row r="86">
          <cell r="P86" t="str">
            <v>W520720</v>
          </cell>
          <cell r="Q86" t="str">
            <v>S300</v>
          </cell>
          <cell r="R86">
            <v>1.4312226250000002E-2</v>
          </cell>
          <cell r="S86" t="e">
            <v>#N/A</v>
          </cell>
          <cell r="T86" t="e">
            <v>#N/A</v>
          </cell>
          <cell r="U86" t="str">
            <v>Nut Weld M6 Hex Flng 8</v>
          </cell>
        </row>
        <row r="87">
          <cell r="P87" t="str">
            <v>W520720</v>
          </cell>
          <cell r="Q87" t="str">
            <v>S300</v>
          </cell>
          <cell r="R87">
            <v>1.4312226250000002E-2</v>
          </cell>
          <cell r="S87" t="e">
            <v>#N/A</v>
          </cell>
          <cell r="T87" t="e">
            <v>#N/A</v>
          </cell>
          <cell r="U87" t="str">
            <v>Nut Weld M6 Hex Flng 8</v>
          </cell>
        </row>
        <row r="88">
          <cell r="P88" t="str">
            <v>W520720</v>
          </cell>
          <cell r="Q88" t="str">
            <v>S300</v>
          </cell>
          <cell r="R88">
            <v>1.4312226250000002E-2</v>
          </cell>
          <cell r="S88" t="e">
            <v>#N/A</v>
          </cell>
          <cell r="T88" t="e">
            <v>#N/A</v>
          </cell>
          <cell r="U88" t="str">
            <v>Nut Weld M6 Hex Flng 8</v>
          </cell>
        </row>
        <row r="89">
          <cell r="P89" t="str">
            <v>W520720</v>
          </cell>
          <cell r="Q89" t="str">
            <v>S300</v>
          </cell>
          <cell r="R89">
            <v>1.4312226250000002E-2</v>
          </cell>
          <cell r="S89" t="e">
            <v>#N/A</v>
          </cell>
          <cell r="T89" t="e">
            <v>#N/A</v>
          </cell>
          <cell r="U89" t="str">
            <v>Nut Weld M6 Hex Flng 8</v>
          </cell>
        </row>
        <row r="90">
          <cell r="P90" t="str">
            <v>W703685</v>
          </cell>
          <cell r="Q90" t="str">
            <v>S300</v>
          </cell>
          <cell r="R90">
            <v>3.6330155113000008E-2</v>
          </cell>
          <cell r="S90" t="e">
            <v>#N/A</v>
          </cell>
          <cell r="T90" t="e">
            <v>#N/A</v>
          </cell>
          <cell r="U90" t="str">
            <v>Bolt M8 x 30 Wld Pil</v>
          </cell>
        </row>
        <row r="91">
          <cell r="P91" t="str">
            <v>R10062</v>
          </cell>
          <cell r="Q91" t="str">
            <v>A_</v>
          </cell>
          <cell r="R91">
            <v>1.48</v>
          </cell>
          <cell r="S91" t="e">
            <v>#N/A</v>
          </cell>
          <cell r="T91" t="e">
            <v>#N/A</v>
          </cell>
          <cell r="U91" t="str">
            <v>EXT FRT S/M RH/LH</v>
          </cell>
        </row>
        <row r="92">
          <cell r="P92" t="str">
            <v>W700121</v>
          </cell>
          <cell r="Q92" t="str">
            <v>S403</v>
          </cell>
          <cell r="R92">
            <v>5.0000000000000001E-3</v>
          </cell>
          <cell r="S92" t="e">
            <v>#N/A</v>
          </cell>
          <cell r="T92" t="e">
            <v>#N/A</v>
          </cell>
          <cell r="U92" t="str">
            <v>Stud 5x14.2 Wld Spl Thd</v>
          </cell>
        </row>
        <row r="93">
          <cell r="P93" t="str">
            <v>R107A64</v>
          </cell>
          <cell r="Q93" t="str">
            <v>A_</v>
          </cell>
          <cell r="R93">
            <v>1.4</v>
          </cell>
          <cell r="S93" t="e">
            <v>#N/A</v>
          </cell>
          <cell r="T93" t="e">
            <v>#N/A</v>
          </cell>
          <cell r="U93" t="str">
            <v>MBR FRT FLR CS RH/LH</v>
          </cell>
        </row>
        <row r="94">
          <cell r="P94" t="str">
            <v>A10806</v>
          </cell>
          <cell r="Q94" t="str">
            <v>A_</v>
          </cell>
          <cell r="R94">
            <v>0.21</v>
          </cell>
          <cell r="S94" t="e">
            <v>#N/A</v>
          </cell>
          <cell r="T94" t="e">
            <v>#N/A</v>
          </cell>
          <cell r="U94" t="str">
            <v>REINF FLR SD MBR TIE DOWN</v>
          </cell>
        </row>
        <row r="95">
          <cell r="P95" t="str">
            <v>R01612</v>
          </cell>
          <cell r="Q95" t="str">
            <v>A_</v>
          </cell>
          <cell r="R95">
            <v>0.85</v>
          </cell>
          <cell r="S95" t="e">
            <v>#N/A</v>
          </cell>
          <cell r="T95" t="e">
            <v>#N/A</v>
          </cell>
          <cell r="U95" t="str">
            <v>PNL DH SD RH/LH</v>
          </cell>
        </row>
        <row r="97">
          <cell r="P97" t="str">
            <v>R107A22</v>
          </cell>
          <cell r="Q97" t="str">
            <v>A_</v>
          </cell>
          <cell r="R97">
            <v>1E-3</v>
          </cell>
          <cell r="S97" t="str">
            <v>YES</v>
          </cell>
          <cell r="T97">
            <v>12.722636749288208</v>
          </cell>
          <cell r="U97" t="str">
            <v>MBR ASY FRT CS AT DH</v>
          </cell>
        </row>
        <row r="98">
          <cell r="S98" t="e">
            <v>#N/A</v>
          </cell>
          <cell r="T98" t="e">
            <v>#N/A</v>
          </cell>
        </row>
        <row r="99">
          <cell r="P99" t="str">
            <v>R10414</v>
          </cell>
          <cell r="Q99" t="str">
            <v>A_</v>
          </cell>
          <cell r="R99">
            <v>1.87</v>
          </cell>
          <cell r="S99" t="e">
            <v>#N/A</v>
          </cell>
          <cell r="T99" t="e">
            <v>#N/A</v>
          </cell>
          <cell r="U99" t="str">
            <v>MBR FRT CRS AT DH</v>
          </cell>
        </row>
        <row r="100">
          <cell r="P100" t="str">
            <v>F10414</v>
          </cell>
          <cell r="Q100" t="str">
            <v>A_</v>
          </cell>
          <cell r="R100">
            <v>2.4500000000000002</v>
          </cell>
          <cell r="S100" t="e">
            <v>#N/A</v>
          </cell>
          <cell r="T100" t="e">
            <v>#N/A</v>
          </cell>
          <cell r="U100" t="str">
            <v>MBR FRT CRS AT DH</v>
          </cell>
        </row>
        <row r="102">
          <cell r="P102" t="str">
            <v>W520720</v>
          </cell>
          <cell r="Q102" t="str">
            <v>S300</v>
          </cell>
          <cell r="R102">
            <v>1.4312226250000002E-2</v>
          </cell>
          <cell r="S102" t="e">
            <v>#N/A</v>
          </cell>
          <cell r="T102" t="e">
            <v>#N/A</v>
          </cell>
          <cell r="U102" t="str">
            <v>Nut Weld M6 Hex Flng 8</v>
          </cell>
        </row>
        <row r="103">
          <cell r="P103" t="str">
            <v>W705212</v>
          </cell>
          <cell r="Q103" t="str">
            <v>S300</v>
          </cell>
          <cell r="R103">
            <v>1.8731841716000001E-2</v>
          </cell>
          <cell r="S103" t="e">
            <v>#N/A</v>
          </cell>
          <cell r="T103" t="e">
            <v>#N/A</v>
          </cell>
          <cell r="U103" t="str">
            <v>Bolt Weld M6x15 Pil 8</v>
          </cell>
        </row>
        <row r="104">
          <cell r="P104" t="str">
            <v>W703685</v>
          </cell>
          <cell r="Q104" t="str">
            <v>S300</v>
          </cell>
          <cell r="R104">
            <v>3.6330155113000008E-2</v>
          </cell>
          <cell r="S104" t="e">
            <v>#N/A</v>
          </cell>
          <cell r="T104" t="e">
            <v>#N/A</v>
          </cell>
          <cell r="U104" t="str">
            <v>Bolt M8 x 30 Wld Pil</v>
          </cell>
        </row>
        <row r="105">
          <cell r="P105" t="str">
            <v>R7N630</v>
          </cell>
          <cell r="Q105" t="str">
            <v>A_</v>
          </cell>
          <cell r="R105">
            <v>0.11</v>
          </cell>
          <cell r="S105" t="e">
            <v>#N/A</v>
          </cell>
          <cell r="T105" t="e">
            <v>#N/A</v>
          </cell>
          <cell r="U105" t="str">
            <v>BRKT CLUTCH LINE</v>
          </cell>
        </row>
        <row r="107">
          <cell r="P107" t="str">
            <v>R42330</v>
          </cell>
          <cell r="Q107" t="str">
            <v>A_</v>
          </cell>
          <cell r="R107">
            <v>0.39500000000000002</v>
          </cell>
          <cell r="S107" t="str">
            <v>YES</v>
          </cell>
          <cell r="T107">
            <v>0.34497816593886466</v>
          </cell>
          <cell r="U107" t="str">
            <v>Reinf Plate Subfr Fixing (2WD)</v>
          </cell>
        </row>
        <row r="108">
          <cell r="P108" t="str">
            <v>R42330</v>
          </cell>
          <cell r="Q108" t="str">
            <v>B_</v>
          </cell>
          <cell r="R108">
            <v>0.39500000000000002</v>
          </cell>
          <cell r="S108" t="str">
            <v>YES</v>
          </cell>
          <cell r="T108">
            <v>0.34497816593886466</v>
          </cell>
          <cell r="U108" t="str">
            <v>Reinf Plate Subfr Fixing (4WD)</v>
          </cell>
        </row>
        <row r="109">
          <cell r="P109" t="str">
            <v>W500221</v>
          </cell>
          <cell r="Q109" t="str">
            <v>S301</v>
          </cell>
          <cell r="R109">
            <v>2.5000000000000001E-2</v>
          </cell>
          <cell r="S109" t="e">
            <v>#N/A</v>
          </cell>
          <cell r="T109" t="e">
            <v>#N/A</v>
          </cell>
          <cell r="U109" t="str">
            <v>Screw M8x14 Hex Flng Hd Plt 8</v>
          </cell>
        </row>
        <row r="110">
          <cell r="P110" t="str">
            <v>R10684</v>
          </cell>
          <cell r="Q110" t="str">
            <v>A_</v>
          </cell>
          <cell r="R110">
            <v>2.76</v>
          </cell>
          <cell r="S110" t="str">
            <v>YES</v>
          </cell>
          <cell r="T110">
            <v>2.410480349344978</v>
          </cell>
          <cell r="U110" t="str">
            <v>MBR FRT FLR CS (2WD)</v>
          </cell>
        </row>
        <row r="112">
          <cell r="P112" t="str">
            <v>R10684</v>
          </cell>
          <cell r="Q112" t="str">
            <v>B_</v>
          </cell>
          <cell r="R112">
            <v>2.76</v>
          </cell>
          <cell r="S112" t="str">
            <v>YES</v>
          </cell>
          <cell r="T112">
            <v>2.410480349344978</v>
          </cell>
          <cell r="U112" t="str">
            <v>MBR FRT FLR CS (4WD)</v>
          </cell>
        </row>
        <row r="114">
          <cell r="P114" t="str">
            <v>W500031</v>
          </cell>
          <cell r="Q114" t="str">
            <v>S309</v>
          </cell>
          <cell r="R114">
            <v>0.02</v>
          </cell>
          <cell r="S114" t="e">
            <v>#N/A</v>
          </cell>
          <cell r="T114" t="e">
            <v>#N/A</v>
          </cell>
          <cell r="U114" t="str">
            <v>Screw M10x16 Hex Flng PC 8.8</v>
          </cell>
        </row>
        <row r="115">
          <cell r="P115" t="str">
            <v>R6K034</v>
          </cell>
          <cell r="Q115" t="str">
            <v>A_</v>
          </cell>
          <cell r="R115">
            <v>2.04</v>
          </cell>
          <cell r="S115" t="str">
            <v>YES</v>
          </cell>
          <cell r="T115">
            <v>1.7903930131004364</v>
          </cell>
          <cell r="U115" t="str">
            <v>Reinf Asy Eng Frt Mnt LH (I4)</v>
          </cell>
        </row>
        <row r="116">
          <cell r="P116" t="str">
            <v>R6K034</v>
          </cell>
          <cell r="Q116" t="str">
            <v>B_</v>
          </cell>
          <cell r="R116">
            <v>2.04</v>
          </cell>
          <cell r="S116" t="str">
            <v>YES</v>
          </cell>
          <cell r="T116">
            <v>1.7903930131004364</v>
          </cell>
          <cell r="U116" t="str">
            <v>Reinf Asy Eng Frt Mnt LH (I5)</v>
          </cell>
        </row>
        <row r="117">
          <cell r="P117" t="str">
            <v>R6K034</v>
          </cell>
          <cell r="Q117" t="str">
            <v>C_</v>
          </cell>
          <cell r="R117">
            <v>2.04</v>
          </cell>
          <cell r="S117" t="str">
            <v>YES</v>
          </cell>
          <cell r="T117">
            <v>1.7903930131004364</v>
          </cell>
          <cell r="U117" t="str">
            <v>Reinf Asy Eng Frt Mnt LH (Mazda BZ)</v>
          </cell>
        </row>
        <row r="118">
          <cell r="P118" t="str">
            <v>R6A016</v>
          </cell>
          <cell r="Q118" t="str">
            <v>A_</v>
          </cell>
          <cell r="R118">
            <v>0</v>
          </cell>
          <cell r="S118" t="e">
            <v>#N/A</v>
          </cell>
          <cell r="T118" t="e">
            <v>#N/A</v>
          </cell>
          <cell r="U118" t="str">
            <v>Reinf Eng Frt Mnt LH (I4)</v>
          </cell>
        </row>
        <row r="119">
          <cell r="P119" t="str">
            <v>R6A016</v>
          </cell>
          <cell r="Q119" t="str">
            <v>B_</v>
          </cell>
          <cell r="R119">
            <v>0</v>
          </cell>
          <cell r="S119" t="e">
            <v>#N/A</v>
          </cell>
          <cell r="T119" t="e">
            <v>#N/A</v>
          </cell>
          <cell r="U119" t="str">
            <v>Reinf Eng Frt Mnt LH (I5)</v>
          </cell>
        </row>
        <row r="120">
          <cell r="P120" t="str">
            <v>R6A016</v>
          </cell>
          <cell r="Q120" t="str">
            <v>C_</v>
          </cell>
          <cell r="R120">
            <v>0</v>
          </cell>
          <cell r="S120" t="e">
            <v>#N/A</v>
          </cell>
          <cell r="T120" t="e">
            <v>#N/A</v>
          </cell>
          <cell r="U120" t="str">
            <v>Reinf Eng Frt Mnt LH (Mazda BZ)</v>
          </cell>
        </row>
        <row r="121">
          <cell r="P121" t="str">
            <v>W520721</v>
          </cell>
          <cell r="Q121" t="str">
            <v>S300</v>
          </cell>
          <cell r="R121">
            <v>1.8044854856000003E-2</v>
          </cell>
          <cell r="S121" t="e">
            <v>#N/A</v>
          </cell>
          <cell r="T121" t="e">
            <v>#N/A</v>
          </cell>
          <cell r="U121" t="str">
            <v>Nut Weld M8 Hex Flng</v>
          </cell>
        </row>
        <row r="122">
          <cell r="P122" t="str">
            <v>W500221</v>
          </cell>
          <cell r="Q122" t="str">
            <v>S301</v>
          </cell>
          <cell r="R122">
            <v>2.5000000000000001E-2</v>
          </cell>
          <cell r="S122" t="e">
            <v>#N/A</v>
          </cell>
          <cell r="T122" t="e">
            <v>#N/A</v>
          </cell>
          <cell r="U122" t="str">
            <v>Screw M8x14 Hex Flng Hd Plt 8</v>
          </cell>
        </row>
        <row r="123">
          <cell r="R123" t="str">
            <v>BUMPER BEAM ASSY &amp; FASTENERS &amp; TOW HOOK</v>
          </cell>
          <cell r="S123" t="e">
            <v>#N/A</v>
          </cell>
          <cell r="T123" t="e">
            <v>#N/A</v>
          </cell>
        </row>
        <row r="124">
          <cell r="R124" t="str">
            <v>BUMPER BEAM ASSY &amp; FASTENERS &amp; TOW HOOK</v>
          </cell>
          <cell r="S124" t="e">
            <v>#N/A</v>
          </cell>
          <cell r="T124" t="e">
            <v>#N/A</v>
          </cell>
        </row>
        <row r="125">
          <cell r="P125" t="str">
            <v>R10922</v>
          </cell>
          <cell r="Q125" t="str">
            <v>AB</v>
          </cell>
          <cell r="R125">
            <v>25.78</v>
          </cell>
          <cell r="S125" t="str">
            <v>YES</v>
          </cell>
          <cell r="T125">
            <v>22.515283842794762</v>
          </cell>
          <cell r="U125" t="str">
            <v>Mbr Assy Frt Crs (Bumper)</v>
          </cell>
        </row>
        <row r="126">
          <cell r="P126" t="str">
            <v>W704370</v>
          </cell>
          <cell r="Q126" t="str">
            <v>S300</v>
          </cell>
          <cell r="R126">
            <v>7.5236510951000007E-2</v>
          </cell>
          <cell r="S126" t="e">
            <v>#N/A</v>
          </cell>
          <cell r="T126" t="e">
            <v>#N/A</v>
          </cell>
          <cell r="U126" t="str">
            <v>Nut and Washer M8</v>
          </cell>
        </row>
        <row r="127">
          <cell r="P127" t="str">
            <v>17B804</v>
          </cell>
          <cell r="Q127" t="str">
            <v>AC</v>
          </cell>
          <cell r="R127">
            <v>0.69</v>
          </cell>
          <cell r="S127" t="e">
            <v>#N/A</v>
          </cell>
          <cell r="T127" t="e">
            <v>#N/A</v>
          </cell>
          <cell r="U127" t="str">
            <v>Hook assy towing</v>
          </cell>
        </row>
        <row r="128">
          <cell r="P128" t="str">
            <v>R10922</v>
          </cell>
          <cell r="Q128" t="str">
            <v>AB</v>
          </cell>
          <cell r="R128">
            <v>25.78</v>
          </cell>
          <cell r="S128" t="str">
            <v>YES</v>
          </cell>
          <cell r="T128">
            <v>22.515283842794762</v>
          </cell>
        </row>
        <row r="129">
          <cell r="P129" t="str">
            <v>R10493</v>
          </cell>
          <cell r="Q129" t="str">
            <v>A</v>
          </cell>
          <cell r="R129" t="e">
            <v>#N/A</v>
          </cell>
          <cell r="S129" t="e">
            <v>#N/A</v>
          </cell>
          <cell r="T129" t="e">
            <v>#N/A</v>
          </cell>
          <cell r="U129" t="str">
            <v>EXT SD MBR INR LH</v>
          </cell>
        </row>
        <row r="130">
          <cell r="P130" t="str">
            <v>R10492</v>
          </cell>
          <cell r="Q130" t="str">
            <v>A</v>
          </cell>
          <cell r="R130" t="e">
            <v>#N/A</v>
          </cell>
          <cell r="S130" t="e">
            <v>#N/A</v>
          </cell>
          <cell r="T130" t="e">
            <v>#N/A</v>
          </cell>
          <cell r="U130" t="str">
            <v>EXT SD MBR INR RH</v>
          </cell>
        </row>
        <row r="131">
          <cell r="P131" t="str">
            <v>R103A94</v>
          </cell>
          <cell r="Q131" t="str">
            <v>A</v>
          </cell>
          <cell r="R131" t="e">
            <v>#N/A</v>
          </cell>
          <cell r="S131" t="e">
            <v>#N/A</v>
          </cell>
          <cell r="T131" t="e">
            <v>#N/A</v>
          </cell>
          <cell r="U131" t="str">
            <v>EXT SD MBR OTR RH</v>
          </cell>
        </row>
        <row r="132">
          <cell r="P132" t="str">
            <v>R103A95</v>
          </cell>
          <cell r="Q132" t="str">
            <v>A</v>
          </cell>
          <cell r="R132" t="e">
            <v>#N/A</v>
          </cell>
          <cell r="S132" t="e">
            <v>#N/A</v>
          </cell>
          <cell r="T132" t="e">
            <v>#N/A</v>
          </cell>
          <cell r="U132" t="str">
            <v>EXT SD MBR OTR LH</v>
          </cell>
        </row>
        <row r="133">
          <cell r="P133" t="str">
            <v>R001K43</v>
          </cell>
          <cell r="Q133" t="str">
            <v>A</v>
          </cell>
          <cell r="R133" t="e">
            <v>#N/A</v>
          </cell>
          <cell r="S133" t="e">
            <v>#N/A</v>
          </cell>
          <cell r="T133" t="e">
            <v>#N/A</v>
          </cell>
          <cell r="U133" t="str">
            <v>MBR BDY FRT CRS LWR</v>
          </cell>
        </row>
        <row r="134">
          <cell r="P134" t="str">
            <v>R108K61</v>
          </cell>
          <cell r="Q134" t="str">
            <v>A</v>
          </cell>
          <cell r="R134" t="e">
            <v>#N/A</v>
          </cell>
          <cell r="S134" t="e">
            <v>#N/A</v>
          </cell>
          <cell r="T134" t="e">
            <v>#N/A</v>
          </cell>
          <cell r="U134" t="str">
            <v>PLATE FRT CRS MBR LWR</v>
          </cell>
        </row>
        <row r="135">
          <cell r="P135" t="str">
            <v>R108K34</v>
          </cell>
          <cell r="Q135" t="str">
            <v>A</v>
          </cell>
          <cell r="R135" t="e">
            <v>#N/A</v>
          </cell>
          <cell r="S135" t="e">
            <v>#N/A</v>
          </cell>
          <cell r="T135" t="e">
            <v>#N/A</v>
          </cell>
          <cell r="U135" t="str">
            <v>PLT FRT CR MBR LWR RR R</v>
          </cell>
        </row>
        <row r="136">
          <cell r="P136" t="str">
            <v>R108K35</v>
          </cell>
          <cell r="Q136" t="str">
            <v>A</v>
          </cell>
          <cell r="R136" t="e">
            <v>#N/A</v>
          </cell>
          <cell r="S136" t="e">
            <v>#N/A</v>
          </cell>
          <cell r="T136" t="e">
            <v>#N/A</v>
          </cell>
          <cell r="U136" t="str">
            <v>PLT FRT CR MBR LWR RR L</v>
          </cell>
        </row>
        <row r="137">
          <cell r="P137" t="str">
            <v>R5N827</v>
          </cell>
          <cell r="Q137" t="str">
            <v>A</v>
          </cell>
          <cell r="R137" t="e">
            <v>#N/A</v>
          </cell>
          <cell r="S137" t="e">
            <v>#N/A</v>
          </cell>
          <cell r="T137" t="e">
            <v>#N/A</v>
          </cell>
          <cell r="U137" t="str">
            <v>RETAINER TOW HOOK FRT</v>
          </cell>
        </row>
        <row r="138">
          <cell r="P138" t="str">
            <v>R10948</v>
          </cell>
          <cell r="Q138" t="str">
            <v>A</v>
          </cell>
          <cell r="R138" t="e">
            <v>#N/A</v>
          </cell>
          <cell r="S138" t="e">
            <v>#N/A</v>
          </cell>
          <cell r="T138" t="e">
            <v>#N/A</v>
          </cell>
          <cell r="U138" t="str">
            <v>RF TOW HOOK FRT</v>
          </cell>
        </row>
        <row r="139">
          <cell r="P139" t="str">
            <v>A048B60</v>
          </cell>
          <cell r="Q139" t="str">
            <v>A</v>
          </cell>
          <cell r="R139" t="e">
            <v>#N/A</v>
          </cell>
          <cell r="S139" t="e">
            <v>#N/A</v>
          </cell>
          <cell r="T139" t="e">
            <v>#N/A</v>
          </cell>
          <cell r="U139" t="str">
            <v>Bar Code</v>
          </cell>
        </row>
        <row r="140">
          <cell r="P140" t="str">
            <v>R000K70</v>
          </cell>
          <cell r="Q140" t="str">
            <v>A</v>
          </cell>
          <cell r="R140" t="e">
            <v>#N/A</v>
          </cell>
          <cell r="S140" t="e">
            <v>#N/A</v>
          </cell>
          <cell r="T140" t="e">
            <v>#N/A</v>
          </cell>
          <cell r="U140" t="str">
            <v>Reinf. Plate MC-Hole</v>
          </cell>
        </row>
        <row r="141">
          <cell r="P141" t="str">
            <v>R4177</v>
          </cell>
          <cell r="Q141" t="str">
            <v>A</v>
          </cell>
          <cell r="R141" t="e">
            <v>#N/A</v>
          </cell>
          <cell r="S141" t="e">
            <v>#N/A</v>
          </cell>
          <cell r="T141" t="e">
            <v>#N/A</v>
          </cell>
          <cell r="U141" t="str">
            <v>BRKT CA SUPT FRT</v>
          </cell>
        </row>
        <row r="142">
          <cell r="P142" t="str">
            <v>R8044</v>
          </cell>
          <cell r="Q142" t="str">
            <v>A</v>
          </cell>
          <cell r="R142" t="e">
            <v>#N/A</v>
          </cell>
          <cell r="S142" t="e">
            <v>#N/A</v>
          </cell>
          <cell r="T142" t="e">
            <v>#N/A</v>
          </cell>
          <cell r="U142" t="str">
            <v>BRKT RAD SUPT</v>
          </cell>
        </row>
        <row r="143">
          <cell r="P143" t="str">
            <v>R8045</v>
          </cell>
          <cell r="Q143" t="str">
            <v>A</v>
          </cell>
          <cell r="R143" t="e">
            <v>#N/A</v>
          </cell>
          <cell r="S143" t="e">
            <v>#N/A</v>
          </cell>
          <cell r="T143" t="e">
            <v>#N/A</v>
          </cell>
          <cell r="U143" t="str">
            <v>BRKT RAD SUPT</v>
          </cell>
        </row>
        <row r="144">
          <cell r="P144" t="str">
            <v>R5473</v>
          </cell>
          <cell r="Q144" t="str">
            <v>A</v>
          </cell>
          <cell r="R144" t="e">
            <v>#N/A</v>
          </cell>
          <cell r="S144" t="e">
            <v>#N/A</v>
          </cell>
          <cell r="T144" t="e">
            <v>#N/A</v>
          </cell>
          <cell r="U144" t="str">
            <v>BRKT CAB CTR/BAL</v>
          </cell>
        </row>
        <row r="145">
          <cell r="P145" t="str">
            <v>W520720</v>
          </cell>
          <cell r="Q145" t="str">
            <v>S</v>
          </cell>
          <cell r="R145">
            <v>1.4312226250000002E-2</v>
          </cell>
          <cell r="S145" t="e">
            <v>#N/A</v>
          </cell>
          <cell r="T145" t="e">
            <v>#N/A</v>
          </cell>
          <cell r="U145" t="str">
            <v xml:space="preserve">weld nut M6 </v>
          </cell>
        </row>
        <row r="146">
          <cell r="P146" t="str">
            <v>W520721</v>
          </cell>
          <cell r="Q146" t="str">
            <v>S</v>
          </cell>
          <cell r="R146">
            <v>1.8044854856000003E-2</v>
          </cell>
          <cell r="S146" t="e">
            <v>#N/A</v>
          </cell>
          <cell r="T146" t="e">
            <v>#N/A</v>
          </cell>
          <cell r="U146" t="str">
            <v xml:space="preserve">weld nut M8 </v>
          </cell>
        </row>
        <row r="147">
          <cell r="R147" t="str">
            <v>Pnl Asy Dash Ctr Lwr LHD</v>
          </cell>
          <cell r="S147" t="e">
            <v>#N/A</v>
          </cell>
          <cell r="T147" t="e">
            <v>#N/A</v>
          </cell>
        </row>
        <row r="148">
          <cell r="P148" t="str">
            <v>R017A84</v>
          </cell>
          <cell r="Q148" t="str">
            <v>AA</v>
          </cell>
          <cell r="R148" t="e">
            <v>#N/A</v>
          </cell>
          <cell r="S148" t="str">
            <v>YES</v>
          </cell>
          <cell r="T148">
            <v>17.08296943231441</v>
          </cell>
        </row>
        <row r="149">
          <cell r="P149" t="str">
            <v>R017A84</v>
          </cell>
          <cell r="Q149" t="str">
            <v>BA</v>
          </cell>
          <cell r="R149" t="e">
            <v>#N/A</v>
          </cell>
          <cell r="S149" t="str">
            <v>YES</v>
          </cell>
          <cell r="T149">
            <v>17.08296943231441</v>
          </cell>
        </row>
        <row r="150">
          <cell r="P150" t="str">
            <v>R01610</v>
          </cell>
          <cell r="Q150" t="str">
            <v>AA</v>
          </cell>
          <cell r="R150">
            <v>9.7799999999999994</v>
          </cell>
          <cell r="S150" t="e">
            <v>#N/A</v>
          </cell>
          <cell r="T150" t="e">
            <v>#N/A</v>
          </cell>
          <cell r="U150" t="str">
            <v>Front End Dash LHD</v>
          </cell>
        </row>
        <row r="151">
          <cell r="P151" t="str">
            <v>R01610</v>
          </cell>
          <cell r="Q151" t="str">
            <v>BA</v>
          </cell>
          <cell r="R151">
            <v>9.7799999999999994</v>
          </cell>
          <cell r="S151" t="e">
            <v>#N/A</v>
          </cell>
          <cell r="T151" t="e">
            <v>#N/A</v>
          </cell>
          <cell r="U151" t="str">
            <v>Front End Dash RHD</v>
          </cell>
        </row>
        <row r="152">
          <cell r="P152" t="str">
            <v>R01605</v>
          </cell>
          <cell r="Q152" t="str">
            <v>AD</v>
          </cell>
          <cell r="R152">
            <v>0</v>
          </cell>
          <cell r="S152" t="str">
            <v>YES</v>
          </cell>
          <cell r="T152">
            <v>6.462882096069869</v>
          </cell>
          <cell r="U152" t="str">
            <v>Panel Dash LHD</v>
          </cell>
        </row>
        <row r="153">
          <cell r="P153" t="str">
            <v>R01605</v>
          </cell>
          <cell r="Q153" t="str">
            <v>BD</v>
          </cell>
          <cell r="R153">
            <v>0</v>
          </cell>
          <cell r="S153" t="str">
            <v>YES</v>
          </cell>
          <cell r="T153">
            <v>6.462882096069869</v>
          </cell>
          <cell r="U153" t="str">
            <v>Panel Dash RHD</v>
          </cell>
        </row>
        <row r="154">
          <cell r="P154" t="str">
            <v>9W506</v>
          </cell>
          <cell r="Q154" t="str">
            <v>AB</v>
          </cell>
          <cell r="R154">
            <v>2.4500000000000002</v>
          </cell>
          <cell r="S154" t="str">
            <v>YES</v>
          </cell>
          <cell r="T154">
            <v>2.1397379912663759</v>
          </cell>
          <cell r="U154" t="str">
            <v>BRKT ASY-ACEL PDL LVR LHD</v>
          </cell>
        </row>
        <row r="155">
          <cell r="P155" t="str">
            <v>9D823</v>
          </cell>
          <cell r="Q155" t="str">
            <v>AB</v>
          </cell>
          <cell r="R155">
            <v>0</v>
          </cell>
          <cell r="S155" t="e">
            <v>#N/A</v>
          </cell>
          <cell r="T155" t="e">
            <v>#N/A</v>
          </cell>
          <cell r="U155" t="str">
            <v>BRKT ACCEL PDL LVR LHD</v>
          </cell>
        </row>
        <row r="156">
          <cell r="P156" t="str">
            <v>W702321</v>
          </cell>
          <cell r="Q156" t="str">
            <v>S300</v>
          </cell>
          <cell r="R156">
            <v>3.5299674823000005E-2</v>
          </cell>
          <cell r="S156" t="e">
            <v>#N/A</v>
          </cell>
          <cell r="T156" t="e">
            <v>#N/A</v>
          </cell>
          <cell r="U156" t="str">
            <v>NUT WELD M8 HEX FLNG THD/LS</v>
          </cell>
        </row>
        <row r="157">
          <cell r="P157" t="str">
            <v>R015K19</v>
          </cell>
          <cell r="Q157" t="str">
            <v>AA</v>
          </cell>
          <cell r="R157">
            <v>1E-3</v>
          </cell>
          <cell r="S157" t="e">
            <v>#N/A</v>
          </cell>
          <cell r="T157" t="e">
            <v>#N/A</v>
          </cell>
          <cell r="U157" t="str">
            <v>Tube Adjustment Clutch</v>
          </cell>
        </row>
        <row r="158">
          <cell r="P158" t="str">
            <v>9W506</v>
          </cell>
          <cell r="Q158" t="str">
            <v>BB</v>
          </cell>
          <cell r="R158">
            <v>2.4500000000000002</v>
          </cell>
          <cell r="S158" t="str">
            <v>YES</v>
          </cell>
          <cell r="T158">
            <v>2.1397379912663759</v>
          </cell>
          <cell r="U158" t="str">
            <v>BRKT ASY-ACEL PDL LVR RHD</v>
          </cell>
        </row>
        <row r="159">
          <cell r="P159" t="str">
            <v>9D823</v>
          </cell>
          <cell r="Q159" t="str">
            <v>BB</v>
          </cell>
          <cell r="R159">
            <v>0</v>
          </cell>
          <cell r="S159" t="e">
            <v>#N/A</v>
          </cell>
          <cell r="T159" t="e">
            <v>#N/A</v>
          </cell>
          <cell r="U159" t="str">
            <v xml:space="preserve">BRKT ACCEL PDL LVR RHD </v>
          </cell>
        </row>
        <row r="160">
          <cell r="P160" t="str">
            <v>F015K19</v>
          </cell>
          <cell r="Q160" t="str">
            <v>AB</v>
          </cell>
          <cell r="R160" t="e">
            <v>#N/A</v>
          </cell>
          <cell r="S160" t="e">
            <v>#N/A</v>
          </cell>
          <cell r="T160" t="e">
            <v>#N/A</v>
          </cell>
          <cell r="U160" t="str">
            <v>Tube Adjustment Clutch</v>
          </cell>
        </row>
        <row r="161">
          <cell r="P161" t="str">
            <v>R015K19</v>
          </cell>
          <cell r="Q161" t="str">
            <v>AA</v>
          </cell>
          <cell r="R161">
            <v>1E-3</v>
          </cell>
          <cell r="S161" t="e">
            <v>#N/A</v>
          </cell>
          <cell r="T161" t="e">
            <v>#N/A</v>
          </cell>
          <cell r="U161" t="str">
            <v>Tube Adjustment Clutch</v>
          </cell>
        </row>
        <row r="162">
          <cell r="P162" t="str">
            <v>R015A38</v>
          </cell>
          <cell r="Q162" t="str">
            <v>BA</v>
          </cell>
          <cell r="R162">
            <v>-1.5880000000000001</v>
          </cell>
          <cell r="S162" t="e">
            <v>#N/A</v>
          </cell>
          <cell r="T162" t="e">
            <v>#N/A</v>
          </cell>
          <cell r="U162" t="str">
            <v>Reinf Asy D/Pnl at Brk Ms</v>
          </cell>
        </row>
        <row r="163">
          <cell r="P163" t="str">
            <v>R2280</v>
          </cell>
          <cell r="Q163" t="str">
            <v>BA</v>
          </cell>
          <cell r="R163" t="e">
            <v>#N/A</v>
          </cell>
          <cell r="S163" t="e">
            <v>#N/A</v>
          </cell>
          <cell r="T163" t="e">
            <v>#N/A</v>
          </cell>
          <cell r="U163" t="str">
            <v>Reinf Dash Pnl at Brk Master Cyl</v>
          </cell>
        </row>
        <row r="164">
          <cell r="P164" t="str">
            <v>W702321</v>
          </cell>
          <cell r="Q164" t="str">
            <v>S300</v>
          </cell>
          <cell r="R164">
            <v>3.5299674823000005E-2</v>
          </cell>
          <cell r="S164" t="e">
            <v>#N/A</v>
          </cell>
          <cell r="T164" t="e">
            <v>#N/A</v>
          </cell>
          <cell r="U164" t="str">
            <v>NUT WELD M8 HEX FLNG THD/LS</v>
          </cell>
        </row>
        <row r="165">
          <cell r="P165" t="str">
            <v>3N720</v>
          </cell>
          <cell r="Q165" t="str">
            <v>AA</v>
          </cell>
          <cell r="R165">
            <v>2.0299999999999998</v>
          </cell>
          <cell r="S165" t="e">
            <v>#N/A</v>
          </cell>
          <cell r="T165" t="e">
            <v>#N/A</v>
          </cell>
          <cell r="U165" t="str">
            <v>Brkt Strg Column Mtng LHD</v>
          </cell>
        </row>
        <row r="166">
          <cell r="P166" t="str">
            <v>R04504</v>
          </cell>
          <cell r="Q166" t="str">
            <v>AB</v>
          </cell>
          <cell r="R166">
            <v>0</v>
          </cell>
          <cell r="S166" t="e">
            <v>#N/A</v>
          </cell>
          <cell r="T166" t="e">
            <v>#N/A</v>
          </cell>
          <cell r="U166" t="str">
            <v>Brkt Strg Column Support LHD</v>
          </cell>
        </row>
        <row r="167">
          <cell r="P167" t="str">
            <v>R015K19</v>
          </cell>
          <cell r="Q167" t="str">
            <v>AA</v>
          </cell>
          <cell r="R167">
            <v>1E-3</v>
          </cell>
          <cell r="S167" t="e">
            <v>#N/A</v>
          </cell>
          <cell r="T167" t="e">
            <v>#N/A</v>
          </cell>
          <cell r="U167" t="str">
            <v>Tube Adjustment Clutch</v>
          </cell>
        </row>
        <row r="168">
          <cell r="P168" t="str">
            <v>3N720</v>
          </cell>
          <cell r="Q168" t="str">
            <v>BA</v>
          </cell>
          <cell r="R168">
            <v>2.0299999999999998</v>
          </cell>
          <cell r="S168" t="e">
            <v>#N/A</v>
          </cell>
          <cell r="T168" t="e">
            <v>#N/A</v>
          </cell>
          <cell r="U168" t="str">
            <v>Brkt Strg Column Mtng RHD</v>
          </cell>
        </row>
        <row r="169">
          <cell r="P169" t="str">
            <v>R04504</v>
          </cell>
          <cell r="Q169" t="str">
            <v>BB</v>
          </cell>
          <cell r="R169">
            <v>0</v>
          </cell>
          <cell r="S169" t="e">
            <v>#N/A</v>
          </cell>
          <cell r="T169" t="e">
            <v>#N/A</v>
          </cell>
          <cell r="U169" t="str">
            <v>Brkt Strg Column Support RHD</v>
          </cell>
        </row>
        <row r="170">
          <cell r="P170" t="str">
            <v>R015K19</v>
          </cell>
          <cell r="Q170" t="str">
            <v>AA</v>
          </cell>
          <cell r="R170">
            <v>1E-3</v>
          </cell>
          <cell r="S170" t="e">
            <v>#N/A</v>
          </cell>
          <cell r="T170" t="e">
            <v>#N/A</v>
          </cell>
          <cell r="U170" t="str">
            <v>Spacer 15mm</v>
          </cell>
        </row>
        <row r="171">
          <cell r="P171" t="str">
            <v>R016A04</v>
          </cell>
          <cell r="Q171" t="str">
            <v>AA</v>
          </cell>
          <cell r="R171">
            <v>0.96</v>
          </cell>
          <cell r="S171" t="e">
            <v>#N/A</v>
          </cell>
          <cell r="T171" t="e">
            <v>#N/A</v>
          </cell>
          <cell r="U171" t="str">
            <v>Reinf Asy Dash</v>
          </cell>
        </row>
        <row r="172">
          <cell r="P172" t="str">
            <v>R016A22</v>
          </cell>
          <cell r="Q172" t="str">
            <v>AA</v>
          </cell>
          <cell r="R172">
            <v>0</v>
          </cell>
          <cell r="S172" t="e">
            <v>#N/A</v>
          </cell>
          <cell r="T172" t="e">
            <v>#N/A</v>
          </cell>
          <cell r="U172" t="str">
            <v>Reinf Dash Panel</v>
          </cell>
        </row>
        <row r="173">
          <cell r="P173" t="str">
            <v>R015K19</v>
          </cell>
          <cell r="Q173" t="str">
            <v>AA</v>
          </cell>
          <cell r="R173">
            <v>1E-3</v>
          </cell>
          <cell r="S173" t="e">
            <v>#N/A</v>
          </cell>
          <cell r="T173" t="e">
            <v>#N/A</v>
          </cell>
          <cell r="U173" t="str">
            <v>Tube Adjustment Clutch</v>
          </cell>
        </row>
        <row r="174">
          <cell r="P174" t="str">
            <v>R020A66</v>
          </cell>
          <cell r="Q174" t="str">
            <v>AA</v>
          </cell>
          <cell r="R174">
            <v>0.76</v>
          </cell>
          <cell r="S174" t="e">
            <v>#N/A</v>
          </cell>
          <cell r="T174" t="e">
            <v>#N/A</v>
          </cell>
          <cell r="U174" t="str">
            <v>Gusset Cowl Side Pnl Reinf</v>
          </cell>
        </row>
        <row r="175">
          <cell r="P175" t="str">
            <v>W701463</v>
          </cell>
          <cell r="Q175" t="str">
            <v>S403</v>
          </cell>
          <cell r="R175" t="e">
            <v>#N/A</v>
          </cell>
          <cell r="S175" t="e">
            <v>#N/A</v>
          </cell>
          <cell r="T175" t="e">
            <v>#N/A</v>
          </cell>
          <cell r="U175" t="str">
            <v>Nut Weld M6 Hex Flng 8</v>
          </cell>
        </row>
        <row r="176">
          <cell r="P176" t="str">
            <v>W701101</v>
          </cell>
          <cell r="Q176" t="str">
            <v>S300</v>
          </cell>
          <cell r="R176" t="e">
            <v>#N/A</v>
          </cell>
          <cell r="S176" t="e">
            <v>#N/A</v>
          </cell>
          <cell r="T176" t="e">
            <v>#N/A</v>
          </cell>
          <cell r="U176" t="str">
            <v>Bolt Weld M6x15 Pil 8</v>
          </cell>
        </row>
        <row r="177">
          <cell r="P177" t="str">
            <v>W703685</v>
          </cell>
          <cell r="Q177" t="str">
            <v>S300</v>
          </cell>
          <cell r="R177">
            <v>3.6330155113000008E-2</v>
          </cell>
          <cell r="S177" t="e">
            <v>#N/A</v>
          </cell>
          <cell r="T177" t="e">
            <v>#N/A</v>
          </cell>
          <cell r="U177" t="str">
            <v>Bolt Weld M8x30 Pil 8</v>
          </cell>
        </row>
        <row r="178">
          <cell r="P178" t="str">
            <v>W700121</v>
          </cell>
          <cell r="Q178" t="str">
            <v>S403</v>
          </cell>
          <cell r="R178">
            <v>5.0000000000000001E-3</v>
          </cell>
          <cell r="S178" t="e">
            <v>#N/A</v>
          </cell>
          <cell r="T178" t="e">
            <v>#N/A</v>
          </cell>
          <cell r="U178" t="str">
            <v>Stud 5x14.2 Wld Spl Thd</v>
          </cell>
        </row>
        <row r="179">
          <cell r="P179" t="str">
            <v>18B260</v>
          </cell>
          <cell r="Q179" t="str">
            <v>AA/BA</v>
          </cell>
          <cell r="R179" t="e">
            <v>#N/A</v>
          </cell>
          <cell r="S179" t="str">
            <v>YES</v>
          </cell>
          <cell r="T179">
            <v>4.3636071223694328</v>
          </cell>
          <cell r="U179" t="str">
            <v>Panel Asy Htr Plnm Chmbr</v>
          </cell>
        </row>
        <row r="180">
          <cell r="P180" t="str">
            <v>W703685</v>
          </cell>
          <cell r="Q180" t="str">
            <v>S300</v>
          </cell>
          <cell r="R180">
            <v>3.6330155113000008E-2</v>
          </cell>
          <cell r="S180" t="e">
            <v>#N/A</v>
          </cell>
          <cell r="T180" t="e">
            <v>#N/A</v>
          </cell>
          <cell r="U180" t="str">
            <v>Bolt Weld M8x30 Pil 8</v>
          </cell>
        </row>
        <row r="181">
          <cell r="P181" t="str">
            <v>R18A344</v>
          </cell>
          <cell r="Q181" t="str">
            <v>AD</v>
          </cell>
          <cell r="R181">
            <v>4.0999999999999996</v>
          </cell>
          <cell r="S181" t="e">
            <v>#N/A</v>
          </cell>
          <cell r="T181" t="e">
            <v>#N/A</v>
          </cell>
          <cell r="U181" t="str">
            <v>PNL HTR PLMN CHMBR FRT LHD</v>
          </cell>
        </row>
        <row r="182">
          <cell r="P182" t="str">
            <v>R18A344</v>
          </cell>
          <cell r="Q182" t="str">
            <v>BD</v>
          </cell>
          <cell r="R182">
            <v>4.0999999999999996</v>
          </cell>
          <cell r="S182" t="e">
            <v>#N/A</v>
          </cell>
          <cell r="T182" t="e">
            <v>#N/A</v>
          </cell>
          <cell r="U182" t="str">
            <v>PNL HTR PLMN CHMBR FRT RHD</v>
          </cell>
        </row>
        <row r="183">
          <cell r="P183" t="str">
            <v>R18A334</v>
          </cell>
          <cell r="Q183" t="str">
            <v>AB</v>
          </cell>
          <cell r="R183">
            <v>0.86</v>
          </cell>
          <cell r="S183" t="e">
            <v>#N/A</v>
          </cell>
          <cell r="T183" t="e">
            <v>#N/A</v>
          </cell>
          <cell r="U183" t="str">
            <v xml:space="preserve">BRKT HTR PLNM CHMBR </v>
          </cell>
        </row>
        <row r="184">
          <cell r="P184" t="str">
            <v>R18A334</v>
          </cell>
          <cell r="Q184" t="str">
            <v>BB</v>
          </cell>
          <cell r="R184">
            <v>0.86</v>
          </cell>
          <cell r="S184" t="e">
            <v>#N/A</v>
          </cell>
          <cell r="T184" t="e">
            <v>#N/A</v>
          </cell>
          <cell r="U184" t="str">
            <v xml:space="preserve">BRKT HTR PLNM CHMBR </v>
          </cell>
        </row>
      </sheetData>
      <sheetData sheetId="1" refreshError="1"/>
      <sheetData sheetId="2" refreshError="1">
        <row r="4">
          <cell r="T4" t="str">
            <v>Front Floor Assy (sequenced with underbody assembly)</v>
          </cell>
        </row>
        <row r="5">
          <cell r="T5" t="str">
            <v>Front Floor Assy</v>
          </cell>
        </row>
        <row r="6">
          <cell r="O6" t="str">
            <v>R11140</v>
          </cell>
          <cell r="P6" t="str">
            <v>A</v>
          </cell>
          <cell r="Q6">
            <v>7.53</v>
          </cell>
          <cell r="R6" t="str">
            <v>YES</v>
          </cell>
          <cell r="S6">
            <v>6.5764192139737991</v>
          </cell>
          <cell r="T6" t="str">
            <v>PANEL FRONT FLOOR</v>
          </cell>
        </row>
        <row r="7">
          <cell r="O7" t="str">
            <v>W700121</v>
          </cell>
          <cell r="Q7">
            <v>5.0000000000000001E-3</v>
          </cell>
          <cell r="R7" t="e">
            <v>#N/A</v>
          </cell>
          <cell r="S7" t="e">
            <v>#N/A</v>
          </cell>
          <cell r="T7" t="str">
            <v>STUD.5X14.2.WLD.SPL.THD</v>
          </cell>
        </row>
        <row r="8">
          <cell r="O8" t="str">
            <v>R10673</v>
          </cell>
          <cell r="P8" t="str">
            <v>A</v>
          </cell>
          <cell r="Q8" t="e">
            <v>#N/A</v>
          </cell>
          <cell r="R8" t="str">
            <v>YES</v>
          </cell>
          <cell r="S8">
            <v>1.17117903930131</v>
          </cell>
          <cell r="T8" t="str">
            <v>MBR ASY FRT FLR CS OTR LH</v>
          </cell>
        </row>
        <row r="9">
          <cell r="O9" t="str">
            <v>R10879</v>
          </cell>
          <cell r="P9" t="str">
            <v>A</v>
          </cell>
          <cell r="Q9" t="e">
            <v>#N/A</v>
          </cell>
          <cell r="R9" t="e">
            <v>#N/A</v>
          </cell>
          <cell r="S9" t="e">
            <v>#N/A</v>
          </cell>
          <cell r="T9" t="str">
            <v>MBR FRT FLR CROSS OTR LH</v>
          </cell>
        </row>
        <row r="10">
          <cell r="O10" t="str">
            <v>A62570</v>
          </cell>
          <cell r="P10" t="str">
            <v>A</v>
          </cell>
          <cell r="Q10">
            <v>0.12</v>
          </cell>
          <cell r="R10" t="e">
            <v>#N/A</v>
          </cell>
          <cell r="S10" t="e">
            <v>#N/A</v>
          </cell>
          <cell r="T10" t="str">
            <v xml:space="preserve">BRKT FRT SEAT MNTG </v>
          </cell>
        </row>
        <row r="11">
          <cell r="O11" t="str">
            <v>R10672</v>
          </cell>
          <cell r="P11" t="str">
            <v>A</v>
          </cell>
          <cell r="Q11">
            <v>1.341</v>
          </cell>
          <cell r="R11" t="str">
            <v>YES</v>
          </cell>
          <cell r="S11">
            <v>1.17117903930131</v>
          </cell>
          <cell r="T11" t="str">
            <v>MBR ASY FRT FLR CS OTR RH</v>
          </cell>
        </row>
        <row r="12">
          <cell r="O12" t="str">
            <v>R10878</v>
          </cell>
          <cell r="P12" t="str">
            <v>A</v>
          </cell>
          <cell r="Q12">
            <v>1.03</v>
          </cell>
          <cell r="R12" t="e">
            <v>#N/A</v>
          </cell>
          <cell r="S12" t="e">
            <v>#N/A</v>
          </cell>
          <cell r="T12" t="str">
            <v>MBR FRT FLR CROSS OTR RH</v>
          </cell>
        </row>
        <row r="13">
          <cell r="O13" t="str">
            <v>A62570</v>
          </cell>
          <cell r="P13" t="str">
            <v>A</v>
          </cell>
          <cell r="Q13">
            <v>0.12</v>
          </cell>
          <cell r="R13" t="e">
            <v>#N/A</v>
          </cell>
          <cell r="S13" t="e">
            <v>#N/A</v>
          </cell>
          <cell r="T13" t="str">
            <v xml:space="preserve">BRKT FRT SEAT MNTG </v>
          </cell>
        </row>
        <row r="14">
          <cell r="O14" t="str">
            <v>W703193</v>
          </cell>
          <cell r="Q14">
            <v>1.2090968736000001E-2</v>
          </cell>
          <cell r="R14" t="e">
            <v>#N/A</v>
          </cell>
          <cell r="S14" t="e">
            <v>#N/A</v>
          </cell>
          <cell r="T14" t="str">
            <v>NUT M6 HEX FLNG WLD THDLS 8</v>
          </cell>
        </row>
        <row r="15">
          <cell r="O15" t="str">
            <v>R10598</v>
          </cell>
          <cell r="P15" t="str">
            <v>A</v>
          </cell>
          <cell r="Q15">
            <v>0</v>
          </cell>
          <cell r="R15" t="str">
            <v>YES</v>
          </cell>
          <cell r="S15">
            <v>0.76855895196506552</v>
          </cell>
          <cell r="T15" t="str">
            <v xml:space="preserve">MBR ASY FRT FLR CS OTR </v>
          </cell>
        </row>
        <row r="16">
          <cell r="O16" t="str">
            <v>R10694</v>
          </cell>
          <cell r="P16" t="str">
            <v>A</v>
          </cell>
          <cell r="Q16">
            <v>0.88</v>
          </cell>
          <cell r="R16" t="e">
            <v>#N/A</v>
          </cell>
          <cell r="S16" t="e">
            <v>#N/A</v>
          </cell>
          <cell r="T16" t="str">
            <v>MBR FRT FLR CROSS CNTR</v>
          </cell>
        </row>
        <row r="17">
          <cell r="O17">
            <v>5271</v>
          </cell>
          <cell r="P17" t="str">
            <v>A</v>
          </cell>
          <cell r="Q17">
            <v>0</v>
          </cell>
          <cell r="R17" t="e">
            <v>#N/A</v>
          </cell>
          <cell r="S17" t="e">
            <v>#N/A</v>
          </cell>
          <cell r="T17" t="str">
            <v>BRKT MFLR OUTLET PIPE</v>
          </cell>
        </row>
        <row r="18">
          <cell r="O18" t="str">
            <v>R112K79</v>
          </cell>
          <cell r="P18" t="str">
            <v>A</v>
          </cell>
          <cell r="Q18">
            <v>0.91</v>
          </cell>
          <cell r="R18" t="str">
            <v>YES</v>
          </cell>
          <cell r="S18">
            <v>0.79475982532751088</v>
          </cell>
          <cell r="T18" t="str">
            <v>PLT ASY FRT ST MTNG RR LH</v>
          </cell>
        </row>
        <row r="19">
          <cell r="O19" t="str">
            <v>R112K77</v>
          </cell>
          <cell r="P19" t="str">
            <v>A</v>
          </cell>
          <cell r="Q19" t="e">
            <v>#N/A</v>
          </cell>
          <cell r="R19" t="e">
            <v>#N/A</v>
          </cell>
          <cell r="S19" t="e">
            <v>#N/A</v>
          </cell>
          <cell r="T19" t="str">
            <v>PLATE FRT SEAT MNTG RR INR LH</v>
          </cell>
        </row>
        <row r="20">
          <cell r="O20" t="str">
            <v>W703173</v>
          </cell>
          <cell r="Q20">
            <v>3.1864740523000007E-2</v>
          </cell>
          <cell r="R20" t="e">
            <v>#N/A</v>
          </cell>
          <cell r="S20" t="e">
            <v>#N/A</v>
          </cell>
          <cell r="T20" t="str">
            <v>NUT M10 HEX FLNG WLD THDLS 8</v>
          </cell>
        </row>
        <row r="21">
          <cell r="O21" t="str">
            <v>R112K78</v>
          </cell>
          <cell r="P21" t="str">
            <v>A</v>
          </cell>
          <cell r="Q21">
            <v>0.91</v>
          </cell>
          <cell r="R21" t="str">
            <v>YES</v>
          </cell>
          <cell r="S21">
            <v>0.79475982532751088</v>
          </cell>
          <cell r="T21" t="str">
            <v>PLT ASY FRT ST MTNG RR RH</v>
          </cell>
        </row>
        <row r="22">
          <cell r="O22" t="str">
            <v>R112K76</v>
          </cell>
          <cell r="P22" t="str">
            <v>A</v>
          </cell>
          <cell r="Q22" t="e">
            <v>#N/A</v>
          </cell>
          <cell r="R22" t="e">
            <v>#N/A</v>
          </cell>
          <cell r="S22" t="e">
            <v>#N/A</v>
          </cell>
          <cell r="T22" t="str">
            <v>PLATE FRT SEAT MNTG RR INR RH</v>
          </cell>
        </row>
        <row r="23">
          <cell r="O23" t="str">
            <v>W703173</v>
          </cell>
          <cell r="Q23">
            <v>3.1864740523000007E-2</v>
          </cell>
          <cell r="R23" t="e">
            <v>#N/A</v>
          </cell>
          <cell r="S23" t="e">
            <v>#N/A</v>
          </cell>
          <cell r="T23" t="str">
            <v>NUT M10 HEX FLNG WLD THDLS 8</v>
          </cell>
        </row>
        <row r="24">
          <cell r="O24" t="str">
            <v>A617K65</v>
          </cell>
          <cell r="P24" t="str">
            <v>A</v>
          </cell>
          <cell r="Q24">
            <v>0.89800000000000002</v>
          </cell>
          <cell r="R24" t="e">
            <v>#N/A</v>
          </cell>
          <cell r="S24" t="e">
            <v>#N/A</v>
          </cell>
          <cell r="T24" t="str">
            <v>PLATE FRT SEAT MNTG</v>
          </cell>
        </row>
        <row r="25">
          <cell r="O25" t="str">
            <v>R11262</v>
          </cell>
          <cell r="P25" t="str">
            <v>A</v>
          </cell>
          <cell r="Q25">
            <v>1E-3</v>
          </cell>
          <cell r="R25" t="str">
            <v>YES</v>
          </cell>
          <cell r="S25">
            <v>0.22707423580786026</v>
          </cell>
          <cell r="T25" t="str">
            <v>REINF ASY FLR PNL FRT</v>
          </cell>
        </row>
        <row r="26">
          <cell r="O26" t="str">
            <v>R111K36</v>
          </cell>
          <cell r="P26" t="str">
            <v>A</v>
          </cell>
          <cell r="Q26">
            <v>0.23</v>
          </cell>
          <cell r="R26" t="e">
            <v>#N/A</v>
          </cell>
          <cell r="S26" t="e">
            <v>#N/A</v>
          </cell>
          <cell r="T26" t="str">
            <v>REINF FRT FLR PNL AT TUNNEL</v>
          </cell>
        </row>
        <row r="27">
          <cell r="O27" t="str">
            <v>W700791</v>
          </cell>
          <cell r="Q27">
            <v>0.03</v>
          </cell>
          <cell r="R27" t="e">
            <v>#N/A</v>
          </cell>
          <cell r="S27" t="e">
            <v>#N/A</v>
          </cell>
          <cell r="T27" t="str">
            <v>NUT M8 WELD HEX FLANGE SPL 08</v>
          </cell>
        </row>
        <row r="28">
          <cell r="O28" t="str">
            <v>R11247</v>
          </cell>
          <cell r="P28" t="str">
            <v>A</v>
          </cell>
          <cell r="Q28">
            <v>0.53</v>
          </cell>
          <cell r="R28" t="str">
            <v>YES</v>
          </cell>
          <cell r="S28">
            <v>0.46288209606986902</v>
          </cell>
          <cell r="T28" t="str">
            <v>REINF ASY FRT FLR PAN SEAT</v>
          </cell>
        </row>
        <row r="29">
          <cell r="O29" t="str">
            <v>R111L22</v>
          </cell>
          <cell r="P29" t="str">
            <v>A</v>
          </cell>
          <cell r="Q29">
            <v>0</v>
          </cell>
          <cell r="R29" t="e">
            <v>#N/A</v>
          </cell>
          <cell r="S29" t="e">
            <v>#N/A</v>
          </cell>
          <cell r="T29" t="str">
            <v>REINF FLOOR PAN FRT</v>
          </cell>
        </row>
        <row r="30">
          <cell r="O30" t="str">
            <v>W703193</v>
          </cell>
          <cell r="Q30">
            <v>1.2090968736000001E-2</v>
          </cell>
          <cell r="R30" t="e">
            <v>#N/A</v>
          </cell>
          <cell r="S30" t="e">
            <v>#N/A</v>
          </cell>
          <cell r="T30" t="str">
            <v>NUT M6 HEX FLNG WLD THDLS 8</v>
          </cell>
        </row>
        <row r="31">
          <cell r="O31" t="str">
            <v>R113A64</v>
          </cell>
          <cell r="P31" t="str">
            <v>A</v>
          </cell>
          <cell r="Q31">
            <v>0.56000000000000005</v>
          </cell>
          <cell r="R31" t="str">
            <v>YES</v>
          </cell>
          <cell r="S31">
            <v>0.48908296943231444</v>
          </cell>
          <cell r="T31" t="str">
            <v>REINF ASY FLR AT P/BRAKE CA MTNG</v>
          </cell>
        </row>
        <row r="32">
          <cell r="O32" t="str">
            <v>2L624</v>
          </cell>
          <cell r="P32" t="str">
            <v>A</v>
          </cell>
          <cell r="Q32">
            <v>0</v>
          </cell>
          <cell r="R32" t="e">
            <v>#N/A</v>
          </cell>
          <cell r="S32" t="e">
            <v>#N/A</v>
          </cell>
          <cell r="T32" t="str">
            <v>REINF-P/BRK MNTG</v>
          </cell>
        </row>
        <row r="33">
          <cell r="O33" t="str">
            <v>W520721</v>
          </cell>
          <cell r="Q33">
            <v>1.8044854856000003E-2</v>
          </cell>
          <cell r="R33" t="e">
            <v>#N/A</v>
          </cell>
          <cell r="S33" t="e">
            <v>#N/A</v>
          </cell>
          <cell r="T33" t="str">
            <v>NUT M8 WELD HEX FLANGE</v>
          </cell>
        </row>
        <row r="34">
          <cell r="O34" t="str">
            <v>R10475</v>
          </cell>
          <cell r="P34" t="str">
            <v>A</v>
          </cell>
          <cell r="Q34" t="e">
            <v>#N/A</v>
          </cell>
          <cell r="R34" t="str">
            <v>YES</v>
          </cell>
          <cell r="S34">
            <v>2.1013883927615722</v>
          </cell>
          <cell r="T34" t="str">
            <v>REINF ASY FRT S/M EXT LH</v>
          </cell>
        </row>
        <row r="35">
          <cell r="O35" t="str">
            <v>R10255</v>
          </cell>
          <cell r="P35" t="str">
            <v>A</v>
          </cell>
          <cell r="Q35">
            <v>2.37</v>
          </cell>
          <cell r="R35" t="e">
            <v>#N/A</v>
          </cell>
          <cell r="S35" t="e">
            <v>#N/A</v>
          </cell>
          <cell r="T35" t="str">
            <v>EXT FLOOR SIDE MBR FRT LH</v>
          </cell>
        </row>
        <row r="36">
          <cell r="O36" t="str">
            <v>W520721</v>
          </cell>
          <cell r="Q36">
            <v>1.8044854856000003E-2</v>
          </cell>
          <cell r="R36" t="e">
            <v>#N/A</v>
          </cell>
          <cell r="S36" t="e">
            <v>#N/A</v>
          </cell>
          <cell r="T36" t="str">
            <v>NUT M8 WELD HEX FLANGE</v>
          </cell>
        </row>
        <row r="37">
          <cell r="O37" t="str">
            <v>R10474</v>
          </cell>
          <cell r="P37" t="str">
            <v>A</v>
          </cell>
          <cell r="Q37">
            <v>0.49</v>
          </cell>
          <cell r="R37" t="str">
            <v>YES</v>
          </cell>
          <cell r="S37">
            <v>0.42794759825327511</v>
          </cell>
          <cell r="T37" t="str">
            <v>REINF ASY FRT S/M EXT RH</v>
          </cell>
        </row>
        <row r="38">
          <cell r="O38" t="str">
            <v>R10254</v>
          </cell>
          <cell r="P38" t="str">
            <v>A</v>
          </cell>
          <cell r="Q38" t="e">
            <v>#N/A</v>
          </cell>
          <cell r="R38" t="str">
            <v>YES</v>
          </cell>
          <cell r="S38">
            <v>2.0698689956331879</v>
          </cell>
          <cell r="T38" t="str">
            <v>EXT FLOOR SIDE MBR FRT RH</v>
          </cell>
        </row>
        <row r="39">
          <cell r="O39" t="str">
            <v>W520721</v>
          </cell>
          <cell r="Q39">
            <v>1.8044854856000003E-2</v>
          </cell>
          <cell r="R39" t="e">
            <v>#N/A</v>
          </cell>
          <cell r="S39" t="e">
            <v>#N/A</v>
          </cell>
          <cell r="T39" t="str">
            <v>NUT M8 WELD HEX FLANGE</v>
          </cell>
        </row>
        <row r="40">
          <cell r="O40" t="str">
            <v>111B11</v>
          </cell>
          <cell r="P40" t="str">
            <v>A</v>
          </cell>
          <cell r="Q40">
            <v>0.16</v>
          </cell>
          <cell r="R40" t="str">
            <v>YES</v>
          </cell>
          <cell r="S40">
            <v>0.13973799126637554</v>
          </cell>
          <cell r="T40" t="str">
            <v>REINF FRT FLR PAN TO S/M LH</v>
          </cell>
        </row>
        <row r="41">
          <cell r="O41" t="str">
            <v>111B10</v>
          </cell>
          <cell r="P41" t="str">
            <v>A</v>
          </cell>
          <cell r="Q41">
            <v>0.16</v>
          </cell>
          <cell r="R41" t="str">
            <v>YES</v>
          </cell>
          <cell r="S41">
            <v>0.13973799126637554</v>
          </cell>
          <cell r="T41" t="str">
            <v>REINF FRT FLR PAN TO S/M RH</v>
          </cell>
        </row>
        <row r="42">
          <cell r="O42" t="str">
            <v>2A697</v>
          </cell>
          <cell r="P42" t="str">
            <v>A</v>
          </cell>
          <cell r="Q42">
            <v>0.39</v>
          </cell>
          <cell r="R42" t="str">
            <v>YES</v>
          </cell>
          <cell r="S42">
            <v>0.34061135371179041</v>
          </cell>
          <cell r="T42" t="str">
            <v>GUIDE P/BRAKE CABLE BRACKET</v>
          </cell>
        </row>
        <row r="43">
          <cell r="O43" t="str">
            <v>R8C413</v>
          </cell>
          <cell r="P43" t="str">
            <v>A</v>
          </cell>
          <cell r="Q43" t="e">
            <v>#N/A</v>
          </cell>
          <cell r="R43" t="str">
            <v>YES</v>
          </cell>
          <cell r="S43">
            <v>0.79475982532751088</v>
          </cell>
          <cell r="T43" t="str">
            <v>BRKT ASY SNS RAD SUPT AIR BAG</v>
          </cell>
        </row>
        <row r="44">
          <cell r="O44" t="str">
            <v>14B045</v>
          </cell>
          <cell r="P44" t="str">
            <v>A</v>
          </cell>
          <cell r="Q44" t="e">
            <v>#N/A</v>
          </cell>
          <cell r="R44" t="e">
            <v>#N/A</v>
          </cell>
          <cell r="S44" t="e">
            <v>#N/A</v>
          </cell>
          <cell r="T44" t="str">
            <v>BRKT AIRBAG CTR SENSOR</v>
          </cell>
        </row>
        <row r="45">
          <cell r="O45" t="str">
            <v>W703193</v>
          </cell>
          <cell r="P45" t="str">
            <v xml:space="preserve"> </v>
          </cell>
          <cell r="Q45">
            <v>1.2090968736000001E-2</v>
          </cell>
          <cell r="R45" t="e">
            <v>#N/A</v>
          </cell>
          <cell r="S45" t="e">
            <v>#N/A</v>
          </cell>
          <cell r="T45" t="str">
            <v>NUT M6 WELD HEX FLANGE 08</v>
          </cell>
        </row>
        <row r="46">
          <cell r="O46" t="str">
            <v>R10111</v>
          </cell>
          <cell r="P46" t="str">
            <v>A</v>
          </cell>
          <cell r="Q46">
            <v>3.92</v>
          </cell>
          <cell r="R46" t="e">
            <v>#N/A</v>
          </cell>
          <cell r="S46" t="e">
            <v>#N/A</v>
          </cell>
          <cell r="T46" t="str">
            <v>MBR ASY FLR SD FRONT LH</v>
          </cell>
        </row>
        <row r="47">
          <cell r="O47" t="str">
            <v>R10117</v>
          </cell>
          <cell r="P47" t="str">
            <v>A</v>
          </cell>
          <cell r="Q47">
            <v>4.26</v>
          </cell>
          <cell r="R47" t="e">
            <v>#N/A</v>
          </cell>
          <cell r="S47" t="e">
            <v>#N/A</v>
          </cell>
          <cell r="T47" t="str">
            <v>MBR FLOOR SIDE INNER LH</v>
          </cell>
        </row>
        <row r="48">
          <cell r="O48" t="str">
            <v>R10371</v>
          </cell>
          <cell r="P48" t="str">
            <v>A</v>
          </cell>
          <cell r="Q48">
            <v>0.72</v>
          </cell>
          <cell r="R48" t="str">
            <v>YES</v>
          </cell>
          <cell r="S48">
            <v>0.62882096069868987</v>
          </cell>
          <cell r="T48" t="str">
            <v>REINF FLR SD INR MBR LH</v>
          </cell>
        </row>
        <row r="49">
          <cell r="O49" t="str">
            <v>A61216</v>
          </cell>
          <cell r="P49" t="str">
            <v>A</v>
          </cell>
          <cell r="Q49">
            <v>0.18</v>
          </cell>
          <cell r="R49" t="e">
            <v>#N/A</v>
          </cell>
          <cell r="S49" t="e">
            <v>#N/A</v>
          </cell>
          <cell r="T49" t="str">
            <v>REINF SAFETY BELT ANCHOR</v>
          </cell>
        </row>
        <row r="50">
          <cell r="O50" t="str">
            <v>W520720</v>
          </cell>
          <cell r="P50" t="str">
            <v>C</v>
          </cell>
          <cell r="Q50">
            <v>1.4312226250000002E-2</v>
          </cell>
          <cell r="R50" t="e">
            <v>#N/A</v>
          </cell>
          <cell r="S50" t="e">
            <v>#N/A</v>
          </cell>
          <cell r="T50" t="str">
            <v>NUT M6 WELD HEX FLANGE 08</v>
          </cell>
        </row>
        <row r="51">
          <cell r="O51" t="str">
            <v>R025A61</v>
          </cell>
          <cell r="P51" t="str">
            <v>A</v>
          </cell>
          <cell r="Q51">
            <v>2.67</v>
          </cell>
          <cell r="R51" t="str">
            <v>YES</v>
          </cell>
          <cell r="S51">
            <v>2.3318777292576418</v>
          </cell>
          <cell r="T51" t="str">
            <v>PNL FRT BODY LOWER INNER LH</v>
          </cell>
        </row>
        <row r="52">
          <cell r="O52" t="str">
            <v>W520720</v>
          </cell>
          <cell r="Q52">
            <v>1.4312226250000002E-2</v>
          </cell>
          <cell r="R52" t="e">
            <v>#N/A</v>
          </cell>
          <cell r="S52" t="e">
            <v>#N/A</v>
          </cell>
          <cell r="T52" t="str">
            <v>NUT M6 WELD HEX FLANGE 08</v>
          </cell>
        </row>
        <row r="53">
          <cell r="O53" t="str">
            <v>R044B53</v>
          </cell>
          <cell r="P53" t="str">
            <v>A</v>
          </cell>
          <cell r="Q53">
            <v>0.91</v>
          </cell>
          <cell r="R53" t="str">
            <v>YES</v>
          </cell>
          <cell r="S53">
            <v>0.79475982532751088</v>
          </cell>
          <cell r="T53" t="str">
            <v>BRKT I/PNL MTNG UPR LH</v>
          </cell>
        </row>
        <row r="54">
          <cell r="O54" t="str">
            <v>W520721</v>
          </cell>
          <cell r="P54" t="str">
            <v xml:space="preserve"> </v>
          </cell>
          <cell r="Q54">
            <v>1.8044854856000003E-2</v>
          </cell>
          <cell r="R54" t="e">
            <v>#N/A</v>
          </cell>
          <cell r="S54" t="e">
            <v>#N/A</v>
          </cell>
          <cell r="T54" t="str">
            <v>NUT M6 WELD HEX FLANGE 08</v>
          </cell>
        </row>
        <row r="55">
          <cell r="O55" t="str">
            <v>R10110</v>
          </cell>
          <cell r="P55" t="str">
            <v>A</v>
          </cell>
          <cell r="Q55">
            <v>3.92</v>
          </cell>
          <cell r="R55" t="e">
            <v>#N/A</v>
          </cell>
          <cell r="S55" t="e">
            <v>#N/A</v>
          </cell>
          <cell r="T55" t="str">
            <v>MBR ASY FLR SD FRONT RH</v>
          </cell>
        </row>
        <row r="56">
          <cell r="O56" t="str">
            <v>R10116</v>
          </cell>
          <cell r="P56" t="str">
            <v>A</v>
          </cell>
          <cell r="Q56">
            <v>4.26</v>
          </cell>
          <cell r="R56" t="e">
            <v>#N/A</v>
          </cell>
          <cell r="S56" t="e">
            <v>#N/A</v>
          </cell>
          <cell r="T56" t="str">
            <v>MBR FLOOR SIDE INNER RH</v>
          </cell>
        </row>
        <row r="57">
          <cell r="O57" t="str">
            <v>R10370</v>
          </cell>
          <cell r="P57" t="str">
            <v>A</v>
          </cell>
          <cell r="Q57">
            <v>0.72</v>
          </cell>
          <cell r="R57" t="str">
            <v>YES</v>
          </cell>
          <cell r="S57">
            <v>0.62882096069868987</v>
          </cell>
          <cell r="T57" t="str">
            <v>REINF FLR SD INR MBR RH</v>
          </cell>
        </row>
        <row r="58">
          <cell r="O58" t="str">
            <v>A61216</v>
          </cell>
          <cell r="P58" t="str">
            <v>A</v>
          </cell>
          <cell r="Q58">
            <v>0.18</v>
          </cell>
          <cell r="R58" t="e">
            <v>#N/A</v>
          </cell>
          <cell r="S58" t="e">
            <v>#N/A</v>
          </cell>
          <cell r="T58" t="str">
            <v>REINF SAFETY BELT ANCHOR</v>
          </cell>
        </row>
        <row r="59">
          <cell r="O59" t="str">
            <v>W520720</v>
          </cell>
          <cell r="P59" t="str">
            <v xml:space="preserve"> </v>
          </cell>
          <cell r="Q59">
            <v>1.4312226250000002E-2</v>
          </cell>
          <cell r="R59" t="e">
            <v>#N/A</v>
          </cell>
          <cell r="S59" t="e">
            <v>#N/A</v>
          </cell>
          <cell r="T59" t="str">
            <v>NUT M6 WELD HEX FLANGE 08</v>
          </cell>
        </row>
        <row r="60">
          <cell r="O60" t="str">
            <v>R025A60</v>
          </cell>
          <cell r="P60" t="str">
            <v>A</v>
          </cell>
          <cell r="Q60">
            <v>2.67</v>
          </cell>
          <cell r="R60" t="str">
            <v>YES</v>
          </cell>
          <cell r="S60">
            <v>2.3318777292576418</v>
          </cell>
          <cell r="T60" t="str">
            <v>PNL FRT BODY LOWER INNER RH</v>
          </cell>
        </row>
        <row r="61">
          <cell r="O61" t="str">
            <v>W520720</v>
          </cell>
          <cell r="P61" t="str">
            <v xml:space="preserve"> </v>
          </cell>
          <cell r="Q61">
            <v>1.4312226250000002E-2</v>
          </cell>
          <cell r="R61" t="e">
            <v>#N/A</v>
          </cell>
          <cell r="S61" t="e">
            <v>#N/A</v>
          </cell>
          <cell r="T61" t="str">
            <v>NUT M6 WELD HEX FLANGE 08</v>
          </cell>
        </row>
        <row r="62">
          <cell r="O62" t="str">
            <v>R044B52</v>
          </cell>
          <cell r="P62" t="str">
            <v>A</v>
          </cell>
          <cell r="Q62">
            <v>0.91</v>
          </cell>
          <cell r="R62" t="str">
            <v>YES</v>
          </cell>
          <cell r="S62">
            <v>0.79475982532751088</v>
          </cell>
          <cell r="T62" t="str">
            <v>BRKT I/PNL MTNG UPR RH</v>
          </cell>
        </row>
        <row r="63">
          <cell r="O63" t="str">
            <v>W520721</v>
          </cell>
          <cell r="P63" t="str">
            <v xml:space="preserve"> </v>
          </cell>
          <cell r="Q63">
            <v>1.8044854856000003E-2</v>
          </cell>
          <cell r="R63" t="e">
            <v>#N/A</v>
          </cell>
          <cell r="S63" t="e">
            <v>#N/A</v>
          </cell>
          <cell r="T63" t="str">
            <v>NUT M6 WELD HEX FLANGE 08</v>
          </cell>
        </row>
        <row r="64">
          <cell r="O64" t="str">
            <v>R045B30</v>
          </cell>
          <cell r="P64" t="str">
            <v>A</v>
          </cell>
          <cell r="Q64" t="e">
            <v>#N/A</v>
          </cell>
          <cell r="R64" t="str">
            <v>YES</v>
          </cell>
          <cell r="S64">
            <v>0.7860262008733625</v>
          </cell>
          <cell r="T64" t="str">
            <v>SUPT CNSL PNL RR</v>
          </cell>
        </row>
      </sheetData>
      <sheetData sheetId="3" refreshError="1">
        <row r="4">
          <cell r="O4" t="str">
            <v xml:space="preserve">R11215 </v>
          </cell>
          <cell r="P4" t="str">
            <v>AA</v>
          </cell>
          <cell r="Q4" t="e">
            <v>#N/A</v>
          </cell>
          <cell r="R4" t="e">
            <v>#N/A</v>
          </cell>
          <cell r="S4" t="e">
            <v>#N/A</v>
          </cell>
          <cell r="T4" t="str">
            <v>Pnl Assy RR Flr</v>
          </cell>
        </row>
        <row r="5">
          <cell r="O5" t="str">
            <v xml:space="preserve">F11215 </v>
          </cell>
          <cell r="P5" t="str">
            <v>AA</v>
          </cell>
          <cell r="Q5" t="e">
            <v>#N/A</v>
          </cell>
          <cell r="R5" t="e">
            <v>#N/A</v>
          </cell>
          <cell r="S5" t="e">
            <v>#N/A</v>
          </cell>
          <cell r="T5" t="str">
            <v>Pnl Assy RR Flr 4dr</v>
          </cell>
        </row>
        <row r="6">
          <cell r="O6" t="str">
            <v>R61238</v>
          </cell>
          <cell r="P6" t="str">
            <v>AA</v>
          </cell>
          <cell r="Q6">
            <v>1.62</v>
          </cell>
          <cell r="R6" t="str">
            <v>YES</v>
          </cell>
          <cell r="S6">
            <v>1.2925764192139737</v>
          </cell>
          <cell r="T6" t="str">
            <v>Reinf Assy Rr Seat Belt Anchor RH</v>
          </cell>
        </row>
        <row r="7">
          <cell r="O7" t="str">
            <v>R61270</v>
          </cell>
          <cell r="P7" t="str">
            <v>AA</v>
          </cell>
          <cell r="Q7">
            <v>1E-3</v>
          </cell>
          <cell r="R7" t="e">
            <v>#N/A</v>
          </cell>
          <cell r="S7" t="e">
            <v>#N/A</v>
          </cell>
          <cell r="T7" t="str">
            <v>Reinf Rr Seat Belt Anchor RH</v>
          </cell>
        </row>
        <row r="8">
          <cell r="O8" t="str">
            <v>9N077</v>
          </cell>
          <cell r="P8" t="str">
            <v>AE</v>
          </cell>
          <cell r="Q8">
            <v>0</v>
          </cell>
          <cell r="R8" t="e">
            <v>#N/A</v>
          </cell>
          <cell r="S8" t="e">
            <v>#N/A</v>
          </cell>
          <cell r="T8" t="str">
            <v>Reinf Fuel Tank Supt</v>
          </cell>
        </row>
        <row r="9">
          <cell r="O9" t="str">
            <v>A605B36</v>
          </cell>
          <cell r="P9" t="str">
            <v>AA</v>
          </cell>
          <cell r="Q9" t="e">
            <v>#N/A</v>
          </cell>
          <cell r="R9" t="e">
            <v>#N/A</v>
          </cell>
          <cell r="S9" t="e">
            <v>#N/A</v>
          </cell>
          <cell r="T9" t="str">
            <v>Pivot Rsb Flr</v>
          </cell>
        </row>
        <row r="10">
          <cell r="O10" t="str">
            <v>A61239</v>
          </cell>
          <cell r="P10" t="str">
            <v>AC</v>
          </cell>
          <cell r="Q10" t="e">
            <v>#N/A</v>
          </cell>
          <cell r="R10" t="e">
            <v>#N/A</v>
          </cell>
          <cell r="S10" t="e">
            <v>#N/A</v>
          </cell>
          <cell r="T10" t="str">
            <v>Reinf Assy Rr Seat Belt Anchor LH</v>
          </cell>
        </row>
        <row r="11">
          <cell r="O11" t="str">
            <v>A61271</v>
          </cell>
          <cell r="P11" t="str">
            <v>AG</v>
          </cell>
          <cell r="Q11" t="e">
            <v>#N/A</v>
          </cell>
          <cell r="R11" t="e">
            <v>#N/A</v>
          </cell>
          <cell r="S11" t="e">
            <v>#N/A</v>
          </cell>
          <cell r="T11" t="str">
            <v>Reinf Rr Seat Belt Anchor LH</v>
          </cell>
        </row>
        <row r="12">
          <cell r="O12" t="str">
            <v>A606A14</v>
          </cell>
          <cell r="P12" t="str">
            <v>AA</v>
          </cell>
          <cell r="Q12">
            <v>0.24</v>
          </cell>
          <cell r="R12" t="str">
            <v>YES</v>
          </cell>
          <cell r="S12">
            <v>0.20960698689956331</v>
          </cell>
          <cell r="T12" t="str">
            <v>Brkt Assy Rear Seat Cush Supp</v>
          </cell>
        </row>
        <row r="13">
          <cell r="O13" t="str">
            <v>A605A38</v>
          </cell>
          <cell r="P13" t="str">
            <v>AA</v>
          </cell>
          <cell r="Q13">
            <v>0.37</v>
          </cell>
          <cell r="R13" t="e">
            <v>#N/A</v>
          </cell>
          <cell r="S13" t="e">
            <v>#N/A</v>
          </cell>
          <cell r="T13" t="str">
            <v>Brkt Rear Seat Cush Supp</v>
          </cell>
        </row>
        <row r="14">
          <cell r="O14" t="str">
            <v>W702321</v>
          </cell>
          <cell r="P14" t="str">
            <v>S300</v>
          </cell>
          <cell r="Q14">
            <v>3.5299674823000005E-2</v>
          </cell>
          <cell r="R14" t="e">
            <v>#N/A</v>
          </cell>
          <cell r="S14" t="e">
            <v>#N/A</v>
          </cell>
          <cell r="T14" t="str">
            <v>Nut Weld M8 Hex Flng Thdls</v>
          </cell>
        </row>
        <row r="15">
          <cell r="O15" t="str">
            <v>A606A15</v>
          </cell>
          <cell r="P15" t="str">
            <v>AD</v>
          </cell>
          <cell r="Q15">
            <v>0.24</v>
          </cell>
          <cell r="R15" t="str">
            <v>YES</v>
          </cell>
          <cell r="S15">
            <v>0.20960698689956331</v>
          </cell>
          <cell r="T15" t="str">
            <v>Brkt Assy Rear Seat Cush Supp</v>
          </cell>
        </row>
        <row r="16">
          <cell r="O16" t="str">
            <v>A605A39</v>
          </cell>
          <cell r="P16" t="str">
            <v>AC</v>
          </cell>
          <cell r="Q16">
            <v>0.37</v>
          </cell>
          <cell r="R16" t="e">
            <v>#N/A</v>
          </cell>
          <cell r="S16" t="e">
            <v>#N/A</v>
          </cell>
          <cell r="T16" t="str">
            <v>Brkt Rear Seat Cush Supp</v>
          </cell>
        </row>
        <row r="17">
          <cell r="O17" t="str">
            <v>W702321</v>
          </cell>
          <cell r="P17" t="str">
            <v>S300</v>
          </cell>
          <cell r="Q17">
            <v>3.5299674823000005E-2</v>
          </cell>
          <cell r="R17" t="e">
            <v>#N/A</v>
          </cell>
          <cell r="S17" t="e">
            <v>#N/A</v>
          </cell>
          <cell r="T17" t="str">
            <v>Nut Weld M8 Hex Flng Thdls</v>
          </cell>
        </row>
        <row r="18">
          <cell r="O18" t="str">
            <v>A638A96</v>
          </cell>
          <cell r="P18" t="str">
            <v>AA</v>
          </cell>
          <cell r="Q18">
            <v>1E-3</v>
          </cell>
          <cell r="R18" t="e">
            <v>#N/A</v>
          </cell>
          <cell r="S18" t="e">
            <v>#N/A</v>
          </cell>
          <cell r="T18" t="str">
            <v>Retainer Rear Seat Cush Ctr</v>
          </cell>
        </row>
        <row r="19">
          <cell r="O19" t="str">
            <v>A638A97</v>
          </cell>
          <cell r="P19" t="str">
            <v>AA</v>
          </cell>
          <cell r="Q19">
            <v>1E-3</v>
          </cell>
          <cell r="R19" t="e">
            <v>#N/A</v>
          </cell>
          <cell r="S19" t="e">
            <v>#N/A</v>
          </cell>
          <cell r="T19" t="str">
            <v>Retainer Rear Seat Cush Outr</v>
          </cell>
        </row>
        <row r="20">
          <cell r="O20" t="str">
            <v>A624K25/6</v>
          </cell>
          <cell r="P20" t="str">
            <v>AE</v>
          </cell>
          <cell r="Q20" t="e">
            <v>#N/A</v>
          </cell>
          <cell r="R20" t="e">
            <v>#N/A</v>
          </cell>
          <cell r="S20" t="e">
            <v>#N/A</v>
          </cell>
          <cell r="T20" t="str">
            <v>Reinf RR St Back to W/H</v>
          </cell>
        </row>
        <row r="21">
          <cell r="O21" t="str">
            <v>A64310</v>
          </cell>
          <cell r="P21" t="str">
            <v>AA</v>
          </cell>
          <cell r="Q21">
            <v>4.2999999999999997E-2</v>
          </cell>
          <cell r="R21" t="e">
            <v>#N/A</v>
          </cell>
          <cell r="S21" t="e">
            <v>#N/A</v>
          </cell>
          <cell r="T21" t="str">
            <v>Bar Load Restrainer</v>
          </cell>
        </row>
        <row r="22">
          <cell r="O22" t="str">
            <v>A63376/7</v>
          </cell>
          <cell r="P22" t="str">
            <v>BB</v>
          </cell>
          <cell r="Q22" t="e">
            <v>#N/A</v>
          </cell>
          <cell r="R22" t="e">
            <v>#N/A</v>
          </cell>
          <cell r="S22" t="e">
            <v>#N/A</v>
          </cell>
          <cell r="T22" t="str">
            <v>Cover Rear Seat Cush Heel</v>
          </cell>
        </row>
        <row r="23">
          <cell r="O23" t="str">
            <v>B101A16/7</v>
          </cell>
          <cell r="P23" t="str">
            <v>AC</v>
          </cell>
          <cell r="Q23" t="e">
            <v>#N/A</v>
          </cell>
          <cell r="R23" t="e">
            <v>#N/A</v>
          </cell>
          <cell r="S23" t="e">
            <v>#N/A</v>
          </cell>
          <cell r="T23" t="str">
            <v>Reinf Floor Sd Mbr RH</v>
          </cell>
        </row>
        <row r="24">
          <cell r="O24" t="str">
            <v>A600M40</v>
          </cell>
          <cell r="P24" t="str">
            <v>AC</v>
          </cell>
          <cell r="Q24">
            <v>0.5</v>
          </cell>
          <cell r="R24" t="e">
            <v>#N/A</v>
          </cell>
          <cell r="S24" t="e">
            <v>#N/A</v>
          </cell>
          <cell r="T24" t="str">
            <v>Reinf RR Seat Cush Hinge</v>
          </cell>
        </row>
        <row r="25">
          <cell r="O25" t="str">
            <v>W702321</v>
          </cell>
          <cell r="P25" t="str">
            <v>S300</v>
          </cell>
          <cell r="Q25">
            <v>3.5299674823000005E-2</v>
          </cell>
          <cell r="R25" t="e">
            <v>#N/A</v>
          </cell>
          <cell r="S25" t="e">
            <v>#N/A</v>
          </cell>
          <cell r="T25" t="str">
            <v>Nut Weld M8 Hex Flng Thdls</v>
          </cell>
        </row>
        <row r="26">
          <cell r="O26" t="str">
            <v>R47124</v>
          </cell>
          <cell r="P26" t="str">
            <v>AA</v>
          </cell>
          <cell r="Q26" t="e">
            <v>#N/A</v>
          </cell>
          <cell r="R26" t="e">
            <v>#N/A</v>
          </cell>
          <cell r="S26" t="e">
            <v>#N/A</v>
          </cell>
          <cell r="T26" t="str">
            <v>Filler Spare Wheel Well Part</v>
          </cell>
        </row>
        <row r="27">
          <cell r="O27" t="str">
            <v>R47124</v>
          </cell>
          <cell r="P27" t="str">
            <v>BA</v>
          </cell>
          <cell r="Q27" t="e">
            <v>#N/A</v>
          </cell>
          <cell r="R27" t="e">
            <v>#N/A</v>
          </cell>
          <cell r="S27" t="e">
            <v>#N/A</v>
          </cell>
          <cell r="T27" t="str">
            <v>Filler Spare Wheel Well Part</v>
          </cell>
        </row>
        <row r="28">
          <cell r="O28" t="str">
            <v>R47124</v>
          </cell>
          <cell r="P28" t="str">
            <v>CA</v>
          </cell>
          <cell r="Q28" t="e">
            <v>#N/A</v>
          </cell>
          <cell r="R28" t="e">
            <v>#N/A</v>
          </cell>
          <cell r="S28" t="e">
            <v>#N/A</v>
          </cell>
          <cell r="T28" t="str">
            <v>Filler Spare Wheel Well Part</v>
          </cell>
        </row>
        <row r="29">
          <cell r="O29" t="str">
            <v>R11218</v>
          </cell>
          <cell r="P29" t="str">
            <v>BA</v>
          </cell>
          <cell r="Q29">
            <v>13.11</v>
          </cell>
          <cell r="R29" t="e">
            <v>#N/A</v>
          </cell>
          <cell r="S29" t="e">
            <v>#N/A</v>
          </cell>
          <cell r="T29" t="str">
            <v>Panel Rear Floor</v>
          </cell>
        </row>
        <row r="30">
          <cell r="O30" t="str">
            <v>A47076</v>
          </cell>
          <cell r="P30" t="str">
            <v>AC</v>
          </cell>
          <cell r="Q30">
            <v>0.2</v>
          </cell>
          <cell r="R30" t="e">
            <v>#N/A</v>
          </cell>
          <cell r="S30" t="e">
            <v>#N/A</v>
          </cell>
          <cell r="T30" t="str">
            <v>Brkt Spare Wheel Mntg</v>
          </cell>
        </row>
        <row r="31">
          <cell r="O31" t="str">
            <v>A11218</v>
          </cell>
          <cell r="P31" t="str">
            <v>AA</v>
          </cell>
          <cell r="Q31">
            <v>13.11</v>
          </cell>
          <cell r="R31" t="e">
            <v>#N/A</v>
          </cell>
          <cell r="S31" t="e">
            <v>#N/A</v>
          </cell>
          <cell r="T31" t="str">
            <v>Panel Rear Floor</v>
          </cell>
        </row>
        <row r="32">
          <cell r="O32" t="str">
            <v>F11218</v>
          </cell>
          <cell r="P32" t="str">
            <v>AA</v>
          </cell>
          <cell r="Q32">
            <v>0</v>
          </cell>
          <cell r="R32" t="e">
            <v>#N/A</v>
          </cell>
          <cell r="S32" t="e">
            <v>#N/A</v>
          </cell>
          <cell r="T32" t="str">
            <v>Panel Rear Floor</v>
          </cell>
        </row>
        <row r="33">
          <cell r="O33" t="str">
            <v>F11218</v>
          </cell>
          <cell r="P33" t="str">
            <v>AA</v>
          </cell>
          <cell r="Q33">
            <v>0</v>
          </cell>
          <cell r="R33" t="e">
            <v>#N/A</v>
          </cell>
          <cell r="S33" t="e">
            <v>#N/A</v>
          </cell>
          <cell r="T33" t="str">
            <v>Panel Rear Floor</v>
          </cell>
        </row>
        <row r="34">
          <cell r="O34" t="str">
            <v>N11218</v>
          </cell>
          <cell r="P34" t="str">
            <v>AA</v>
          </cell>
          <cell r="Q34">
            <v>0</v>
          </cell>
          <cell r="R34" t="e">
            <v>#N/A</v>
          </cell>
          <cell r="S34" t="e">
            <v>#N/A</v>
          </cell>
          <cell r="T34" t="str">
            <v>Panel Rear Floor</v>
          </cell>
        </row>
        <row r="35">
          <cell r="O35" t="str">
            <v>N47124</v>
          </cell>
          <cell r="P35" t="str">
            <v>AA</v>
          </cell>
          <cell r="Q35">
            <v>9.3740000000000006</v>
          </cell>
          <cell r="R35" t="e">
            <v>#N/A</v>
          </cell>
          <cell r="S35" t="e">
            <v>#N/A</v>
          </cell>
          <cell r="T35" t="str">
            <v>Filler Spare Wheel Well Panel</v>
          </cell>
        </row>
        <row r="36">
          <cell r="O36" t="str">
            <v>N47076</v>
          </cell>
          <cell r="P36" t="str">
            <v>AB</v>
          </cell>
          <cell r="Q36">
            <v>0.186</v>
          </cell>
          <cell r="R36" t="e">
            <v>#N/A</v>
          </cell>
          <cell r="S36" t="e">
            <v>#N/A</v>
          </cell>
          <cell r="T36" t="str">
            <v>Brkt Spare Wheel Mntg</v>
          </cell>
        </row>
        <row r="37">
          <cell r="O37" t="str">
            <v>N47100</v>
          </cell>
          <cell r="P37" t="str">
            <v>AC</v>
          </cell>
          <cell r="Q37">
            <v>8.5999999999999993E-2</v>
          </cell>
          <cell r="R37" t="e">
            <v>#N/A</v>
          </cell>
          <cell r="S37" t="e">
            <v>#N/A</v>
          </cell>
          <cell r="T37" t="str">
            <v>Brkt Spare Wheel Well Cvr</v>
          </cell>
        </row>
        <row r="38">
          <cell r="O38" t="str">
            <v>W700121</v>
          </cell>
          <cell r="P38" t="str">
            <v>S403</v>
          </cell>
          <cell r="Q38">
            <v>5.0000000000000001E-3</v>
          </cell>
          <cell r="R38" t="e">
            <v>#N/A</v>
          </cell>
          <cell r="S38" t="e">
            <v>#N/A</v>
          </cell>
          <cell r="T38" t="str">
            <v>Stud 5x14.2 Wld Spl Thd</v>
          </cell>
        </row>
        <row r="39">
          <cell r="Q39" t="e">
            <v>#N/A</v>
          </cell>
          <cell r="R39" t="e">
            <v>#N/A</v>
          </cell>
          <cell r="S39" t="e">
            <v>#N/A</v>
          </cell>
        </row>
        <row r="40">
          <cell r="O40" t="str">
            <v>R27834/5</v>
          </cell>
          <cell r="P40" t="str">
            <v>AA</v>
          </cell>
          <cell r="Q40" t="e">
            <v>#N/A</v>
          </cell>
          <cell r="R40" t="e">
            <v>#N/A</v>
          </cell>
          <cell r="S40" t="e">
            <v>#N/A</v>
          </cell>
          <cell r="T40" t="str">
            <v>Bodyside W/H Inr</v>
          </cell>
        </row>
        <row r="41">
          <cell r="O41" t="str">
            <v>N27834/5</v>
          </cell>
          <cell r="P41" t="str">
            <v>AA</v>
          </cell>
          <cell r="Q41" t="e">
            <v>#N/A</v>
          </cell>
          <cell r="R41" t="e">
            <v>#N/A</v>
          </cell>
          <cell r="S41" t="e">
            <v>#N/A</v>
          </cell>
          <cell r="T41" t="str">
            <v>Bodyside W/H Inr</v>
          </cell>
        </row>
        <row r="42">
          <cell r="O42" t="str">
            <v>R27886/7</v>
          </cell>
          <cell r="P42" t="str">
            <v>AC</v>
          </cell>
          <cell r="Q42" t="e">
            <v>#N/A</v>
          </cell>
          <cell r="R42" t="e">
            <v>#N/A</v>
          </cell>
          <cell r="S42" t="e">
            <v>#N/A</v>
          </cell>
          <cell r="T42" t="str">
            <v xml:space="preserve">Panel W/House Inner </v>
          </cell>
        </row>
        <row r="43">
          <cell r="O43" t="str">
            <v>N27886/7</v>
          </cell>
          <cell r="P43" t="str">
            <v>AA</v>
          </cell>
          <cell r="Q43" t="e">
            <v>#N/A</v>
          </cell>
          <cell r="R43" t="e">
            <v>#N/A</v>
          </cell>
          <cell r="S43" t="e">
            <v>#N/A</v>
          </cell>
          <cell r="T43" t="str">
            <v xml:space="preserve">Panel W/House Inner </v>
          </cell>
        </row>
        <row r="44">
          <cell r="O44" t="str">
            <v>R18A004/5</v>
          </cell>
          <cell r="P44" t="str">
            <v>AA</v>
          </cell>
          <cell r="Q44" t="e">
            <v>#N/A</v>
          </cell>
          <cell r="R44" t="e">
            <v>#N/A</v>
          </cell>
          <cell r="S44" t="e">
            <v>#N/A</v>
          </cell>
          <cell r="T44" t="str">
            <v>Brkt MntgRR Shock Absorber</v>
          </cell>
        </row>
        <row r="45">
          <cell r="O45" t="str">
            <v>R18A002/3</v>
          </cell>
          <cell r="P45" t="str">
            <v>AA</v>
          </cell>
          <cell r="Q45" t="e">
            <v>#N/A</v>
          </cell>
          <cell r="R45" t="e">
            <v>#N/A</v>
          </cell>
          <cell r="S45" t="e">
            <v>#N/A</v>
          </cell>
          <cell r="T45" t="str">
            <v>Reinf RR Shock Abs Mbr</v>
          </cell>
        </row>
        <row r="46">
          <cell r="O46" t="str">
            <v>W700791</v>
          </cell>
          <cell r="P46" t="str">
            <v>S300</v>
          </cell>
          <cell r="Q46">
            <v>0.03</v>
          </cell>
          <cell r="R46" t="e">
            <v>#N/A</v>
          </cell>
          <cell r="S46" t="e">
            <v>#N/A</v>
          </cell>
          <cell r="T46" t="str">
            <v xml:space="preserve">Nut M08 Weld Hex Flng </v>
          </cell>
        </row>
        <row r="47">
          <cell r="O47" t="str">
            <v>A9040</v>
          </cell>
          <cell r="P47" t="str">
            <v>AC</v>
          </cell>
          <cell r="Q47">
            <v>1E-3</v>
          </cell>
          <cell r="R47" t="e">
            <v>#N/A</v>
          </cell>
          <cell r="S47" t="e">
            <v>#N/A</v>
          </cell>
          <cell r="T47" t="str">
            <v>Brkt Fuel Tank Filler Pipe</v>
          </cell>
        </row>
        <row r="48">
          <cell r="O48" t="str">
            <v>W520720</v>
          </cell>
          <cell r="P48" t="str">
            <v>S300</v>
          </cell>
          <cell r="Q48">
            <v>1.4312226250000002E-2</v>
          </cell>
          <cell r="R48" t="e">
            <v>#N/A</v>
          </cell>
          <cell r="S48" t="e">
            <v>#N/A</v>
          </cell>
          <cell r="T48" t="str">
            <v>Nut M06 Weld Hex Flng</v>
          </cell>
        </row>
        <row r="49">
          <cell r="O49" t="str">
            <v>N9040</v>
          </cell>
          <cell r="P49" t="str">
            <v>AC</v>
          </cell>
          <cell r="Q49">
            <v>0</v>
          </cell>
          <cell r="R49" t="e">
            <v>#N/A</v>
          </cell>
          <cell r="S49" t="e">
            <v>#N/A</v>
          </cell>
          <cell r="T49" t="str">
            <v>Brkt Fuel Tank Filler Pipe</v>
          </cell>
        </row>
        <row r="50">
          <cell r="O50" t="str">
            <v>W520720</v>
          </cell>
          <cell r="P50" t="str">
            <v>S300</v>
          </cell>
          <cell r="Q50">
            <v>1.4312226250000002E-2</v>
          </cell>
          <cell r="R50" t="e">
            <v>#N/A</v>
          </cell>
          <cell r="S50" t="e">
            <v>#N/A</v>
          </cell>
          <cell r="T50" t="str">
            <v>Nut M06 Weld Hex Flng</v>
          </cell>
        </row>
        <row r="51">
          <cell r="O51" t="str">
            <v>W700121</v>
          </cell>
          <cell r="P51" t="str">
            <v>S403</v>
          </cell>
          <cell r="Q51">
            <v>5.0000000000000001E-3</v>
          </cell>
          <cell r="R51" t="e">
            <v>#N/A</v>
          </cell>
          <cell r="S51" t="e">
            <v>#N/A</v>
          </cell>
          <cell r="T51" t="str">
            <v>Stud 5x14.2 Wld Spl Thd</v>
          </cell>
        </row>
        <row r="52">
          <cell r="O52" t="str">
            <v>R311A24/5</v>
          </cell>
          <cell r="P52" t="str">
            <v>AA</v>
          </cell>
          <cell r="Q52" t="e">
            <v>#N/A</v>
          </cell>
          <cell r="R52" t="e">
            <v>#N/A</v>
          </cell>
          <cell r="S52" t="e">
            <v>#N/A</v>
          </cell>
          <cell r="T52" t="str">
            <v>Brkt Bdy Sd Trim Pnl Frt</v>
          </cell>
        </row>
        <row r="53">
          <cell r="Q53" t="e">
            <v>#N/A</v>
          </cell>
          <cell r="R53" t="e">
            <v>#N/A</v>
          </cell>
          <cell r="S53" t="e">
            <v>#N/A</v>
          </cell>
        </row>
        <row r="54">
          <cell r="O54" t="str">
            <v>R111L11</v>
          </cell>
          <cell r="P54" t="str">
            <v>AA</v>
          </cell>
          <cell r="Q54" t="e">
            <v>#N/A</v>
          </cell>
          <cell r="R54" t="e">
            <v>#N/A</v>
          </cell>
          <cell r="S54" t="e">
            <v>#N/A</v>
          </cell>
          <cell r="T54" t="str">
            <v>Ladder Frame Assy</v>
          </cell>
        </row>
        <row r="55">
          <cell r="O55" t="str">
            <v>R10124/5</v>
          </cell>
          <cell r="P55" t="str">
            <v>AA</v>
          </cell>
          <cell r="Q55" t="e">
            <v>#N/A</v>
          </cell>
          <cell r="R55" t="e">
            <v>#N/A</v>
          </cell>
          <cell r="S55" t="e">
            <v>#N/A</v>
          </cell>
          <cell r="T55" t="str">
            <v xml:space="preserve">Mbr Assy Flr Sd RR </v>
          </cell>
        </row>
        <row r="56">
          <cell r="O56" t="str">
            <v>R10126/7</v>
          </cell>
          <cell r="P56" t="str">
            <v>AC</v>
          </cell>
          <cell r="Q56" t="e">
            <v>#N/A</v>
          </cell>
          <cell r="R56" t="e">
            <v>#N/A</v>
          </cell>
          <cell r="S56" t="e">
            <v>#N/A</v>
          </cell>
          <cell r="T56" t="str">
            <v>Mbr Flr Sd Rr</v>
          </cell>
        </row>
        <row r="57">
          <cell r="O57" t="str">
            <v>W520721</v>
          </cell>
          <cell r="P57" t="str">
            <v>S300</v>
          </cell>
          <cell r="Q57">
            <v>1.8044854856000003E-2</v>
          </cell>
          <cell r="R57" t="e">
            <v>#N/A</v>
          </cell>
          <cell r="S57" t="e">
            <v>#N/A</v>
          </cell>
          <cell r="T57" t="str">
            <v>Nut Weld M8 Hex Flng 8</v>
          </cell>
        </row>
        <row r="58">
          <cell r="O58" t="str">
            <v>W520720</v>
          </cell>
          <cell r="P58" t="str">
            <v>S300</v>
          </cell>
          <cell r="Q58">
            <v>1.4312226250000002E-2</v>
          </cell>
          <cell r="R58" t="e">
            <v>#N/A</v>
          </cell>
          <cell r="S58" t="e">
            <v>#N/A</v>
          </cell>
          <cell r="T58" t="str">
            <v>Nut Weld M6 Hex Flng 8</v>
          </cell>
        </row>
        <row r="59">
          <cell r="O59" t="str">
            <v>R101B50/1</v>
          </cell>
          <cell r="P59" t="str">
            <v>AB</v>
          </cell>
          <cell r="Q59" t="e">
            <v>#N/A</v>
          </cell>
          <cell r="R59" t="e">
            <v>#N/A</v>
          </cell>
          <cell r="S59" t="e">
            <v>#N/A</v>
          </cell>
          <cell r="T59" t="str">
            <v>Gusset Flr Sd Rr Mbr</v>
          </cell>
        </row>
        <row r="60">
          <cell r="O60" t="str">
            <v>W520721</v>
          </cell>
          <cell r="P60" t="str">
            <v>S300</v>
          </cell>
          <cell r="Q60">
            <v>1.8044854856000003E-2</v>
          </cell>
          <cell r="R60" t="e">
            <v>#N/A</v>
          </cell>
          <cell r="S60" t="e">
            <v>#N/A</v>
          </cell>
          <cell r="T60" t="str">
            <v>Nut Weld M8 Hex Flng 8</v>
          </cell>
        </row>
        <row r="61">
          <cell r="O61" t="str">
            <v>W703677</v>
          </cell>
          <cell r="P61" t="str">
            <v>S300</v>
          </cell>
          <cell r="Q61">
            <v>9.8113173389000011E-2</v>
          </cell>
          <cell r="R61" t="e">
            <v>#N/A</v>
          </cell>
          <cell r="S61" t="e">
            <v>#N/A</v>
          </cell>
          <cell r="T61" t="str">
            <v xml:space="preserve">Nut Weld M12 Hex Flng </v>
          </cell>
        </row>
        <row r="62">
          <cell r="O62" t="str">
            <v>R5K909/10</v>
          </cell>
          <cell r="P62" t="str">
            <v>AA</v>
          </cell>
          <cell r="Q62" t="e">
            <v>#N/A</v>
          </cell>
          <cell r="R62" t="e">
            <v>#N/A</v>
          </cell>
          <cell r="S62" t="e">
            <v>#N/A</v>
          </cell>
          <cell r="T62" t="str">
            <v>Brkt Rr Susp to Bdy</v>
          </cell>
        </row>
        <row r="63">
          <cell r="O63" t="str">
            <v>W703677</v>
          </cell>
          <cell r="P63" t="str">
            <v>S300</v>
          </cell>
          <cell r="Q63">
            <v>9.8113173389000011E-2</v>
          </cell>
          <cell r="R63" t="e">
            <v>#N/A</v>
          </cell>
          <cell r="S63" t="e">
            <v>#N/A</v>
          </cell>
          <cell r="T63" t="str">
            <v>Weld Nut M12 Hex Flng P</v>
          </cell>
        </row>
        <row r="64">
          <cell r="O64" t="str">
            <v>R101K54/5</v>
          </cell>
          <cell r="P64" t="str">
            <v>AB</v>
          </cell>
          <cell r="Q64" t="e">
            <v>#N/A</v>
          </cell>
          <cell r="R64" t="e">
            <v>#N/A</v>
          </cell>
          <cell r="S64" t="e">
            <v>#N/A</v>
          </cell>
          <cell r="T64" t="str">
            <v>Filler Flr Sd Mbr Rr</v>
          </cell>
        </row>
        <row r="65">
          <cell r="O65" t="str">
            <v>5A205</v>
          </cell>
          <cell r="P65" t="str">
            <v>AA</v>
          </cell>
          <cell r="Q65">
            <v>7.0000000000000007E-2</v>
          </cell>
          <cell r="R65" t="e">
            <v>#N/A</v>
          </cell>
          <cell r="S65" t="e">
            <v>#N/A</v>
          </cell>
          <cell r="T65" t="str">
            <v>Brkt Muffler Supp</v>
          </cell>
        </row>
        <row r="66">
          <cell r="O66" t="str">
            <v>A10806</v>
          </cell>
          <cell r="P66" t="str">
            <v>AA</v>
          </cell>
          <cell r="Q66">
            <v>0.21</v>
          </cell>
          <cell r="R66" t="e">
            <v>#N/A</v>
          </cell>
          <cell r="S66" t="e">
            <v>#N/A</v>
          </cell>
          <cell r="T66" t="str">
            <v>Reinf Flr Sd Mbr Tie Dwn</v>
          </cell>
        </row>
        <row r="67">
          <cell r="O67" t="str">
            <v>A10530/1</v>
          </cell>
          <cell r="P67" t="str">
            <v>BA</v>
          </cell>
          <cell r="Q67" t="e">
            <v>#N/A</v>
          </cell>
          <cell r="R67" t="e">
            <v>#N/A</v>
          </cell>
          <cell r="S67" t="e">
            <v>#N/A</v>
          </cell>
          <cell r="T67" t="str">
            <v>Reinf Rr Sd Mbr</v>
          </cell>
        </row>
        <row r="68">
          <cell r="O68" t="str">
            <v>W703677</v>
          </cell>
          <cell r="P68" t="str">
            <v>S300</v>
          </cell>
          <cell r="Q68">
            <v>9.8113173389000011E-2</v>
          </cell>
          <cell r="R68" t="e">
            <v>#N/A</v>
          </cell>
          <cell r="S68" t="e">
            <v>#N/A</v>
          </cell>
          <cell r="T68" t="str">
            <v>Weld Nut M12 Hex Flng</v>
          </cell>
        </row>
        <row r="69">
          <cell r="O69" t="str">
            <v>A10200/1</v>
          </cell>
          <cell r="P69" t="str">
            <v>AD</v>
          </cell>
          <cell r="Q69" t="e">
            <v>#N/A</v>
          </cell>
          <cell r="R69" t="e">
            <v>#N/A</v>
          </cell>
          <cell r="S69" t="e">
            <v>#N/A</v>
          </cell>
          <cell r="T69" t="str">
            <v>Reinf Asy Flr Sd Mbr Rr</v>
          </cell>
        </row>
        <row r="70">
          <cell r="O70" t="str">
            <v>A10250/1</v>
          </cell>
          <cell r="P70" t="str">
            <v>AC</v>
          </cell>
          <cell r="Q70" t="e">
            <v>#N/A</v>
          </cell>
          <cell r="R70" t="e">
            <v>#N/A</v>
          </cell>
          <cell r="S70" t="e">
            <v>#N/A</v>
          </cell>
          <cell r="T70" t="str">
            <v>Reinf Flr Sd Mbr Rr</v>
          </cell>
        </row>
        <row r="71">
          <cell r="O71" t="str">
            <v>5C364</v>
          </cell>
          <cell r="P71" t="str">
            <v>BB</v>
          </cell>
          <cell r="Q71">
            <v>0</v>
          </cell>
          <cell r="R71" t="e">
            <v>#N/A</v>
          </cell>
          <cell r="S71" t="e">
            <v>#N/A</v>
          </cell>
          <cell r="T71" t="str">
            <v>Spacer Subfr Mntg</v>
          </cell>
        </row>
        <row r="72">
          <cell r="O72" t="str">
            <v>A60100/1</v>
          </cell>
          <cell r="P72" t="str">
            <v>AD</v>
          </cell>
          <cell r="Q72" t="e">
            <v>#N/A</v>
          </cell>
          <cell r="R72" t="e">
            <v>#N/A</v>
          </cell>
          <cell r="S72" t="e">
            <v>#N/A</v>
          </cell>
          <cell r="T72" t="str">
            <v>Reinf Rr Seat Belt Anchor</v>
          </cell>
        </row>
        <row r="73">
          <cell r="O73" t="str">
            <v>2L455</v>
          </cell>
          <cell r="P73" t="str">
            <v>CB</v>
          </cell>
          <cell r="Q73">
            <v>1E-3</v>
          </cell>
          <cell r="R73" t="e">
            <v>#N/A</v>
          </cell>
          <cell r="S73" t="e">
            <v>#N/A</v>
          </cell>
          <cell r="T73" t="str">
            <v>Brkt Brk Line Frt</v>
          </cell>
        </row>
        <row r="74">
          <cell r="O74" t="str">
            <v>R10692</v>
          </cell>
          <cell r="P74" t="str">
            <v>AA</v>
          </cell>
          <cell r="Q74">
            <v>1.37</v>
          </cell>
          <cell r="R74" t="str">
            <v>YES</v>
          </cell>
          <cell r="S74">
            <v>1.1965065502183407</v>
          </cell>
          <cell r="T74" t="str">
            <v>Member Assy Frt Crs</v>
          </cell>
        </row>
        <row r="75">
          <cell r="O75" t="str">
            <v>R109A68</v>
          </cell>
          <cell r="P75" t="str">
            <v>AC</v>
          </cell>
          <cell r="Q75">
            <v>3.5</v>
          </cell>
          <cell r="R75" t="e">
            <v>#N/A</v>
          </cell>
          <cell r="S75" t="e">
            <v>#N/A</v>
          </cell>
          <cell r="T75" t="str">
            <v>Mbr Frt Flr Crs Rr</v>
          </cell>
        </row>
        <row r="76">
          <cell r="O76" t="str">
            <v>9N077</v>
          </cell>
          <cell r="P76" t="str">
            <v>AC</v>
          </cell>
          <cell r="Q76">
            <v>0</v>
          </cell>
          <cell r="R76" t="e">
            <v>#N/A</v>
          </cell>
          <cell r="S76" t="e">
            <v>#N/A</v>
          </cell>
          <cell r="T76" t="str">
            <v>Reinf Fuel Tank Sup Otr</v>
          </cell>
        </row>
        <row r="77">
          <cell r="O77" t="str">
            <v>R9K157</v>
          </cell>
          <cell r="P77" t="str">
            <v>AB</v>
          </cell>
          <cell r="Q77" t="e">
            <v>#N/A</v>
          </cell>
          <cell r="R77" t="e">
            <v>#N/A</v>
          </cell>
          <cell r="S77" t="e">
            <v>#N/A</v>
          </cell>
          <cell r="T77" t="str">
            <v>Brkt Fuel Tank Supt Frt</v>
          </cell>
        </row>
        <row r="78">
          <cell r="O78" t="str">
            <v>R4K338</v>
          </cell>
          <cell r="P78" t="str">
            <v>AA</v>
          </cell>
          <cell r="Q78" t="e">
            <v>#N/A</v>
          </cell>
          <cell r="R78" t="str">
            <v>YES</v>
          </cell>
          <cell r="S78">
            <v>2.200414413712664</v>
          </cell>
          <cell r="T78" t="str">
            <v>Mbr Assy Crs RR Axle</v>
          </cell>
        </row>
        <row r="79">
          <cell r="O79" t="str">
            <v>R4K170</v>
          </cell>
          <cell r="P79" t="str">
            <v>AC</v>
          </cell>
          <cell r="Q79">
            <v>1.52</v>
          </cell>
          <cell r="R79" t="e">
            <v>#N/A</v>
          </cell>
          <cell r="S79" t="e">
            <v>#N/A</v>
          </cell>
          <cell r="T79" t="str">
            <v>Crs Mbr Rr Axle Diff Mntg</v>
          </cell>
        </row>
        <row r="80">
          <cell r="O80" t="str">
            <v>W520722</v>
          </cell>
          <cell r="P80" t="str">
            <v>S300</v>
          </cell>
          <cell r="Q80">
            <v>3.1429648845000005E-2</v>
          </cell>
          <cell r="R80" t="e">
            <v>#N/A</v>
          </cell>
          <cell r="S80" t="e">
            <v>#N/A</v>
          </cell>
          <cell r="T80" t="str">
            <v>Nut M10 Weld Hex Flng</v>
          </cell>
        </row>
        <row r="81">
          <cell r="O81" t="str">
            <v>W520721</v>
          </cell>
          <cell r="P81" t="str">
            <v>S300</v>
          </cell>
          <cell r="Q81">
            <v>1.8044854856000003E-2</v>
          </cell>
          <cell r="R81" t="e">
            <v>#N/A</v>
          </cell>
          <cell r="S81" t="e">
            <v>#N/A</v>
          </cell>
          <cell r="T81" t="str">
            <v>Nut M08 Weld Hex Flng</v>
          </cell>
        </row>
        <row r="82">
          <cell r="O82" t="str">
            <v>R9N124</v>
          </cell>
          <cell r="P82" t="str">
            <v>AB</v>
          </cell>
          <cell r="Q82" t="e">
            <v>#N/A</v>
          </cell>
          <cell r="R82" t="e">
            <v>#N/A</v>
          </cell>
          <cell r="S82" t="e">
            <v>#N/A</v>
          </cell>
          <cell r="T82" t="str">
            <v>Brkt Fuel Tank Fix</v>
          </cell>
        </row>
        <row r="83">
          <cell r="O83" t="str">
            <v>A000K70</v>
          </cell>
          <cell r="P83" t="str">
            <v>AB</v>
          </cell>
          <cell r="Q83">
            <v>0.05</v>
          </cell>
          <cell r="R83" t="e">
            <v>#N/A</v>
          </cell>
          <cell r="S83" t="e">
            <v>#N/A</v>
          </cell>
          <cell r="T83" t="str">
            <v>Reinf Plt M/C Hole</v>
          </cell>
        </row>
        <row r="84">
          <cell r="O84" t="str">
            <v>F10126/7</v>
          </cell>
          <cell r="P84" t="str">
            <v>AA</v>
          </cell>
          <cell r="Q84" t="e">
            <v>#N/A</v>
          </cell>
          <cell r="R84" t="e">
            <v>#N/A</v>
          </cell>
          <cell r="S84" t="e">
            <v>#N/A</v>
          </cell>
          <cell r="T84" t="str">
            <v>Mbr Flr Sd Rr</v>
          </cell>
        </row>
        <row r="85">
          <cell r="O85" t="str">
            <v>W520721</v>
          </cell>
          <cell r="P85" t="str">
            <v>S300</v>
          </cell>
          <cell r="Q85">
            <v>1.8044854856000003E-2</v>
          </cell>
          <cell r="R85" t="e">
            <v>#N/A</v>
          </cell>
          <cell r="S85" t="e">
            <v>#N/A</v>
          </cell>
          <cell r="T85" t="str">
            <v>Nut Weld M8 Hex Flng 8</v>
          </cell>
        </row>
        <row r="86">
          <cell r="O86" t="str">
            <v>W520720</v>
          </cell>
          <cell r="P86" t="str">
            <v>S300</v>
          </cell>
          <cell r="Q86">
            <v>1.4312226250000002E-2</v>
          </cell>
          <cell r="R86" t="e">
            <v>#N/A</v>
          </cell>
          <cell r="S86" t="e">
            <v>#N/A</v>
          </cell>
          <cell r="T86" t="str">
            <v>Nut Weld M6 Hex Flng 8</v>
          </cell>
        </row>
        <row r="87">
          <cell r="O87" t="str">
            <v>N10126/7</v>
          </cell>
          <cell r="P87" t="str">
            <v>AA</v>
          </cell>
          <cell r="Q87" t="e">
            <v>#N/A</v>
          </cell>
          <cell r="R87" t="e">
            <v>#N/A</v>
          </cell>
          <cell r="S87" t="e">
            <v>#N/A</v>
          </cell>
          <cell r="T87" t="str">
            <v>Mbr Flr Sd Rr</v>
          </cell>
        </row>
        <row r="88">
          <cell r="O88" t="str">
            <v>W520721</v>
          </cell>
          <cell r="P88" t="str">
            <v>S300</v>
          </cell>
          <cell r="Q88">
            <v>1.8044854856000003E-2</v>
          </cell>
          <cell r="R88" t="e">
            <v>#N/A</v>
          </cell>
          <cell r="S88" t="e">
            <v>#N/A</v>
          </cell>
          <cell r="T88" t="str">
            <v>Nut Weld M8 Hex Flng 8</v>
          </cell>
        </row>
        <row r="89">
          <cell r="O89" t="str">
            <v>W520720</v>
          </cell>
          <cell r="P89" t="str">
            <v>S300</v>
          </cell>
          <cell r="Q89">
            <v>1.4312226250000002E-2</v>
          </cell>
          <cell r="R89" t="e">
            <v>#N/A</v>
          </cell>
          <cell r="S89" t="e">
            <v>#N/A</v>
          </cell>
          <cell r="T89" t="str">
            <v>Nut Weld M6 Hex Flng 8</v>
          </cell>
        </row>
        <row r="90">
          <cell r="O90" t="str">
            <v>N10124/5</v>
          </cell>
          <cell r="P90" t="str">
            <v>AA</v>
          </cell>
          <cell r="Q90" t="e">
            <v>#N/A</v>
          </cell>
          <cell r="R90" t="e">
            <v>#N/A</v>
          </cell>
          <cell r="S90" t="e">
            <v>#N/A</v>
          </cell>
          <cell r="T90" t="str">
            <v xml:space="preserve">Mbr Assy Flr Sd RR </v>
          </cell>
        </row>
        <row r="91">
          <cell r="O91" t="str">
            <v>N10126/7</v>
          </cell>
          <cell r="P91" t="str">
            <v>AA</v>
          </cell>
          <cell r="Q91" t="e">
            <v>#N/A</v>
          </cell>
          <cell r="R91" t="e">
            <v>#N/A</v>
          </cell>
          <cell r="S91" t="e">
            <v>#N/A</v>
          </cell>
          <cell r="T91" t="str">
            <v>Mbr Flr Sd Rr</v>
          </cell>
        </row>
        <row r="92">
          <cell r="O92" t="str">
            <v>W520720</v>
          </cell>
          <cell r="P92" t="str">
            <v>S300</v>
          </cell>
          <cell r="Q92">
            <v>1.4312226250000002E-2</v>
          </cell>
          <cell r="R92" t="e">
            <v>#N/A</v>
          </cell>
          <cell r="S92" t="e">
            <v>#N/A</v>
          </cell>
          <cell r="T92" t="str">
            <v>Nut Weld M6 Hex Flng 8</v>
          </cell>
        </row>
        <row r="93">
          <cell r="O93" t="str">
            <v>2L455</v>
          </cell>
          <cell r="P93" t="str">
            <v>AD</v>
          </cell>
          <cell r="Q93">
            <v>1E-3</v>
          </cell>
          <cell r="R93" t="e">
            <v>#N/A</v>
          </cell>
          <cell r="S93" t="e">
            <v>#N/A</v>
          </cell>
          <cell r="T93" t="str">
            <v>Brkt Brk Line Frt</v>
          </cell>
        </row>
        <row r="94">
          <cell r="O94" t="str">
            <v>N10530/1</v>
          </cell>
          <cell r="P94" t="str">
            <v>AA</v>
          </cell>
          <cell r="Q94" t="e">
            <v>#N/A</v>
          </cell>
          <cell r="R94" t="e">
            <v>#N/A</v>
          </cell>
          <cell r="S94" t="e">
            <v>#N/A</v>
          </cell>
          <cell r="T94" t="str">
            <v>Reinf Rr Sd Mbr</v>
          </cell>
        </row>
        <row r="95">
          <cell r="O95" t="str">
            <v>W701263</v>
          </cell>
          <cell r="P95" t="str">
            <v>S300</v>
          </cell>
          <cell r="Q95">
            <v>7.7858510800000016E-2</v>
          </cell>
          <cell r="R95" t="e">
            <v>#N/A</v>
          </cell>
          <cell r="S95" t="e">
            <v>#N/A</v>
          </cell>
          <cell r="T95" t="str">
            <v>Weld Nut M12 Hex Flng</v>
          </cell>
        </row>
        <row r="96">
          <cell r="O96" t="str">
            <v>N101B50/1</v>
          </cell>
          <cell r="P96" t="str">
            <v>AA</v>
          </cell>
          <cell r="Q96" t="e">
            <v>#N/A</v>
          </cell>
          <cell r="R96" t="e">
            <v>#N/A</v>
          </cell>
          <cell r="S96" t="e">
            <v>#N/A</v>
          </cell>
          <cell r="T96" t="str">
            <v>Gusset Flr Sd Rr Mbr</v>
          </cell>
        </row>
        <row r="97">
          <cell r="O97" t="str">
            <v>N10250/1</v>
          </cell>
          <cell r="P97" t="str">
            <v>AC</v>
          </cell>
          <cell r="Q97" t="e">
            <v>#N/A</v>
          </cell>
          <cell r="R97" t="e">
            <v>#N/A</v>
          </cell>
          <cell r="S97" t="e">
            <v>#N/A</v>
          </cell>
          <cell r="T97" t="str">
            <v>Reinf Flr Sd Rr Mbr</v>
          </cell>
        </row>
        <row r="98">
          <cell r="O98" t="str">
            <v>W701263</v>
          </cell>
          <cell r="P98" t="str">
            <v>S300</v>
          </cell>
          <cell r="Q98">
            <v>7.7858510800000016E-2</v>
          </cell>
          <cell r="R98" t="e">
            <v>#N/A</v>
          </cell>
          <cell r="S98" t="e">
            <v>#N/A</v>
          </cell>
          <cell r="T98" t="str">
            <v>Weld Nut M12 Hex Flng</v>
          </cell>
        </row>
        <row r="99">
          <cell r="O99" t="str">
            <v>N10806</v>
          </cell>
          <cell r="P99" t="str">
            <v>BD</v>
          </cell>
          <cell r="Q99" t="e">
            <v>#N/A</v>
          </cell>
          <cell r="R99" t="e">
            <v>#N/A</v>
          </cell>
          <cell r="S99" t="e">
            <v>#N/A</v>
          </cell>
          <cell r="T99" t="str">
            <v>Reinf Flr Sd Mbr Tie Dwn</v>
          </cell>
        </row>
        <row r="100">
          <cell r="O100" t="str">
            <v>N10807</v>
          </cell>
          <cell r="P100" t="str">
            <v>AC</v>
          </cell>
          <cell r="Q100">
            <v>0.26700000000000002</v>
          </cell>
          <cell r="R100" t="e">
            <v>#N/A</v>
          </cell>
          <cell r="S100" t="e">
            <v>#N/A</v>
          </cell>
          <cell r="T100" t="str">
            <v>Reinf Flr Sd Mbr Tie Dwn</v>
          </cell>
        </row>
        <row r="101">
          <cell r="O101" t="str">
            <v>N18A004</v>
          </cell>
          <cell r="P101" t="str">
            <v>DG</v>
          </cell>
          <cell r="Q101" t="e">
            <v>#N/A</v>
          </cell>
          <cell r="R101" t="e">
            <v>#N/A</v>
          </cell>
          <cell r="S101" t="e">
            <v>#N/A</v>
          </cell>
          <cell r="T101" t="str">
            <v>Crs Mbr Asy Rr Shock Abs</v>
          </cell>
        </row>
        <row r="102">
          <cell r="O102" t="str">
            <v>18K084</v>
          </cell>
          <cell r="P102" t="str">
            <v>AF</v>
          </cell>
          <cell r="Q102">
            <v>0.57999999999999996</v>
          </cell>
          <cell r="R102" t="e">
            <v>#N/A</v>
          </cell>
          <cell r="S102" t="e">
            <v>#N/A</v>
          </cell>
          <cell r="T102" t="str">
            <v>Crs Mbr Rr Shock Abs</v>
          </cell>
        </row>
        <row r="103">
          <cell r="O103" t="str">
            <v>W520651</v>
          </cell>
          <cell r="P103" t="str">
            <v>S300</v>
          </cell>
          <cell r="Q103" t="e">
            <v>#N/A</v>
          </cell>
          <cell r="R103" t="e">
            <v>#N/A</v>
          </cell>
          <cell r="S103" t="e">
            <v>#N/A</v>
          </cell>
          <cell r="T103" t="str">
            <v>Nut Pierce M6x0.64-2.29</v>
          </cell>
        </row>
        <row r="104">
          <cell r="O104" t="str">
            <v>N41800/1</v>
          </cell>
          <cell r="P104" t="str">
            <v>AA</v>
          </cell>
          <cell r="Q104" t="e">
            <v>#N/A</v>
          </cell>
          <cell r="R104" t="e">
            <v>#N/A</v>
          </cell>
          <cell r="S104" t="e">
            <v>#N/A</v>
          </cell>
          <cell r="T104" t="str">
            <v>Ext Bdy rr Crs Mbr</v>
          </cell>
        </row>
        <row r="105">
          <cell r="O105" t="str">
            <v>N10716</v>
          </cell>
          <cell r="P105" t="str">
            <v>AA</v>
          </cell>
          <cell r="Q105">
            <v>0</v>
          </cell>
          <cell r="R105" t="e">
            <v>#N/A</v>
          </cell>
          <cell r="S105" t="e">
            <v>#N/A</v>
          </cell>
          <cell r="T105" t="str">
            <v>Mbr Rr Flr Crs</v>
          </cell>
        </row>
        <row r="106">
          <cell r="O106" t="str">
            <v>N10782</v>
          </cell>
          <cell r="P106" t="str">
            <v>AA</v>
          </cell>
          <cell r="Q106">
            <v>0</v>
          </cell>
          <cell r="R106" t="e">
            <v>#N/A</v>
          </cell>
          <cell r="S106" t="e">
            <v>#N/A</v>
          </cell>
          <cell r="T106" t="str">
            <v>Mbr Rr Flr Crs</v>
          </cell>
        </row>
        <row r="107">
          <cell r="O107" t="str">
            <v>W520651</v>
          </cell>
          <cell r="P107" t="str">
            <v>S300</v>
          </cell>
          <cell r="Q107" t="e">
            <v>#N/A</v>
          </cell>
          <cell r="R107" t="e">
            <v>#N/A</v>
          </cell>
          <cell r="S107" t="e">
            <v>#N/A</v>
          </cell>
          <cell r="T107" t="str">
            <v>Nut Pierce M6x0.64-2.29</v>
          </cell>
        </row>
        <row r="108">
          <cell r="Q108" t="e">
            <v>#N/A</v>
          </cell>
          <cell r="R108" t="e">
            <v>#N/A</v>
          </cell>
          <cell r="S108" t="e">
            <v>#N/A</v>
          </cell>
        </row>
        <row r="109">
          <cell r="O109" t="str">
            <v>W700121</v>
          </cell>
          <cell r="P109" t="str">
            <v>S403</v>
          </cell>
          <cell r="Q109">
            <v>5.0000000000000001E-3</v>
          </cell>
          <cell r="R109" t="e">
            <v>#N/A</v>
          </cell>
          <cell r="S109" t="e">
            <v>#N/A</v>
          </cell>
          <cell r="T109" t="str">
            <v>Stud 5x14.2 Wld Spl Thd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P Manual BoM"/>
      <sheetName val="EU CM BoM"/>
      <sheetName val="PCW"/>
      <sheetName val="EU Costs to Purchasing"/>
      <sheetName val="Chunk1"/>
      <sheetName val="Chunk2"/>
      <sheetName val="Chunk3"/>
    </sheetNames>
    <sheetDataSet>
      <sheetData sheetId="0" refreshError="1">
        <row r="11">
          <cell r="O11">
            <v>16015</v>
          </cell>
          <cell r="P11" t="str">
            <v>AA</v>
          </cell>
          <cell r="Q11">
            <v>0</v>
          </cell>
          <cell r="R11" t="str">
            <v>YES</v>
          </cell>
          <cell r="S11">
            <v>5.09</v>
          </cell>
          <cell r="U11" t="str">
            <v>PANEL FENDER OTR RH</v>
          </cell>
        </row>
        <row r="12">
          <cell r="O12" t="str">
            <v>A16570</v>
          </cell>
          <cell r="P12" t="str">
            <v>AA</v>
          </cell>
          <cell r="Q12">
            <v>0</v>
          </cell>
          <cell r="R12" t="e">
            <v>#N/A</v>
          </cell>
          <cell r="S12" t="e">
            <v>#N/A</v>
          </cell>
          <cell r="U12" t="str">
            <v>FILLER FRT FENDER UPR RH</v>
          </cell>
        </row>
        <row r="13">
          <cell r="T13" t="str">
            <v>FRT FENDER LH</v>
          </cell>
        </row>
        <row r="14">
          <cell r="O14" t="str">
            <v>16016</v>
          </cell>
          <cell r="P14" t="str">
            <v>AA</v>
          </cell>
          <cell r="Q14" t="e">
            <v>#N/A</v>
          </cell>
          <cell r="R14" t="str">
            <v>YES</v>
          </cell>
          <cell r="S14">
            <v>5.09</v>
          </cell>
          <cell r="U14" t="str">
            <v>PANEL FENDER OTR LH</v>
          </cell>
        </row>
        <row r="15">
          <cell r="O15" t="str">
            <v>A16571</v>
          </cell>
          <cell r="P15" t="str">
            <v>AA</v>
          </cell>
          <cell r="Q15" t="e">
            <v>#N/A</v>
          </cell>
          <cell r="R15" t="e">
            <v>#N/A</v>
          </cell>
          <cell r="S15" t="e">
            <v>#N/A</v>
          </cell>
          <cell r="U15" t="str">
            <v>FILLER FRT FENDER UPR LH</v>
          </cell>
        </row>
        <row r="16">
          <cell r="T16" t="str">
            <v>SHOTGUN ASSY RH</v>
          </cell>
        </row>
        <row r="17">
          <cell r="O17" t="str">
            <v>A16C078</v>
          </cell>
          <cell r="P17" t="str">
            <v>AA</v>
          </cell>
          <cell r="Q17">
            <v>0</v>
          </cell>
          <cell r="R17" t="str">
            <v>YES</v>
          </cell>
          <cell r="S17">
            <v>0.1</v>
          </cell>
          <cell r="U17" t="str">
            <v>BRKT FRT FNDR MNTG RR RH</v>
          </cell>
        </row>
        <row r="18">
          <cell r="O18" t="str">
            <v>A16018</v>
          </cell>
          <cell r="P18" t="str">
            <v>AA</v>
          </cell>
          <cell r="Q18">
            <v>0</v>
          </cell>
          <cell r="R18" t="str">
            <v>YES</v>
          </cell>
          <cell r="S18">
            <v>2.31</v>
          </cell>
          <cell r="U18" t="str">
            <v>EXT FRT FENDER</v>
          </cell>
        </row>
        <row r="19">
          <cell r="O19" t="str">
            <v>A16A682</v>
          </cell>
          <cell r="P19" t="str">
            <v>AA</v>
          </cell>
          <cell r="Q19">
            <v>0</v>
          </cell>
          <cell r="R19" t="str">
            <v>YES</v>
          </cell>
          <cell r="S19">
            <v>0.4810276198212835</v>
          </cell>
          <cell r="U19" t="str">
            <v>RNF HD HNG ON BDY</v>
          </cell>
        </row>
        <row r="20">
          <cell r="O20" t="str">
            <v>A16C198</v>
          </cell>
          <cell r="P20" t="str">
            <v>AA</v>
          </cell>
          <cell r="Q20" t="e">
            <v>#N/A</v>
          </cell>
          <cell r="R20" t="str">
            <v>YES</v>
          </cell>
          <cell r="S20">
            <v>0.1</v>
          </cell>
          <cell r="U20" t="str">
            <v>BRKT FRT FNDR MNTG FRT RH</v>
          </cell>
        </row>
        <row r="21">
          <cell r="T21" t="str">
            <v>SHOTGUN ASSY LH</v>
          </cell>
        </row>
        <row r="22">
          <cell r="O22" t="str">
            <v>A16C079</v>
          </cell>
          <cell r="P22" t="str">
            <v>AA</v>
          </cell>
          <cell r="Q22" t="e">
            <v>#N/A</v>
          </cell>
          <cell r="R22" t="str">
            <v>YES</v>
          </cell>
          <cell r="S22">
            <v>0.1</v>
          </cell>
          <cell r="U22" t="str">
            <v>BRKT FRT FNDR MNTG RR LH</v>
          </cell>
        </row>
        <row r="23">
          <cell r="O23" t="str">
            <v>A16019</v>
          </cell>
          <cell r="P23" t="str">
            <v>AA</v>
          </cell>
          <cell r="Q23">
            <v>0</v>
          </cell>
          <cell r="R23" t="str">
            <v>YES</v>
          </cell>
          <cell r="S23">
            <v>2.31</v>
          </cell>
          <cell r="U23" t="str">
            <v>EXT FRT FENDER</v>
          </cell>
        </row>
        <row r="24">
          <cell r="O24" t="str">
            <v>A16A681</v>
          </cell>
          <cell r="P24" t="str">
            <v>AA</v>
          </cell>
          <cell r="Q24">
            <v>0</v>
          </cell>
          <cell r="R24" t="str">
            <v>YES</v>
          </cell>
          <cell r="S24">
            <v>0.4810276198212835</v>
          </cell>
          <cell r="U24" t="str">
            <v>RNF HD HNG ON BDY</v>
          </cell>
        </row>
        <row r="25">
          <cell r="O25" t="str">
            <v>A16C199</v>
          </cell>
          <cell r="P25" t="str">
            <v>AA</v>
          </cell>
          <cell r="Q25" t="e">
            <v>#N/A</v>
          </cell>
          <cell r="R25" t="str">
            <v>YES</v>
          </cell>
          <cell r="S25">
            <v>0.1</v>
          </cell>
          <cell r="U25" t="str">
            <v>BRKT FRT FNDR MNTG FRT LH</v>
          </cell>
        </row>
        <row r="26">
          <cell r="O26" t="str">
            <v>A02010</v>
          </cell>
          <cell r="P26" t="str">
            <v>AA</v>
          </cell>
          <cell r="Q26">
            <v>0</v>
          </cell>
          <cell r="R26" t="e">
            <v>#N/A</v>
          </cell>
          <cell r="T26" t="str">
            <v>COWL TOP ASSY LHD/RHD</v>
          </cell>
        </row>
        <row r="27">
          <cell r="O27" t="str">
            <v>A02893</v>
          </cell>
          <cell r="P27" t="str">
            <v>A</v>
          </cell>
          <cell r="Q27" t="e">
            <v>#N/A</v>
          </cell>
          <cell r="R27" t="str">
            <v>YES</v>
          </cell>
          <cell r="S27">
            <v>0.08</v>
          </cell>
          <cell r="U27" t="str">
            <v>BRKT COWL TO PNL</v>
          </cell>
        </row>
        <row r="28">
          <cell r="O28" t="str">
            <v>A02892</v>
          </cell>
          <cell r="P28" t="str">
            <v>A</v>
          </cell>
          <cell r="Q28">
            <v>0</v>
          </cell>
          <cell r="R28" t="str">
            <v>YES</v>
          </cell>
          <cell r="S28">
            <v>0.08</v>
          </cell>
          <cell r="U28" t="str">
            <v>BRKT COWL TO PNL</v>
          </cell>
        </row>
        <row r="29">
          <cell r="O29" t="str">
            <v>A02030</v>
          </cell>
          <cell r="P29" t="str">
            <v>A</v>
          </cell>
          <cell r="Q29" t="e">
            <v>#N/A</v>
          </cell>
          <cell r="R29" t="str">
            <v>YES</v>
          </cell>
          <cell r="S29">
            <v>3.07</v>
          </cell>
          <cell r="U29" t="str">
            <v>PNL COWL TOP INNER LHD</v>
          </cell>
        </row>
        <row r="30">
          <cell r="O30" t="str">
            <v>A02030</v>
          </cell>
          <cell r="P30" t="str">
            <v>B</v>
          </cell>
          <cell r="Q30" t="e">
            <v>#N/A</v>
          </cell>
          <cell r="R30" t="str">
            <v>YES</v>
          </cell>
          <cell r="S30">
            <v>3.07</v>
          </cell>
          <cell r="U30" t="str">
            <v>PNL COWL TOP INNER RHD</v>
          </cell>
        </row>
        <row r="31">
          <cell r="O31" t="str">
            <v>A17496</v>
          </cell>
          <cell r="P31" t="str">
            <v xml:space="preserve">AA      </v>
          </cell>
          <cell r="Q31" t="e">
            <v>#N/A</v>
          </cell>
          <cell r="R31" t="str">
            <v>YES</v>
          </cell>
          <cell r="S31">
            <v>0.71</v>
          </cell>
          <cell r="U31" t="str">
            <v>BRKT W/WIPER MOTOR MNTG LHD</v>
          </cell>
        </row>
        <row r="32">
          <cell r="O32" t="str">
            <v>A17496</v>
          </cell>
          <cell r="P32" t="str">
            <v>B</v>
          </cell>
          <cell r="Q32" t="e">
            <v>#N/A</v>
          </cell>
          <cell r="R32" t="str">
            <v>YES</v>
          </cell>
          <cell r="S32">
            <v>0.71</v>
          </cell>
          <cell r="U32" t="str">
            <v>BRKT W/WIPER MOTOR MNTG RHD</v>
          </cell>
        </row>
        <row r="33">
          <cell r="O33" t="str">
            <v>A17497</v>
          </cell>
          <cell r="P33" t="str">
            <v xml:space="preserve">AA      </v>
          </cell>
          <cell r="Q33" t="e">
            <v>#N/A</v>
          </cell>
          <cell r="R33" t="str">
            <v>YES</v>
          </cell>
          <cell r="S33">
            <v>0.71</v>
          </cell>
          <cell r="U33" t="str">
            <v>BRKT W/WIPER MOTOR MNTG RHD</v>
          </cell>
        </row>
        <row r="34">
          <cell r="O34" t="str">
            <v>A17B591</v>
          </cell>
          <cell r="P34" t="str">
            <v xml:space="preserve">AA      </v>
          </cell>
          <cell r="Q34" t="e">
            <v>#N/A</v>
          </cell>
          <cell r="R34" t="str">
            <v>YES</v>
          </cell>
          <cell r="S34">
            <v>0.43</v>
          </cell>
          <cell r="U34" t="str">
            <v>RNF W/W PVT MNTG LHD</v>
          </cell>
        </row>
        <row r="35">
          <cell r="O35" t="str">
            <v>A17B591</v>
          </cell>
          <cell r="P35" t="str">
            <v xml:space="preserve">BA      </v>
          </cell>
          <cell r="Q35" t="e">
            <v>#N/A</v>
          </cell>
          <cell r="R35" t="str">
            <v>YES</v>
          </cell>
          <cell r="S35">
            <v>0.43</v>
          </cell>
          <cell r="U35" t="str">
            <v>RNF W/W PVT MNTG RHD</v>
          </cell>
        </row>
        <row r="36">
          <cell r="O36" t="str">
            <v>A17K426</v>
          </cell>
          <cell r="P36" t="str">
            <v>A</v>
          </cell>
          <cell r="Q36" t="e">
            <v>#N/A</v>
          </cell>
          <cell r="R36" t="e">
            <v>#N/A</v>
          </cell>
          <cell r="S36">
            <v>0.62</v>
          </cell>
          <cell r="U36" t="str">
            <v>BRKT W/W SPNDL SUPT RHS</v>
          </cell>
        </row>
        <row r="37">
          <cell r="O37" t="str">
            <v>A17K427</v>
          </cell>
          <cell r="P37" t="str">
            <v>A</v>
          </cell>
          <cell r="Q37" t="e">
            <v>#N/A</v>
          </cell>
          <cell r="R37" t="e">
            <v>#N/A</v>
          </cell>
          <cell r="S37">
            <v>0.62</v>
          </cell>
          <cell r="U37" t="str">
            <v>BRKT W/W SPNDL SUPT LHS</v>
          </cell>
        </row>
        <row r="38">
          <cell r="O38" t="str">
            <v>A243A62</v>
          </cell>
          <cell r="P38" t="str">
            <v>AA</v>
          </cell>
          <cell r="Q38" t="e">
            <v>#N/A</v>
          </cell>
          <cell r="R38" t="e">
            <v>#N/A</v>
          </cell>
          <cell r="S38" t="e">
            <v>#N/A</v>
          </cell>
          <cell r="U38" t="str">
            <v>REINF CENTRE BODY PILLAR UPPER RH</v>
          </cell>
        </row>
        <row r="39">
          <cell r="O39" t="str">
            <v>A243A63</v>
          </cell>
          <cell r="P39" t="str">
            <v>AA</v>
          </cell>
          <cell r="Q39" t="e">
            <v>#N/A</v>
          </cell>
          <cell r="R39" t="e">
            <v>#N/A</v>
          </cell>
          <cell r="S39" t="e">
            <v>#N/A</v>
          </cell>
          <cell r="U39" t="str">
            <v>REINF CENTRE BODY PILLAR UPPER LH</v>
          </cell>
        </row>
        <row r="40">
          <cell r="O40" t="str">
            <v>R02292</v>
          </cell>
          <cell r="P40" t="str">
            <v xml:space="preserve">AA      </v>
          </cell>
          <cell r="Q40">
            <v>0</v>
          </cell>
          <cell r="R40" t="e">
            <v>#N/A</v>
          </cell>
          <cell r="S40" t="e">
            <v>#N/A</v>
          </cell>
          <cell r="U40" t="str">
            <v>INSUL COWL SD PNL INR SND</v>
          </cell>
        </row>
        <row r="41">
          <cell r="O41" t="str">
            <v>R02293</v>
          </cell>
          <cell r="P41" t="str">
            <v xml:space="preserve">AA      </v>
          </cell>
          <cell r="Q41">
            <v>0</v>
          </cell>
          <cell r="R41" t="e">
            <v>#N/A</v>
          </cell>
          <cell r="S41" t="e">
            <v>#N/A</v>
          </cell>
          <cell r="U41" t="str">
            <v>INSUL COWL SD PNL INR SND</v>
          </cell>
        </row>
        <row r="42">
          <cell r="O42" t="str">
            <v>R045M46</v>
          </cell>
          <cell r="P42" t="str">
            <v>A</v>
          </cell>
          <cell r="Q42">
            <v>0</v>
          </cell>
          <cell r="R42" t="e">
            <v>#N/A</v>
          </cell>
          <cell r="S42" t="e">
            <v>#N/A</v>
          </cell>
          <cell r="U42" t="str">
            <v>BRKT INS TO CWL</v>
          </cell>
        </row>
        <row r="43">
          <cell r="O43" t="str">
            <v>A50200</v>
          </cell>
          <cell r="P43" t="str">
            <v>AA</v>
          </cell>
          <cell r="Q43">
            <v>0</v>
          </cell>
          <cell r="R43" t="e">
            <v>#N/A</v>
          </cell>
          <cell r="T43" t="str">
            <v xml:space="preserve">ROOF ASSY </v>
          </cell>
        </row>
        <row r="44">
          <cell r="O44" t="str">
            <v>A50202</v>
          </cell>
          <cell r="P44" t="str">
            <v>AA</v>
          </cell>
          <cell r="Q44" t="e">
            <v>#N/A</v>
          </cell>
          <cell r="R44" t="str">
            <v>YES</v>
          </cell>
          <cell r="S44">
            <v>11.62</v>
          </cell>
          <cell r="U44" t="str">
            <v>PANEL ROOF (WITHOUT OPENING)</v>
          </cell>
        </row>
        <row r="45">
          <cell r="O45" t="str">
            <v>F50202</v>
          </cell>
          <cell r="P45" t="str">
            <v>AA</v>
          </cell>
          <cell r="Q45" t="e">
            <v>#N/A</v>
          </cell>
          <cell r="R45" t="str">
            <v>YES</v>
          </cell>
          <cell r="S45">
            <v>11.62</v>
          </cell>
          <cell r="T45">
            <v>12</v>
          </cell>
          <cell r="U45" t="str">
            <v>PANEL ROOF-WITHOUT OPENING</v>
          </cell>
        </row>
        <row r="46">
          <cell r="O46" t="str">
            <v>F50202</v>
          </cell>
          <cell r="P46" t="str">
            <v>BA</v>
          </cell>
          <cell r="Q46" t="e">
            <v>#N/A</v>
          </cell>
          <cell r="R46" t="str">
            <v>YES</v>
          </cell>
          <cell r="S46">
            <v>11.62</v>
          </cell>
          <cell r="T46">
            <v>12</v>
          </cell>
          <cell r="U46" t="str">
            <v>PANEL ROOF-WITH OPENING</v>
          </cell>
        </row>
        <row r="47">
          <cell r="O47" t="str">
            <v>W520720</v>
          </cell>
          <cell r="P47" t="str">
            <v>S300</v>
          </cell>
          <cell r="Q47">
            <v>1.4312226250000002E-2</v>
          </cell>
          <cell r="R47" t="e">
            <v>#N/A</v>
          </cell>
          <cell r="S47" t="e">
            <v>#N/A</v>
          </cell>
          <cell r="U47" t="str">
            <v>NUT WELD M6 HEX FLNG 8</v>
          </cell>
        </row>
        <row r="48">
          <cell r="O48" t="str">
            <v>A51272</v>
          </cell>
          <cell r="P48" t="str">
            <v>AA</v>
          </cell>
          <cell r="Q48" t="e">
            <v>#N/A</v>
          </cell>
          <cell r="R48" t="str">
            <v>YES</v>
          </cell>
          <cell r="S48">
            <v>0.54</v>
          </cell>
          <cell r="U48" t="str">
            <v>BOW ROOF</v>
          </cell>
        </row>
        <row r="49">
          <cell r="O49" t="str">
            <v>W520721</v>
          </cell>
          <cell r="P49" t="str">
            <v xml:space="preserve">S300  </v>
          </cell>
          <cell r="Q49">
            <v>1.8044854856000003E-2</v>
          </cell>
          <cell r="R49" t="e">
            <v>#N/A</v>
          </cell>
          <cell r="S49" t="e">
            <v>#N/A</v>
          </cell>
          <cell r="U49" t="str">
            <v xml:space="preserve">NUT WELD M8 HEX FLNG 8        </v>
          </cell>
        </row>
        <row r="50">
          <cell r="O50" t="str">
            <v>A41302</v>
          </cell>
          <cell r="P50" t="str">
            <v>AA</v>
          </cell>
          <cell r="Q50">
            <v>0</v>
          </cell>
          <cell r="R50" t="e">
            <v>#N/A</v>
          </cell>
          <cell r="S50" t="e">
            <v>#N/A</v>
          </cell>
          <cell r="U50" t="str">
            <v>RAIL ASY BK DR HDR 3/5 DR</v>
          </cell>
        </row>
        <row r="51">
          <cell r="O51" t="str">
            <v>N41304</v>
          </cell>
          <cell r="P51" t="str">
            <v>AA</v>
          </cell>
          <cell r="Q51">
            <v>0</v>
          </cell>
          <cell r="R51" t="e">
            <v>#N/A</v>
          </cell>
          <cell r="S51" t="e">
            <v>#N/A</v>
          </cell>
          <cell r="U51" t="str">
            <v>RAIL BACK DOOR HEADER</v>
          </cell>
        </row>
        <row r="52">
          <cell r="O52" t="str">
            <v>N42942</v>
          </cell>
          <cell r="P52" t="str">
            <v>AA</v>
          </cell>
          <cell r="Q52">
            <v>0</v>
          </cell>
          <cell r="R52" t="e">
            <v>#N/A</v>
          </cell>
          <cell r="S52" t="e">
            <v>#N/A</v>
          </cell>
          <cell r="U52" t="str">
            <v>RNF LIFTGATE HINGE ON BDY</v>
          </cell>
        </row>
        <row r="53">
          <cell r="O53" t="str">
            <v>N42943</v>
          </cell>
          <cell r="P53" t="str">
            <v>AA</v>
          </cell>
          <cell r="Q53">
            <v>0</v>
          </cell>
          <cell r="R53" t="e">
            <v>#N/A</v>
          </cell>
          <cell r="S53" t="e">
            <v>#N/A</v>
          </cell>
          <cell r="U53" t="str">
            <v>RNF LIFTGATE HINGE ON BDY</v>
          </cell>
        </row>
        <row r="54">
          <cell r="O54" t="str">
            <v>N50202</v>
          </cell>
          <cell r="P54" t="str">
            <v>AA</v>
          </cell>
          <cell r="Q54">
            <v>0</v>
          </cell>
          <cell r="R54" t="e">
            <v>#N/A</v>
          </cell>
          <cell r="S54" t="e">
            <v>#N/A</v>
          </cell>
          <cell r="U54" t="str">
            <v>PANEL ROOF (ROOF RAIL)</v>
          </cell>
        </row>
        <row r="55">
          <cell r="O55" t="str">
            <v>N50202</v>
          </cell>
          <cell r="P55" t="str">
            <v>BA</v>
          </cell>
          <cell r="Q55">
            <v>0</v>
          </cell>
          <cell r="R55" t="e">
            <v>#N/A</v>
          </cell>
          <cell r="S55" t="e">
            <v>#N/A</v>
          </cell>
          <cell r="U55" t="str">
            <v>PANEL ROOF (SUNROOF&amp;ROOF RAIL)</v>
          </cell>
        </row>
        <row r="56">
          <cell r="O56" t="str">
            <v>N51276</v>
          </cell>
          <cell r="P56" t="str">
            <v>AA</v>
          </cell>
          <cell r="Q56">
            <v>0</v>
          </cell>
          <cell r="R56" t="e">
            <v>#N/A</v>
          </cell>
          <cell r="S56" t="e">
            <v>#N/A</v>
          </cell>
          <cell r="U56" t="str">
            <v>BOW ROOF</v>
          </cell>
        </row>
        <row r="57">
          <cell r="O57" t="str">
            <v>A50200</v>
          </cell>
          <cell r="P57" t="str">
            <v>BA</v>
          </cell>
          <cell r="Q57">
            <v>0</v>
          </cell>
          <cell r="R57" t="e">
            <v>#N/A</v>
          </cell>
          <cell r="S57" t="e">
            <v>#N/A</v>
          </cell>
          <cell r="T57" t="str">
            <v>ROOF ASSY WITH SUNROOF</v>
          </cell>
        </row>
        <row r="58">
          <cell r="O58" t="str">
            <v>A50202</v>
          </cell>
          <cell r="P58" t="str">
            <v>BA</v>
          </cell>
          <cell r="Q58" t="e">
            <v>#N/A</v>
          </cell>
          <cell r="R58" t="str">
            <v>YES</v>
          </cell>
          <cell r="S58">
            <v>11.62</v>
          </cell>
          <cell r="U58" t="str">
            <v>PANEL ROOF (WITH OPENING)</v>
          </cell>
        </row>
        <row r="59">
          <cell r="O59" t="str">
            <v>A03418</v>
          </cell>
          <cell r="P59" t="str">
            <v>AA</v>
          </cell>
          <cell r="Q59">
            <v>0</v>
          </cell>
          <cell r="R59" t="e">
            <v>#N/A</v>
          </cell>
          <cell r="S59" t="e">
            <v>#N/A</v>
          </cell>
          <cell r="U59" t="str">
            <v>PANEL WINDSHIELD HEADER</v>
          </cell>
        </row>
        <row r="60">
          <cell r="O60" t="str">
            <v>W520720</v>
          </cell>
          <cell r="P60" t="str">
            <v>S300</v>
          </cell>
          <cell r="Q60">
            <v>1.4312226250000002E-2</v>
          </cell>
          <cell r="R60" t="e">
            <v>#N/A</v>
          </cell>
          <cell r="S60" t="e">
            <v>#N/A</v>
          </cell>
          <cell r="U60" t="str">
            <v>NUT WELD M6 HEX FLNG 8</v>
          </cell>
        </row>
        <row r="61">
          <cell r="O61" t="str">
            <v>A502P34</v>
          </cell>
          <cell r="P61" t="str">
            <v>AA</v>
          </cell>
          <cell r="Q61" t="e">
            <v>#N/A</v>
          </cell>
          <cell r="R61" t="e">
            <v>#N/A</v>
          </cell>
          <cell r="S61" t="e">
            <v>#N/A</v>
          </cell>
          <cell r="U61" t="str">
            <v>REINF RF SLDG PNL FRA CTR</v>
          </cell>
        </row>
        <row r="62">
          <cell r="O62" t="str">
            <v>R502P34</v>
          </cell>
          <cell r="P62" t="str">
            <v>AB</v>
          </cell>
          <cell r="Q62">
            <v>0</v>
          </cell>
          <cell r="R62" t="e">
            <v>#N/A</v>
          </cell>
          <cell r="S62" t="e">
            <v>#N/A</v>
          </cell>
          <cell r="U62" t="str">
            <v>REINF RF SLDG PNL FRA CTR</v>
          </cell>
        </row>
        <row r="63">
          <cell r="O63" t="str">
            <v>A41302</v>
          </cell>
          <cell r="P63" t="str">
            <v>AA</v>
          </cell>
          <cell r="Q63">
            <v>0</v>
          </cell>
          <cell r="R63" t="e">
            <v>#N/A</v>
          </cell>
          <cell r="S63" t="e">
            <v>#N/A</v>
          </cell>
          <cell r="T63" t="str">
            <v xml:space="preserve">RAIL ASY BK DR HDR </v>
          </cell>
        </row>
        <row r="64">
          <cell r="O64" t="str">
            <v>A41304</v>
          </cell>
          <cell r="P64" t="str">
            <v>AA</v>
          </cell>
          <cell r="Q64">
            <v>0</v>
          </cell>
          <cell r="R64" t="e">
            <v>#N/A</v>
          </cell>
          <cell r="S64" t="e">
            <v>#N/A</v>
          </cell>
          <cell r="U64" t="str">
            <v>RAIL BACK DOOR HEADER</v>
          </cell>
        </row>
        <row r="65">
          <cell r="O65" t="str">
            <v>R42720</v>
          </cell>
          <cell r="P65" t="str">
            <v>AA</v>
          </cell>
          <cell r="Q65" t="e">
            <v>#N/A</v>
          </cell>
          <cell r="R65" t="e">
            <v>#N/A</v>
          </cell>
          <cell r="S65" t="e">
            <v>#N/A</v>
          </cell>
          <cell r="U65" t="str">
            <v>Seal Lft/Gt HGE</v>
          </cell>
        </row>
        <row r="66">
          <cell r="O66" t="str">
            <v>A429A45</v>
          </cell>
          <cell r="P66" t="str">
            <v>AA</v>
          </cell>
          <cell r="Q66">
            <v>0</v>
          </cell>
          <cell r="R66" t="e">
            <v>#N/A</v>
          </cell>
          <cell r="S66" t="e">
            <v>#N/A</v>
          </cell>
          <cell r="U66" t="str">
            <v>RNF L/G HINGE ON BODY LH</v>
          </cell>
        </row>
        <row r="67">
          <cell r="O67" t="str">
            <v>A429A44</v>
          </cell>
          <cell r="P67" t="str">
            <v>AA</v>
          </cell>
          <cell r="Q67">
            <v>0</v>
          </cell>
          <cell r="R67" t="e">
            <v>#N/A</v>
          </cell>
          <cell r="S67" t="e">
            <v>#N/A</v>
          </cell>
          <cell r="U67" t="str">
            <v>RNF L/G HINGE ON BODY RH</v>
          </cell>
        </row>
        <row r="68">
          <cell r="O68" t="str">
            <v>A280B00</v>
          </cell>
          <cell r="P68" t="str">
            <v>AA</v>
          </cell>
          <cell r="Q68">
            <v>0</v>
          </cell>
          <cell r="R68" t="e">
            <v>#N/A</v>
          </cell>
          <cell r="S68" t="e">
            <v>#N/A</v>
          </cell>
          <cell r="U68" t="str">
            <v>REINF QTR PILLAR INNER</v>
          </cell>
        </row>
        <row r="69">
          <cell r="T69" t="str">
            <v>BODY STRUCTURE</v>
          </cell>
        </row>
        <row r="70">
          <cell r="O70">
            <v>10106</v>
          </cell>
          <cell r="P70" t="str">
            <v>BAB</v>
          </cell>
          <cell r="Q70" t="e">
            <v>#N/A</v>
          </cell>
          <cell r="R70" t="e">
            <v>#N/A</v>
          </cell>
          <cell r="S70" t="e">
            <v>#N/A</v>
          </cell>
          <cell r="U70" t="str">
            <v>REAR END COMPLETE 3/5DR</v>
          </cell>
        </row>
        <row r="71">
          <cell r="O71" t="str">
            <v>??????</v>
          </cell>
          <cell r="U71" t="str">
            <v>REAR END COMPLETE 4DR?</v>
          </cell>
        </row>
        <row r="72">
          <cell r="U72" t="str">
            <v>REAR END COMPLETE WAG</v>
          </cell>
        </row>
        <row r="73">
          <cell r="U73" t="str">
            <v>BODY SIDE COMPLETE 5DR RH</v>
          </cell>
        </row>
        <row r="74">
          <cell r="U74" t="str">
            <v>BODY SIDE COMPLETE 5DR LH</v>
          </cell>
        </row>
        <row r="75">
          <cell r="U75" t="str">
            <v>BODY SIDE COMPLETE 3DR RH</v>
          </cell>
        </row>
        <row r="76">
          <cell r="U76" t="str">
            <v>BODY SIDE COMPLETE 3DR LH</v>
          </cell>
        </row>
        <row r="77">
          <cell r="O77" t="str">
            <v>??????</v>
          </cell>
          <cell r="U77" t="str">
            <v>BODY SIDE COMPLETE 4DR RH?</v>
          </cell>
        </row>
        <row r="78">
          <cell r="U78" t="str">
            <v>BODY SIDE COMPLETE WAG RH</v>
          </cell>
        </row>
        <row r="79">
          <cell r="O79" t="str">
            <v>??????</v>
          </cell>
          <cell r="U79" t="str">
            <v>BODY SIDE COMPLETE 4DR LH?</v>
          </cell>
        </row>
        <row r="80">
          <cell r="U80" t="str">
            <v>BODY SIDE COMPLETE WAG LH</v>
          </cell>
        </row>
        <row r="81">
          <cell r="O81" t="str">
            <v>A50200</v>
          </cell>
          <cell r="P81" t="str">
            <v>AA</v>
          </cell>
          <cell r="Q81">
            <v>0</v>
          </cell>
          <cell r="R81" t="e">
            <v>#N/A</v>
          </cell>
          <cell r="S81" t="e">
            <v>#N/A</v>
          </cell>
          <cell r="U81" t="str">
            <v>ROOF ASSY 5DR</v>
          </cell>
        </row>
        <row r="82">
          <cell r="O82" t="str">
            <v>??????</v>
          </cell>
          <cell r="U82" t="str">
            <v>ROOF ASSY 4DR?</v>
          </cell>
        </row>
        <row r="83">
          <cell r="U83" t="str">
            <v>ROOF ASSY WAG</v>
          </cell>
        </row>
        <row r="84">
          <cell r="O84" t="str">
            <v>A02010</v>
          </cell>
          <cell r="P84" t="str">
            <v>AA</v>
          </cell>
          <cell r="Q84">
            <v>0</v>
          </cell>
          <cell r="R84" t="e">
            <v>#N/A</v>
          </cell>
          <cell r="S84" t="e">
            <v>#N/A</v>
          </cell>
          <cell r="U84" t="str">
            <v>COWL TOP ASSY LHD</v>
          </cell>
        </row>
        <row r="85">
          <cell r="O85" t="str">
            <v>A02010</v>
          </cell>
          <cell r="P85" t="str">
            <v>AA?</v>
          </cell>
          <cell r="Q85">
            <v>0</v>
          </cell>
          <cell r="R85" t="e">
            <v>#N/A</v>
          </cell>
          <cell r="S85" t="e">
            <v>#N/A</v>
          </cell>
          <cell r="U85" t="str">
            <v>COWL TOP ASSY RHD</v>
          </cell>
        </row>
        <row r="86">
          <cell r="U86" t="str">
            <v>SHOTGUN ASSY RH</v>
          </cell>
        </row>
        <row r="87">
          <cell r="U87" t="str">
            <v>SHOTGUN ASSY LH</v>
          </cell>
        </row>
        <row r="88">
          <cell r="U88" t="str">
            <v>PACKAGE TRAY, SEAT BACK, REAR WINDOW FRAME 4DR?</v>
          </cell>
        </row>
        <row r="89">
          <cell r="T89" t="str">
            <v>A-PILLAR ASSY RH</v>
          </cell>
        </row>
        <row r="90">
          <cell r="U90" t="str">
            <v>REINF FRT BODY PILLAR ASSY RH</v>
          </cell>
        </row>
        <row r="91">
          <cell r="U91" t="str">
            <v>PLR ASSY FRT BODY LOCK INNR RH</v>
          </cell>
        </row>
        <row r="92">
          <cell r="T92" t="str">
            <v>A-PILLAR ASSY LH</v>
          </cell>
        </row>
        <row r="93">
          <cell r="U93" t="str">
            <v>REINF FRT BODY PILLAR ASSY LH</v>
          </cell>
        </row>
        <row r="94">
          <cell r="U94" t="str">
            <v>PLR ASSY FRT BODY LOCK INNR LH</v>
          </cell>
        </row>
        <row r="95">
          <cell r="T95" t="str">
            <v>REINF FRT BODY PILLAR ASSY RH</v>
          </cell>
        </row>
        <row r="96">
          <cell r="O96" t="str">
            <v>A02525</v>
          </cell>
          <cell r="P96" t="str">
            <v>AA</v>
          </cell>
          <cell r="Q96" t="e">
            <v>#N/A</v>
          </cell>
          <cell r="R96" t="e">
            <v>#N/A</v>
          </cell>
          <cell r="S96" t="e">
            <v>#N/A</v>
          </cell>
          <cell r="U96" t="str">
            <v>RNF A_PLR UPR RH</v>
          </cell>
        </row>
        <row r="97">
          <cell r="O97" t="str">
            <v>R22836</v>
          </cell>
          <cell r="P97" t="str">
            <v>AA</v>
          </cell>
          <cell r="Q97" t="e">
            <v>#N/A</v>
          </cell>
          <cell r="R97" t="str">
            <v>YES</v>
          </cell>
          <cell r="S97">
            <v>0.15</v>
          </cell>
          <cell r="U97" t="str">
            <v>REINF FRT DR HINGE LWR ON BDY RH</v>
          </cell>
        </row>
        <row r="98">
          <cell r="O98" t="str">
            <v>R228A04</v>
          </cell>
          <cell r="P98" t="str">
            <v>AA</v>
          </cell>
          <cell r="Q98" t="e">
            <v>#N/A</v>
          </cell>
          <cell r="R98" t="str">
            <v>YES</v>
          </cell>
          <cell r="S98">
            <v>0.15</v>
          </cell>
          <cell r="U98" t="str">
            <v>REINF FRT DR HINGE UPR ON BDY RH</v>
          </cell>
        </row>
        <row r="99">
          <cell r="O99" t="str">
            <v>A228A04</v>
          </cell>
          <cell r="P99" t="str">
            <v>AA</v>
          </cell>
          <cell r="Q99">
            <v>0</v>
          </cell>
          <cell r="R99" t="e">
            <v>#N/A</v>
          </cell>
          <cell r="S99" t="e">
            <v>#N/A</v>
          </cell>
          <cell r="U99" t="str">
            <v>REINF FRT DR HINGE UPR ON BDY RH</v>
          </cell>
        </row>
        <row r="100">
          <cell r="O100" t="str">
            <v>R02556</v>
          </cell>
          <cell r="P100" t="str">
            <v>AA</v>
          </cell>
          <cell r="Q100" t="e">
            <v>#N/A</v>
          </cell>
          <cell r="R100" t="str">
            <v>YES</v>
          </cell>
          <cell r="S100">
            <v>4.0599999999999996</v>
          </cell>
          <cell r="U100" t="str">
            <v>REINF FRT BDY PLR HINGE RH</v>
          </cell>
        </row>
        <row r="101">
          <cell r="T101" t="str">
            <v>REINF FRT BODY PILLAR ASSY LH</v>
          </cell>
        </row>
        <row r="102">
          <cell r="O102" t="str">
            <v>A02524</v>
          </cell>
          <cell r="P102" t="str">
            <v>AA</v>
          </cell>
          <cell r="Q102" t="e">
            <v>#N/A</v>
          </cell>
          <cell r="R102" t="e">
            <v>#N/A</v>
          </cell>
          <cell r="S102" t="e">
            <v>#N/A</v>
          </cell>
          <cell r="U102" t="str">
            <v>RNF A_PLR UPR LH</v>
          </cell>
        </row>
        <row r="103">
          <cell r="O103" t="str">
            <v>R22837</v>
          </cell>
          <cell r="P103" t="str">
            <v>AA</v>
          </cell>
          <cell r="Q103" t="e">
            <v>#N/A</v>
          </cell>
          <cell r="R103" t="str">
            <v>YES</v>
          </cell>
          <cell r="S103">
            <v>0.15</v>
          </cell>
          <cell r="U103" t="str">
            <v>REINF FRT DR HINGE LWR ON BDY LH</v>
          </cell>
        </row>
        <row r="104">
          <cell r="O104" t="str">
            <v>R228A05</v>
          </cell>
          <cell r="P104" t="str">
            <v>AA</v>
          </cell>
          <cell r="Q104" t="e">
            <v>#N/A</v>
          </cell>
          <cell r="R104" t="str">
            <v>YES</v>
          </cell>
          <cell r="S104">
            <v>0.15</v>
          </cell>
          <cell r="U104" t="str">
            <v>REINF FRT DR HINGE UPR ON BDY LH</v>
          </cell>
        </row>
        <row r="105">
          <cell r="O105" t="str">
            <v>A228A05</v>
          </cell>
          <cell r="P105" t="str">
            <v>AA</v>
          </cell>
          <cell r="Q105">
            <v>0</v>
          </cell>
          <cell r="R105" t="e">
            <v>#N/A</v>
          </cell>
          <cell r="S105" t="e">
            <v>#N/A</v>
          </cell>
          <cell r="U105" t="str">
            <v>REINF FRT DR HINGE UPR ON BDY LH</v>
          </cell>
        </row>
        <row r="106">
          <cell r="O106" t="str">
            <v>R02557</v>
          </cell>
          <cell r="P106" t="str">
            <v>AA</v>
          </cell>
          <cell r="Q106" t="e">
            <v>#N/A</v>
          </cell>
          <cell r="R106" t="e">
            <v>#N/A</v>
          </cell>
          <cell r="S106" t="e">
            <v>#N/A</v>
          </cell>
          <cell r="U106" t="str">
            <v>REINF FRT BDY PLR HINGE LH</v>
          </cell>
        </row>
        <row r="107">
          <cell r="O107" t="str">
            <v>A24382</v>
          </cell>
          <cell r="P107" t="str">
            <v>A</v>
          </cell>
          <cell r="Q107">
            <v>0</v>
          </cell>
          <cell r="R107" t="e">
            <v>#N/A</v>
          </cell>
          <cell r="S107" t="e">
            <v>#N/A</v>
          </cell>
          <cell r="T107" t="str">
            <v>REINF CTR BODY PLR ASSY RH</v>
          </cell>
        </row>
        <row r="108">
          <cell r="O108" t="str">
            <v>R24320</v>
          </cell>
          <cell r="P108" t="str">
            <v>AA</v>
          </cell>
          <cell r="Q108">
            <v>2.8050000000000002</v>
          </cell>
          <cell r="R108" t="e">
            <v>#N/A</v>
          </cell>
          <cell r="S108" t="e">
            <v>#N/A</v>
          </cell>
          <cell r="U108" t="str">
            <v>REINF CENTRE BODY PILLAR RH</v>
          </cell>
        </row>
        <row r="109">
          <cell r="O109" t="str">
            <v>A243A62</v>
          </cell>
          <cell r="P109" t="str">
            <v>AA</v>
          </cell>
          <cell r="Q109" t="e">
            <v>#N/A</v>
          </cell>
          <cell r="R109" t="e">
            <v>#N/A</v>
          </cell>
          <cell r="S109" t="e">
            <v>#N/A</v>
          </cell>
          <cell r="U109" t="str">
            <v>REINF CENTRE BODY PILLAR UPPER RH</v>
          </cell>
        </row>
        <row r="110">
          <cell r="O110" t="str">
            <v>W520721</v>
          </cell>
          <cell r="P110" t="str">
            <v xml:space="preserve">S300  </v>
          </cell>
          <cell r="Q110">
            <v>1.8044854856000003E-2</v>
          </cell>
          <cell r="R110" t="e">
            <v>#N/A</v>
          </cell>
          <cell r="S110" t="e">
            <v>#N/A</v>
          </cell>
          <cell r="U110" t="str">
            <v xml:space="preserve">NUT WELD M8 HEX FLNG 8        </v>
          </cell>
        </row>
        <row r="111">
          <cell r="O111" t="str">
            <v>A61218</v>
          </cell>
          <cell r="P111" t="str">
            <v>AA</v>
          </cell>
          <cell r="Q111" t="e">
            <v>#N/A</v>
          </cell>
          <cell r="R111" t="str">
            <v>YES</v>
          </cell>
          <cell r="S111">
            <v>1.54</v>
          </cell>
          <cell r="U111" t="str">
            <v>REINF FRT SEAT BELT ANC RH</v>
          </cell>
        </row>
        <row r="112">
          <cell r="O112">
            <v>5426592</v>
          </cell>
          <cell r="P112" t="str">
            <v>AA</v>
          </cell>
          <cell r="Q112">
            <v>0</v>
          </cell>
          <cell r="R112" t="str">
            <v>YES</v>
          </cell>
          <cell r="S112">
            <v>0.51500000000000001</v>
          </cell>
          <cell r="U112" t="str">
            <v>RET DOOR LATCH STRIKER</v>
          </cell>
        </row>
        <row r="113">
          <cell r="O113" t="str">
            <v>R24390</v>
          </cell>
          <cell r="P113" t="str">
            <v>AA</v>
          </cell>
          <cell r="Q113">
            <v>0.51</v>
          </cell>
          <cell r="R113" t="str">
            <v>YES</v>
          </cell>
          <cell r="S113">
            <v>0.51</v>
          </cell>
          <cell r="U113" t="str">
            <v>REINF CENTRE PILLAR LOWER HINGE RH</v>
          </cell>
        </row>
        <row r="114">
          <cell r="O114" t="str">
            <v>W520721</v>
          </cell>
          <cell r="P114" t="str">
            <v xml:space="preserve">S300  </v>
          </cell>
          <cell r="Q114">
            <v>1.8044854856000003E-2</v>
          </cell>
          <cell r="R114" t="e">
            <v>#N/A</v>
          </cell>
          <cell r="S114" t="e">
            <v>#N/A</v>
          </cell>
          <cell r="U114" t="str">
            <v xml:space="preserve">NUT WELD M8 HEX FLNG 8        </v>
          </cell>
        </row>
        <row r="115">
          <cell r="O115" t="str">
            <v>R24440</v>
          </cell>
          <cell r="P115" t="str">
            <v>A</v>
          </cell>
          <cell r="Q115">
            <v>0.61499999999999999</v>
          </cell>
          <cell r="R115" t="e">
            <v>#N/A</v>
          </cell>
          <cell r="S115" t="e">
            <v>#N/A</v>
          </cell>
          <cell r="U115" t="str">
            <v>REINF CTR BODY PLR LWR RH</v>
          </cell>
        </row>
        <row r="116">
          <cell r="O116" t="str">
            <v>A24383</v>
          </cell>
          <cell r="P116" t="str">
            <v>A</v>
          </cell>
          <cell r="Q116">
            <v>0</v>
          </cell>
          <cell r="R116" t="e">
            <v>#N/A</v>
          </cell>
          <cell r="S116" t="e">
            <v>#N/A</v>
          </cell>
          <cell r="T116" t="str">
            <v>REINF CTR BODY PLR ASSY LH</v>
          </cell>
        </row>
        <row r="117">
          <cell r="O117" t="str">
            <v>R24321</v>
          </cell>
          <cell r="P117" t="str">
            <v>AA</v>
          </cell>
          <cell r="Q117">
            <v>2.8050000000000002</v>
          </cell>
          <cell r="R117" t="e">
            <v>#N/A</v>
          </cell>
          <cell r="S117" t="e">
            <v>#N/A</v>
          </cell>
          <cell r="U117" t="str">
            <v>REINF CENTRE BODY PILLAR LH</v>
          </cell>
        </row>
        <row r="118">
          <cell r="O118" t="str">
            <v>A243A63</v>
          </cell>
          <cell r="P118" t="str">
            <v>AA</v>
          </cell>
          <cell r="Q118" t="e">
            <v>#N/A</v>
          </cell>
          <cell r="R118" t="e">
            <v>#N/A</v>
          </cell>
          <cell r="S118" t="e">
            <v>#N/A</v>
          </cell>
          <cell r="U118" t="str">
            <v>REINF CENTRE BODY PILLAR UPPER LH</v>
          </cell>
        </row>
        <row r="119">
          <cell r="O119" t="str">
            <v>W520721</v>
          </cell>
          <cell r="P119" t="str">
            <v xml:space="preserve">S300  </v>
          </cell>
          <cell r="Q119">
            <v>1.8044854856000003E-2</v>
          </cell>
          <cell r="R119" t="e">
            <v>#N/A</v>
          </cell>
          <cell r="S119" t="e">
            <v>#N/A</v>
          </cell>
          <cell r="U119" t="str">
            <v xml:space="preserve">NUT WELD M8 HEX FLNG 8        </v>
          </cell>
        </row>
        <row r="120">
          <cell r="O120" t="str">
            <v>A61219</v>
          </cell>
          <cell r="P120" t="str">
            <v>AA</v>
          </cell>
          <cell r="Q120" t="e">
            <v>#N/A</v>
          </cell>
          <cell r="R120" t="str">
            <v>YES</v>
          </cell>
          <cell r="S120">
            <v>1.54</v>
          </cell>
          <cell r="U120" t="str">
            <v>REINF FRT SEAT BELT ANC LH</v>
          </cell>
        </row>
        <row r="121">
          <cell r="O121">
            <v>5426592</v>
          </cell>
          <cell r="P121" t="str">
            <v>AA</v>
          </cell>
          <cell r="Q121">
            <v>0</v>
          </cell>
          <cell r="R121" t="str">
            <v>YES</v>
          </cell>
          <cell r="S121">
            <v>0.51500000000000001</v>
          </cell>
          <cell r="U121" t="str">
            <v>RET DOOR LATCH STRIKER</v>
          </cell>
        </row>
        <row r="122">
          <cell r="O122" t="str">
            <v>R24391</v>
          </cell>
          <cell r="P122" t="str">
            <v>AA</v>
          </cell>
          <cell r="Q122">
            <v>0.51</v>
          </cell>
          <cell r="R122" t="str">
            <v>YES</v>
          </cell>
          <cell r="S122">
            <v>0.51</v>
          </cell>
          <cell r="U122" t="str">
            <v>REINF CENTRE PILLAR LOWER HINGE LH</v>
          </cell>
        </row>
        <row r="123">
          <cell r="O123" t="str">
            <v>W520721</v>
          </cell>
          <cell r="P123" t="str">
            <v xml:space="preserve">S300  </v>
          </cell>
          <cell r="Q123">
            <v>1.8044854856000003E-2</v>
          </cell>
          <cell r="R123" t="e">
            <v>#N/A</v>
          </cell>
          <cell r="S123" t="e">
            <v>#N/A</v>
          </cell>
          <cell r="U123" t="str">
            <v xml:space="preserve">NUT WELD M8 HEX FLNG 8        </v>
          </cell>
        </row>
        <row r="124">
          <cell r="O124" t="str">
            <v>R24441</v>
          </cell>
          <cell r="P124" t="str">
            <v>A</v>
          </cell>
          <cell r="Q124">
            <v>0.61499999999999999</v>
          </cell>
          <cell r="R124" t="e">
            <v>#N/A</v>
          </cell>
          <cell r="S124" t="e">
            <v>#N/A</v>
          </cell>
          <cell r="U124" t="str">
            <v>REINF CTR BODY PLR LWR LH</v>
          </cell>
        </row>
        <row r="125">
          <cell r="T125" t="str">
            <v>B/SIDE DR LCK STR ASSY RH</v>
          </cell>
        </row>
        <row r="126">
          <cell r="O126" t="str">
            <v>A220K50</v>
          </cell>
          <cell r="P126" t="str">
            <v>A</v>
          </cell>
          <cell r="Q126">
            <v>0</v>
          </cell>
          <cell r="R126" t="e">
            <v>#N/A</v>
          </cell>
          <cell r="S126" t="e">
            <v>#N/A</v>
          </cell>
          <cell r="U126" t="str">
            <v>REINF ASY DOOR LOCK STRIKER 3/5DR</v>
          </cell>
        </row>
        <row r="127">
          <cell r="O127" t="str">
            <v>R246K43</v>
          </cell>
          <cell r="P127" t="str">
            <v>AA</v>
          </cell>
          <cell r="Q127">
            <v>0.1</v>
          </cell>
          <cell r="R127" t="e">
            <v>#N/A</v>
          </cell>
          <cell r="S127">
            <v>0.105</v>
          </cell>
          <cell r="U127" t="str">
            <v>REINF BODY SD DOOR LK STRK RH</v>
          </cell>
        </row>
        <row r="128">
          <cell r="O128">
            <v>5426592</v>
          </cell>
          <cell r="P128" t="str">
            <v>AA</v>
          </cell>
          <cell r="Q128">
            <v>0</v>
          </cell>
          <cell r="R128" t="str">
            <v>YES</v>
          </cell>
          <cell r="S128">
            <v>0.51500000000000001</v>
          </cell>
          <cell r="U128" t="str">
            <v>RET DOOR LATCH STRIKER</v>
          </cell>
        </row>
        <row r="129">
          <cell r="T129" t="str">
            <v>B/SIDE DR LCK STR ASSY LH</v>
          </cell>
        </row>
        <row r="130">
          <cell r="O130" t="str">
            <v>R246K44</v>
          </cell>
          <cell r="P130" t="str">
            <v>AA</v>
          </cell>
          <cell r="Q130">
            <v>0.1</v>
          </cell>
          <cell r="R130" t="str">
            <v>YES</v>
          </cell>
          <cell r="S130">
            <v>0.105</v>
          </cell>
          <cell r="U130" t="str">
            <v>REINF BODY SD DOOR LK STRK LH</v>
          </cell>
        </row>
        <row r="131">
          <cell r="O131">
            <v>5426592</v>
          </cell>
          <cell r="P131" t="str">
            <v>AA</v>
          </cell>
          <cell r="Q131">
            <v>0</v>
          </cell>
          <cell r="R131" t="str">
            <v>YES</v>
          </cell>
          <cell r="S131">
            <v>0.51500000000000001</v>
          </cell>
          <cell r="U131" t="str">
            <v>RET DOOR LATCH STRIKER</v>
          </cell>
        </row>
        <row r="132">
          <cell r="O132" t="str">
            <v>A26480</v>
          </cell>
          <cell r="P132" t="str">
            <v xml:space="preserve">AC      </v>
          </cell>
          <cell r="Q132" t="e">
            <v>#N/A</v>
          </cell>
          <cell r="R132" t="e">
            <v>#N/A</v>
          </cell>
          <cell r="S132" t="e">
            <v>#N/A</v>
          </cell>
          <cell r="U132" t="str">
            <v xml:space="preserve">Retainr -Dr Latch Striker          </v>
          </cell>
        </row>
        <row r="133">
          <cell r="T133" t="str">
            <v>BODYSIDE D-PLR ASSY RH</v>
          </cell>
        </row>
        <row r="134">
          <cell r="O134" t="str">
            <v>R41836</v>
          </cell>
          <cell r="P134" t="str">
            <v>AA</v>
          </cell>
          <cell r="Q134">
            <v>0.56000000000000005</v>
          </cell>
          <cell r="R134" t="e">
            <v>#N/A</v>
          </cell>
          <cell r="S134" t="e">
            <v>#N/A</v>
          </cell>
          <cell r="U134" t="str">
            <v>BRKT LIFTGATE LIFT</v>
          </cell>
        </row>
        <row r="135">
          <cell r="O135" t="str">
            <v>A45108</v>
          </cell>
          <cell r="P135" t="str">
            <v>AA</v>
          </cell>
          <cell r="Q135" t="e">
            <v>#N/A</v>
          </cell>
          <cell r="R135" t="e">
            <v>#N/A</v>
          </cell>
          <cell r="S135" t="e">
            <v>#N/A</v>
          </cell>
          <cell r="U135" t="str">
            <v>TROUGH L/C DR OPNG DRAIN RH</v>
          </cell>
        </row>
        <row r="136">
          <cell r="O136" t="str">
            <v>F45108</v>
          </cell>
          <cell r="P136" t="str">
            <v>AA</v>
          </cell>
          <cell r="Q136" t="e">
            <v>#N/A</v>
          </cell>
          <cell r="R136" t="e">
            <v>#N/A</v>
          </cell>
          <cell r="S136" t="e">
            <v>#N/A</v>
          </cell>
          <cell r="T136">
            <v>12</v>
          </cell>
          <cell r="U136" t="str">
            <v>TROUGH L/C DR OPNG DRAIN RH</v>
          </cell>
        </row>
        <row r="137">
          <cell r="O137" t="str">
            <v>A41836</v>
          </cell>
          <cell r="P137" t="str">
            <v>AA</v>
          </cell>
          <cell r="Q137" t="e">
            <v>#N/A</v>
          </cell>
          <cell r="R137" t="e">
            <v>#N/A</v>
          </cell>
          <cell r="S137" t="e">
            <v>#N/A</v>
          </cell>
          <cell r="U137" t="str">
            <v>BRKT LIFTGATE LIFT</v>
          </cell>
        </row>
        <row r="138">
          <cell r="O138" t="str">
            <v>A41837</v>
          </cell>
          <cell r="P138" t="str">
            <v>AA</v>
          </cell>
          <cell r="Q138" t="e">
            <v>#N/A</v>
          </cell>
          <cell r="R138" t="e">
            <v>#N/A</v>
          </cell>
          <cell r="S138" t="e">
            <v>#N/A</v>
          </cell>
          <cell r="U138" t="str">
            <v>BRKT LIFTGATE LIFT</v>
          </cell>
        </row>
        <row r="139">
          <cell r="T139" t="str">
            <v>BODYSIDE D-PLR ASSY LH</v>
          </cell>
        </row>
        <row r="140">
          <cell r="O140" t="str">
            <v>R41837</v>
          </cell>
          <cell r="P140" t="str">
            <v>AA</v>
          </cell>
          <cell r="Q140">
            <v>0.6</v>
          </cell>
          <cell r="R140" t="e">
            <v>#N/A</v>
          </cell>
          <cell r="S140" t="e">
            <v>#N/A</v>
          </cell>
          <cell r="U140" t="str">
            <v>BRKT LIFTGATE LIFT</v>
          </cell>
        </row>
        <row r="141">
          <cell r="O141" t="str">
            <v>A45109</v>
          </cell>
          <cell r="P141" t="str">
            <v>AA</v>
          </cell>
          <cell r="Q141" t="e">
            <v>#N/A</v>
          </cell>
          <cell r="R141" t="e">
            <v>#N/A</v>
          </cell>
          <cell r="S141" t="e">
            <v>#N/A</v>
          </cell>
          <cell r="U141" t="str">
            <v>TROUGH L/C DR OPNG DRAIN LH</v>
          </cell>
        </row>
        <row r="142">
          <cell r="O142" t="str">
            <v>F45109</v>
          </cell>
          <cell r="P142" t="str">
            <v>AA</v>
          </cell>
          <cell r="Q142" t="e">
            <v>#N/A</v>
          </cell>
          <cell r="R142" t="e">
            <v>#N/A</v>
          </cell>
          <cell r="S142" t="e">
            <v>#N/A</v>
          </cell>
          <cell r="T142">
            <v>12</v>
          </cell>
          <cell r="U142" t="str">
            <v>TROUGH L/C DR OPNG DRAIN LH</v>
          </cell>
        </row>
        <row r="143">
          <cell r="T143" t="str">
            <v>TROUGH L/G OPNG DRAIN ASSY -  RH</v>
          </cell>
        </row>
        <row r="144">
          <cell r="O144" t="str">
            <v>N45114</v>
          </cell>
          <cell r="P144" t="str">
            <v>AA</v>
          </cell>
          <cell r="Q144">
            <v>0</v>
          </cell>
          <cell r="R144" t="e">
            <v>#N/A</v>
          </cell>
          <cell r="S144" t="e">
            <v>#N/A</v>
          </cell>
          <cell r="U144" t="str">
            <v>TROUGH L/C OPNG SD DRAIN RH</v>
          </cell>
        </row>
        <row r="145">
          <cell r="O145" t="str">
            <v>A45106</v>
          </cell>
          <cell r="P145" t="str">
            <v>AA</v>
          </cell>
          <cell r="Q145" t="e">
            <v>#N/A</v>
          </cell>
          <cell r="R145" t="e">
            <v>#N/A</v>
          </cell>
          <cell r="S145" t="e">
            <v>#N/A</v>
          </cell>
          <cell r="U145" t="str">
            <v>DRAIN TROUGH PATCH</v>
          </cell>
        </row>
        <row r="146">
          <cell r="O146" t="str">
            <v>A45136</v>
          </cell>
          <cell r="P146" t="str">
            <v>AA</v>
          </cell>
          <cell r="Q146" t="e">
            <v>#N/A</v>
          </cell>
          <cell r="R146" t="e">
            <v>#N/A</v>
          </cell>
          <cell r="S146" t="e">
            <v>#N/A</v>
          </cell>
          <cell r="U146" t="str">
            <v>EXT L/C DR OPN LWR CRN DRAIN TROUGH</v>
          </cell>
        </row>
        <row r="147">
          <cell r="T147" t="str">
            <v>TROUGH L/G OPNG DRAIN ASSY -  LH</v>
          </cell>
        </row>
        <row r="148">
          <cell r="O148" t="str">
            <v>A45107</v>
          </cell>
          <cell r="P148" t="str">
            <v>AA</v>
          </cell>
          <cell r="Q148" t="e">
            <v>#N/A</v>
          </cell>
          <cell r="R148" t="e">
            <v>#N/A</v>
          </cell>
          <cell r="S148" t="e">
            <v>#N/A</v>
          </cell>
          <cell r="U148" t="str">
            <v>DRAIN TROUGH PATCH</v>
          </cell>
        </row>
        <row r="149">
          <cell r="O149" t="str">
            <v>N45115</v>
          </cell>
          <cell r="P149" t="str">
            <v>AA</v>
          </cell>
          <cell r="Q149">
            <v>0</v>
          </cell>
          <cell r="R149" t="e">
            <v>#N/A</v>
          </cell>
          <cell r="S149" t="e">
            <v>#N/A</v>
          </cell>
          <cell r="U149" t="str">
            <v>TROUGH L/C OPNG SD DRAIN LH</v>
          </cell>
        </row>
        <row r="150">
          <cell r="O150" t="str">
            <v>A45137</v>
          </cell>
          <cell r="P150" t="str">
            <v>AA</v>
          </cell>
          <cell r="Q150" t="e">
            <v>#N/A</v>
          </cell>
          <cell r="R150" t="e">
            <v>#N/A</v>
          </cell>
          <cell r="S150" t="e">
            <v>#N/A</v>
          </cell>
          <cell r="U150" t="str">
            <v>EXT L/C DR OPN LWR CRN DRAIN TROUGH</v>
          </cell>
        </row>
        <row r="151">
          <cell r="T151" t="str">
            <v>RNF ASSY B/SIDE PNL W/HOUSE RH</v>
          </cell>
        </row>
        <row r="152">
          <cell r="O152" t="str">
            <v>A667K01</v>
          </cell>
          <cell r="P152" t="str">
            <v>AA</v>
          </cell>
          <cell r="Q152">
            <v>0</v>
          </cell>
          <cell r="R152" t="e">
            <v>#N/A</v>
          </cell>
          <cell r="S152" t="e">
            <v>#N/A</v>
          </cell>
          <cell r="U152" t="str">
            <v>BRKT ASY REAR SEAT BACK STOP RH 3/5DR</v>
          </cell>
        </row>
        <row r="153">
          <cell r="O153" t="str">
            <v>B278A08</v>
          </cell>
          <cell r="P153" t="str">
            <v>AA</v>
          </cell>
          <cell r="Q153" t="e">
            <v>#N/A</v>
          </cell>
          <cell r="R153" t="e">
            <v>#N/A</v>
          </cell>
          <cell r="S153" t="e">
            <v>#N/A</v>
          </cell>
          <cell r="U153" t="str">
            <v>PANEL QTR I/S LWR TO W/HOUSE RH 3DR</v>
          </cell>
        </row>
        <row r="154">
          <cell r="O154" t="str">
            <v>N667K01</v>
          </cell>
          <cell r="P154" t="str">
            <v>AA</v>
          </cell>
          <cell r="Q154">
            <v>0</v>
          </cell>
          <cell r="R154" t="e">
            <v>#N/A</v>
          </cell>
          <cell r="S154" t="e">
            <v>#N/A</v>
          </cell>
          <cell r="U154" t="str">
            <v>BRKT ASY REAR SEAT BACK STOP RH WAGON</v>
          </cell>
        </row>
        <row r="155">
          <cell r="O155" t="str">
            <v>W700791</v>
          </cell>
          <cell r="P155" t="str">
            <v>S300</v>
          </cell>
          <cell r="Q155">
            <v>0.03</v>
          </cell>
          <cell r="R155" t="e">
            <v>#N/A</v>
          </cell>
          <cell r="S155" t="e">
            <v>#N/A</v>
          </cell>
          <cell r="U155" t="str">
            <v>Nut M8 Hex Flng Weld</v>
          </cell>
        </row>
        <row r="156">
          <cell r="O156" t="str">
            <v>W703173</v>
          </cell>
          <cell r="P156" t="str">
            <v>S300</v>
          </cell>
          <cell r="Q156">
            <v>3.1864740523000007E-2</v>
          </cell>
          <cell r="R156" t="e">
            <v>#N/A</v>
          </cell>
          <cell r="S156" t="e">
            <v>#N/A</v>
          </cell>
          <cell r="U156" t="str">
            <v>Nut M10 Hex Flng Weld</v>
          </cell>
        </row>
        <row r="157">
          <cell r="O157" t="str">
            <v>W703879</v>
          </cell>
          <cell r="P157" t="str">
            <v>S300</v>
          </cell>
          <cell r="Q157">
            <v>2.3311754116000002E-2</v>
          </cell>
          <cell r="R157" t="e">
            <v>#N/A</v>
          </cell>
          <cell r="S157" t="e">
            <v>#N/A</v>
          </cell>
          <cell r="U157" t="str">
            <v>Bolt Weld 8x20 Spl.Pil 8</v>
          </cell>
        </row>
        <row r="158">
          <cell r="T158" t="str">
            <v>RNF ASSY B/SIDE PNL W/HOUSE LH</v>
          </cell>
        </row>
        <row r="159">
          <cell r="O159" t="str">
            <v>A667K02</v>
          </cell>
          <cell r="P159" t="str">
            <v>AA</v>
          </cell>
          <cell r="Q159">
            <v>0</v>
          </cell>
          <cell r="R159" t="e">
            <v>#N/A</v>
          </cell>
          <cell r="S159" t="e">
            <v>#N/A</v>
          </cell>
          <cell r="U159" t="str">
            <v>BRKT ASY REAR SEAT BACK STOP LH 3/5DR</v>
          </cell>
        </row>
        <row r="160">
          <cell r="O160" t="str">
            <v>B278A09</v>
          </cell>
          <cell r="P160" t="str">
            <v>AA</v>
          </cell>
          <cell r="Q160" t="e">
            <v>#N/A</v>
          </cell>
          <cell r="R160" t="e">
            <v>#N/A</v>
          </cell>
          <cell r="S160" t="e">
            <v>#N/A</v>
          </cell>
          <cell r="U160" t="str">
            <v>PANEL QTR I/S LWR TO W/HOUSE LH 3DR</v>
          </cell>
        </row>
        <row r="161">
          <cell r="O161" t="str">
            <v>N667K02</v>
          </cell>
          <cell r="P161" t="str">
            <v>AA</v>
          </cell>
          <cell r="Q161">
            <v>0</v>
          </cell>
          <cell r="R161" t="e">
            <v>#N/A</v>
          </cell>
          <cell r="S161" t="e">
            <v>#N/A</v>
          </cell>
          <cell r="U161" t="str">
            <v>BRKT ASY REAR SEAT BACK STOP LH WAGON</v>
          </cell>
        </row>
        <row r="162">
          <cell r="O162" t="str">
            <v>W700791</v>
          </cell>
          <cell r="P162" t="str">
            <v>S300</v>
          </cell>
          <cell r="Q162">
            <v>0.03</v>
          </cell>
          <cell r="R162" t="e">
            <v>#N/A</v>
          </cell>
          <cell r="S162" t="e">
            <v>#N/A</v>
          </cell>
          <cell r="U162" t="str">
            <v>Nut M8 Hex Flng Weld</v>
          </cell>
        </row>
        <row r="163">
          <cell r="O163" t="str">
            <v>W703173</v>
          </cell>
          <cell r="P163" t="str">
            <v>S300</v>
          </cell>
          <cell r="Q163">
            <v>3.1864740523000007E-2</v>
          </cell>
          <cell r="R163" t="e">
            <v>#N/A</v>
          </cell>
          <cell r="S163" t="e">
            <v>#N/A</v>
          </cell>
          <cell r="U163" t="str">
            <v>Nut M10 Hex Flng Weld</v>
          </cell>
        </row>
        <row r="164">
          <cell r="O164" t="str">
            <v>W703879</v>
          </cell>
          <cell r="P164" t="str">
            <v>S300</v>
          </cell>
          <cell r="Q164">
            <v>2.3311754116000002E-2</v>
          </cell>
          <cell r="R164" t="e">
            <v>#N/A</v>
          </cell>
          <cell r="S164" t="e">
            <v>#N/A</v>
          </cell>
          <cell r="U164" t="str">
            <v>Bolt Weld 8x20 Spl.Pil 8</v>
          </cell>
        </row>
        <row r="165">
          <cell r="T165" t="str">
            <v>SUPPORT B/S PNL TO W/H RH</v>
          </cell>
        </row>
        <row r="166">
          <cell r="O166" t="str">
            <v>R28276</v>
          </cell>
          <cell r="P166" t="str">
            <v>AA</v>
          </cell>
          <cell r="Q166">
            <v>1.2849999999999999</v>
          </cell>
          <cell r="R166" t="e">
            <v>#N/A</v>
          </cell>
          <cell r="S166" t="e">
            <v>#N/A</v>
          </cell>
          <cell r="U166" t="str">
            <v>REINF BDY SD PNL TO W/H RH</v>
          </cell>
        </row>
        <row r="167">
          <cell r="O167" t="str">
            <v>A279A32</v>
          </cell>
          <cell r="P167" t="str">
            <v>AA</v>
          </cell>
          <cell r="Q167" t="e">
            <v>#N/A</v>
          </cell>
          <cell r="R167" t="e">
            <v>#N/A</v>
          </cell>
          <cell r="S167" t="e">
            <v>#N/A</v>
          </cell>
          <cell r="U167" t="str">
            <v>SUPT BDY SD PNL TO W/H RH</v>
          </cell>
        </row>
        <row r="168">
          <cell r="T168" t="str">
            <v>SUPPORT B/S PNL TO W/H LH</v>
          </cell>
        </row>
        <row r="169">
          <cell r="O169" t="str">
            <v>R28277</v>
          </cell>
          <cell r="P169" t="str">
            <v>AA</v>
          </cell>
          <cell r="Q169">
            <v>1.2849999999999999</v>
          </cell>
          <cell r="R169" t="e">
            <v>#N/A</v>
          </cell>
          <cell r="S169" t="e">
            <v>#N/A</v>
          </cell>
          <cell r="U169" t="str">
            <v>REINF BDY SD PNL TO W/H LH</v>
          </cell>
        </row>
        <row r="170">
          <cell r="O170" t="str">
            <v>A279A33</v>
          </cell>
          <cell r="P170" t="str">
            <v>AA</v>
          </cell>
          <cell r="Q170" t="e">
            <v>#N/A</v>
          </cell>
          <cell r="R170" t="e">
            <v>#N/A</v>
          </cell>
          <cell r="S170" t="e">
            <v>#N/A</v>
          </cell>
          <cell r="U170" t="str">
            <v>SUPT BDY SD PNL TO W/H LH</v>
          </cell>
        </row>
        <row r="171">
          <cell r="T171" t="str">
            <v>BODY SIDE INR SUBASSY -RH</v>
          </cell>
        </row>
        <row r="172">
          <cell r="O172" t="str">
            <v>A27864</v>
          </cell>
          <cell r="P172" t="str">
            <v>AA</v>
          </cell>
          <cell r="Q172" t="e">
            <v>#N/A</v>
          </cell>
          <cell r="R172" t="str">
            <v>YES</v>
          </cell>
          <cell r="S172">
            <v>3.355</v>
          </cell>
          <cell r="U172" t="str">
            <v>PANEL BODY SIDE INNER RH 5DR</v>
          </cell>
        </row>
        <row r="173">
          <cell r="O173" t="str">
            <v>F27864</v>
          </cell>
          <cell r="P173" t="str">
            <v>AA</v>
          </cell>
          <cell r="Q173" t="e">
            <v>#N/A</v>
          </cell>
          <cell r="R173" t="str">
            <v>YES</v>
          </cell>
          <cell r="S173">
            <v>3.355</v>
          </cell>
          <cell r="T173">
            <v>12</v>
          </cell>
          <cell r="U173" t="str">
            <v>PANEL BODY SIDE INR RH 4DR</v>
          </cell>
        </row>
        <row r="174">
          <cell r="O174" t="str">
            <v>A27894</v>
          </cell>
          <cell r="P174" t="str">
            <v>AA</v>
          </cell>
          <cell r="Q174" t="e">
            <v>#N/A</v>
          </cell>
          <cell r="R174" t="e">
            <v>#N/A</v>
          </cell>
          <cell r="S174" t="e">
            <v>#N/A</v>
          </cell>
          <cell r="U174" t="str">
            <v>PNL BDY SDE INR LWR RH</v>
          </cell>
        </row>
        <row r="175">
          <cell r="O175" t="str">
            <v>F27894</v>
          </cell>
          <cell r="P175" t="str">
            <v>AA</v>
          </cell>
          <cell r="Q175" t="e">
            <v>#N/A</v>
          </cell>
          <cell r="R175" t="e">
            <v>#N/A</v>
          </cell>
          <cell r="S175" t="e">
            <v>#N/A</v>
          </cell>
          <cell r="U175" t="str">
            <v>PNL BDY SDE INR LWR RH</v>
          </cell>
        </row>
        <row r="176">
          <cell r="O176" t="str">
            <v>N27846</v>
          </cell>
          <cell r="P176" t="str">
            <v>ref</v>
          </cell>
          <cell r="Q176">
            <v>0</v>
          </cell>
          <cell r="R176" t="e">
            <v>#N/A</v>
          </cell>
          <cell r="S176" t="e">
            <v>#N/A</v>
          </cell>
          <cell r="U176" t="str">
            <v>PNL B/SIDE OTR RH at A/PLR ref only</v>
          </cell>
        </row>
        <row r="177">
          <cell r="O177" t="str">
            <v>W700121</v>
          </cell>
          <cell r="P177" t="str">
            <v>S403</v>
          </cell>
          <cell r="Q177">
            <v>5.0000000000000001E-3</v>
          </cell>
          <cell r="R177" t="e">
            <v>#N/A</v>
          </cell>
          <cell r="S177" t="e">
            <v>#N/A</v>
          </cell>
          <cell r="U177" t="str">
            <v>Stud 5X14.2 Weld Spl Thd</v>
          </cell>
        </row>
        <row r="178">
          <cell r="O178" t="str">
            <v>A41054</v>
          </cell>
          <cell r="P178" t="str">
            <v>AA</v>
          </cell>
          <cell r="Q178" t="e">
            <v>#N/A</v>
          </cell>
          <cell r="R178" t="e">
            <v>#N/A</v>
          </cell>
          <cell r="S178" t="e">
            <v>#N/A</v>
          </cell>
          <cell r="U178" t="str">
            <v>EXT REAR CORNER LWR PLR RH</v>
          </cell>
        </row>
        <row r="179">
          <cell r="O179" t="str">
            <v>A28058</v>
          </cell>
          <cell r="P179" t="str">
            <v>AA</v>
          </cell>
          <cell r="Q179" t="e">
            <v>#N/A</v>
          </cell>
          <cell r="R179" t="e">
            <v>#N/A</v>
          </cell>
          <cell r="S179" t="e">
            <v>#N/A</v>
          </cell>
          <cell r="U179" t="str">
            <v>EXT QTR PNL RR 3/5 DR</v>
          </cell>
        </row>
        <row r="180">
          <cell r="O180" t="str">
            <v>B27864</v>
          </cell>
          <cell r="P180" t="str">
            <v>AA</v>
          </cell>
          <cell r="Q180" t="e">
            <v>#N/A</v>
          </cell>
          <cell r="R180" t="e">
            <v>#N/A</v>
          </cell>
          <cell r="S180" t="e">
            <v>#N/A</v>
          </cell>
          <cell r="U180" t="str">
            <v>PANEL BDY SIDE INR RH 3DR</v>
          </cell>
        </row>
        <row r="181">
          <cell r="O181" t="str">
            <v>B513A06</v>
          </cell>
          <cell r="P181" t="str">
            <v>AA</v>
          </cell>
          <cell r="Q181" t="e">
            <v>#N/A</v>
          </cell>
          <cell r="R181" t="e">
            <v>#N/A</v>
          </cell>
          <cell r="S181" t="e">
            <v>#N/A</v>
          </cell>
          <cell r="U181" t="str">
            <v>REINF ROOF SIDE RAIL RH (3DR)</v>
          </cell>
        </row>
        <row r="182">
          <cell r="O182" t="str">
            <v>N513A06</v>
          </cell>
          <cell r="P182" t="str">
            <v>AA</v>
          </cell>
          <cell r="Q182">
            <v>0</v>
          </cell>
          <cell r="R182" t="e">
            <v>#N/A</v>
          </cell>
          <cell r="S182" t="e">
            <v>#N/A</v>
          </cell>
          <cell r="U182" t="str">
            <v>REINF ROOF SIDE RAIL RH</v>
          </cell>
        </row>
        <row r="183">
          <cell r="O183" t="str">
            <v>N513A08</v>
          </cell>
          <cell r="P183" t="str">
            <v>AA</v>
          </cell>
          <cell r="Q183">
            <v>0</v>
          </cell>
          <cell r="R183" t="e">
            <v>#N/A</v>
          </cell>
          <cell r="S183" t="e">
            <v>#N/A</v>
          </cell>
          <cell r="U183" t="str">
            <v>RAIL ROOF SIDE -INNER- RH</v>
          </cell>
        </row>
        <row r="184">
          <cell r="T184" t="str">
            <v>BODY SIDE INR SUBASSY - LH</v>
          </cell>
        </row>
        <row r="185">
          <cell r="O185" t="str">
            <v>A27865</v>
          </cell>
          <cell r="P185" t="str">
            <v>AA</v>
          </cell>
          <cell r="Q185" t="e">
            <v>#N/A</v>
          </cell>
          <cell r="R185" t="str">
            <v>YES</v>
          </cell>
          <cell r="S185">
            <v>3.355</v>
          </cell>
          <cell r="U185" t="str">
            <v>PANEL BODY SIDE INNER LH 5DR</v>
          </cell>
        </row>
        <row r="186">
          <cell r="O186" t="str">
            <v>F27865</v>
          </cell>
          <cell r="P186" t="str">
            <v>AA</v>
          </cell>
          <cell r="Q186" t="e">
            <v>#N/A</v>
          </cell>
          <cell r="R186" t="str">
            <v>YES</v>
          </cell>
          <cell r="S186">
            <v>3.355</v>
          </cell>
          <cell r="T186">
            <v>12</v>
          </cell>
          <cell r="U186" t="str">
            <v>PANEL BODY SIDE INR LH 4DR</v>
          </cell>
        </row>
        <row r="187">
          <cell r="O187" t="str">
            <v>A27895</v>
          </cell>
          <cell r="P187" t="str">
            <v>AA</v>
          </cell>
          <cell r="Q187" t="e">
            <v>#N/A</v>
          </cell>
          <cell r="R187" t="e">
            <v>#N/A</v>
          </cell>
          <cell r="S187" t="e">
            <v>#N/A</v>
          </cell>
          <cell r="U187" t="str">
            <v>PNL BDY SDE INR LWR LH</v>
          </cell>
        </row>
        <row r="188">
          <cell r="O188" t="str">
            <v>F27895</v>
          </cell>
          <cell r="P188" t="str">
            <v>AA</v>
          </cell>
          <cell r="Q188" t="e">
            <v>#N/A</v>
          </cell>
          <cell r="R188" t="e">
            <v>#N/A</v>
          </cell>
          <cell r="S188" t="e">
            <v>#N/A</v>
          </cell>
          <cell r="U188" t="str">
            <v>PNL BDY SDE INR LWR LH</v>
          </cell>
        </row>
        <row r="189">
          <cell r="O189" t="str">
            <v>A41055</v>
          </cell>
          <cell r="P189" t="str">
            <v>AA</v>
          </cell>
          <cell r="Q189" t="e">
            <v>#N/A</v>
          </cell>
          <cell r="R189" t="e">
            <v>#N/A</v>
          </cell>
          <cell r="S189" t="e">
            <v>#N/A</v>
          </cell>
          <cell r="U189" t="str">
            <v>EXT REAR CORNER LWR PLR LH</v>
          </cell>
        </row>
        <row r="190">
          <cell r="O190" t="str">
            <v>A28059</v>
          </cell>
          <cell r="P190" t="str">
            <v>AA</v>
          </cell>
          <cell r="Q190" t="e">
            <v>#N/A</v>
          </cell>
          <cell r="R190" t="e">
            <v>#N/A</v>
          </cell>
          <cell r="S190" t="e">
            <v>#N/A</v>
          </cell>
          <cell r="U190" t="str">
            <v>EXT QTR PNL RR 3/5 DR</v>
          </cell>
        </row>
        <row r="191">
          <cell r="O191" t="str">
            <v>B513A07</v>
          </cell>
          <cell r="P191" t="str">
            <v>AA</v>
          </cell>
          <cell r="Q191" t="e">
            <v>#N/A</v>
          </cell>
          <cell r="R191" t="e">
            <v>#N/A</v>
          </cell>
          <cell r="S191" t="e">
            <v>#N/A</v>
          </cell>
          <cell r="U191" t="str">
            <v>REINF ROOF SIDE RAIL LH (3DR)</v>
          </cell>
        </row>
        <row r="192">
          <cell r="O192" t="str">
            <v>B27865</v>
          </cell>
          <cell r="P192" t="str">
            <v>AA</v>
          </cell>
          <cell r="Q192" t="e">
            <v>#N/A</v>
          </cell>
          <cell r="R192" t="e">
            <v>#N/A</v>
          </cell>
          <cell r="S192" t="e">
            <v>#N/A</v>
          </cell>
          <cell r="U192" t="str">
            <v>PANEL BDY SIDE INR LH 3DR</v>
          </cell>
        </row>
        <row r="193">
          <cell r="O193" t="str">
            <v>N513A07</v>
          </cell>
          <cell r="P193" t="str">
            <v>AA</v>
          </cell>
          <cell r="Q193">
            <v>0</v>
          </cell>
          <cell r="R193" t="e">
            <v>#N/A</v>
          </cell>
          <cell r="S193" t="e">
            <v>#N/A</v>
          </cell>
          <cell r="U193" t="str">
            <v>REINF ROOF SIDE RAIL LH</v>
          </cell>
        </row>
        <row r="194">
          <cell r="O194" t="str">
            <v>N513A09</v>
          </cell>
          <cell r="P194" t="str">
            <v>AA</v>
          </cell>
          <cell r="Q194">
            <v>0</v>
          </cell>
          <cell r="R194" t="e">
            <v>#N/A</v>
          </cell>
          <cell r="S194" t="e">
            <v>#N/A</v>
          </cell>
          <cell r="U194" t="str">
            <v>RAIL ROOF SIDE -INNER- LH</v>
          </cell>
        </row>
        <row r="195">
          <cell r="T195" t="str">
            <v xml:space="preserve">B/SIDE QTR COMPLETE RH </v>
          </cell>
        </row>
        <row r="196">
          <cell r="U196" t="str">
            <v>B/S QRT INNER ASSY RH</v>
          </cell>
        </row>
        <row r="197">
          <cell r="U197" t="str">
            <v>RNF ASSY B/SIDE PNL W/HOUSE RH</v>
          </cell>
        </row>
        <row r="198">
          <cell r="O198" t="str">
            <v>??????</v>
          </cell>
          <cell r="U198" t="str">
            <v>B/S QRT INNER ASSY RH 4dr?</v>
          </cell>
        </row>
        <row r="199">
          <cell r="O199" t="str">
            <v>??????</v>
          </cell>
          <cell r="U199" t="str">
            <v>RNF ASSY B/SIDE PNL W/HOUSE RH  4dr?</v>
          </cell>
        </row>
        <row r="200">
          <cell r="U200" t="str">
            <v>B/S QRT INNER ASSY RH</v>
          </cell>
        </row>
        <row r="201">
          <cell r="U201" t="str">
            <v>RNF ASSY B/SIDE PNL W/HOUSE RH</v>
          </cell>
        </row>
        <row r="202">
          <cell r="U202" t="str">
            <v>B/S QRT INNER ASSY RH</v>
          </cell>
        </row>
        <row r="203">
          <cell r="U203" t="str">
            <v>RNF ASSY B/SIDE PNL W/HOUSE RH</v>
          </cell>
        </row>
        <row r="204">
          <cell r="T204" t="str">
            <v>PACKAGE TRAY, SEAT BACK, REAR WINDOW FRAME</v>
          </cell>
        </row>
        <row r="205">
          <cell r="O205" t="str">
            <v>F46510</v>
          </cell>
          <cell r="P205" t="str">
            <v>AA</v>
          </cell>
          <cell r="Q205" t="e">
            <v>#N/A</v>
          </cell>
          <cell r="R205" t="e">
            <v>#N/A</v>
          </cell>
          <cell r="S205" t="e">
            <v>#N/A</v>
          </cell>
          <cell r="T205">
            <v>12</v>
          </cell>
          <cell r="U205" t="str">
            <v>PANEL PACKAGE TRAY</v>
          </cell>
        </row>
        <row r="206">
          <cell r="O206" t="str">
            <v>F465A06</v>
          </cell>
          <cell r="P206" t="str">
            <v>AA</v>
          </cell>
          <cell r="Q206" t="e">
            <v>#N/A</v>
          </cell>
          <cell r="R206" t="str">
            <v>YES</v>
          </cell>
          <cell r="S206">
            <v>0</v>
          </cell>
          <cell r="T206">
            <v>12</v>
          </cell>
          <cell r="U206" t="str">
            <v>BRKT P. TRAY TRIM FRT</v>
          </cell>
        </row>
        <row r="207">
          <cell r="O207" t="str">
            <v>F465A40</v>
          </cell>
          <cell r="P207" t="str">
            <v>AA</v>
          </cell>
          <cell r="Q207" t="e">
            <v>#N/A</v>
          </cell>
          <cell r="R207" t="str">
            <v>YES</v>
          </cell>
          <cell r="S207">
            <v>0</v>
          </cell>
          <cell r="T207">
            <v>12</v>
          </cell>
          <cell r="U207" t="str">
            <v>BRKT P. TRAY RETAINER</v>
          </cell>
        </row>
        <row r="208">
          <cell r="O208">
            <v>60100</v>
          </cell>
          <cell r="P208" t="str">
            <v>AA</v>
          </cell>
          <cell r="Q208">
            <v>0</v>
          </cell>
          <cell r="R208" t="e">
            <v>#N/A</v>
          </cell>
          <cell r="S208" t="e">
            <v>#N/A</v>
          </cell>
          <cell r="T208">
            <v>12</v>
          </cell>
          <cell r="U208" t="str">
            <v>REINF SEAT BELT ANC RHD</v>
          </cell>
        </row>
        <row r="209">
          <cell r="O209">
            <v>2110</v>
          </cell>
          <cell r="P209" t="str">
            <v>AA</v>
          </cell>
          <cell r="Q209">
            <v>0</v>
          </cell>
          <cell r="R209" t="e">
            <v>#N/A</v>
          </cell>
          <cell r="S209" t="e">
            <v>#N/A</v>
          </cell>
          <cell r="T209">
            <v>12</v>
          </cell>
          <cell r="U209" t="str">
            <v>BRKT TETHER CHILD RH</v>
          </cell>
        </row>
        <row r="210">
          <cell r="O210" t="str">
            <v>2110</v>
          </cell>
          <cell r="P210" t="str">
            <v>AB</v>
          </cell>
          <cell r="Q210" t="e">
            <v>#N/A</v>
          </cell>
          <cell r="R210" t="e">
            <v>#N/A</v>
          </cell>
          <cell r="S210" t="e">
            <v>#N/A</v>
          </cell>
          <cell r="T210">
            <v>12</v>
          </cell>
          <cell r="U210" t="str">
            <v>BRKT TETHER CHILD LH</v>
          </cell>
        </row>
        <row r="211">
          <cell r="O211" t="str">
            <v>F44850</v>
          </cell>
          <cell r="P211" t="str">
            <v>AA</v>
          </cell>
          <cell r="Q211" t="e">
            <v>#N/A</v>
          </cell>
          <cell r="R211" t="str">
            <v>YES</v>
          </cell>
          <cell r="S211">
            <v>0</v>
          </cell>
          <cell r="T211">
            <v>12</v>
          </cell>
          <cell r="U211" t="str">
            <v>REINF L/C DR HINGE ON BDY RH</v>
          </cell>
        </row>
        <row r="212">
          <cell r="O212" t="str">
            <v>F44851</v>
          </cell>
          <cell r="P212" t="str">
            <v>AA</v>
          </cell>
          <cell r="Q212" t="e">
            <v>#N/A</v>
          </cell>
          <cell r="R212" t="str">
            <v>YES</v>
          </cell>
          <cell r="S212">
            <v>0</v>
          </cell>
          <cell r="T212">
            <v>12</v>
          </cell>
          <cell r="U212" t="str">
            <v>REINF L/C DR HINGE ON BDY LH</v>
          </cell>
        </row>
        <row r="213">
          <cell r="O213" t="str">
            <v>F613B18</v>
          </cell>
          <cell r="P213" t="str">
            <v>AA</v>
          </cell>
          <cell r="Q213">
            <v>0</v>
          </cell>
          <cell r="R213" t="e">
            <v>#N/A</v>
          </cell>
          <cell r="S213" t="e">
            <v>#N/A</v>
          </cell>
          <cell r="T213">
            <v>12</v>
          </cell>
          <cell r="U213" t="str">
            <v>BRKT REAR SEAT BACK LATCH</v>
          </cell>
        </row>
        <row r="214">
          <cell r="O214" t="str">
            <v>F42220</v>
          </cell>
          <cell r="P214" t="str">
            <v>AA</v>
          </cell>
          <cell r="Q214" t="e">
            <v>#N/A</v>
          </cell>
          <cell r="R214" t="e">
            <v>#N/A</v>
          </cell>
          <cell r="S214" t="e">
            <v>#N/A</v>
          </cell>
          <cell r="T214">
            <v>12</v>
          </cell>
          <cell r="U214" t="str">
            <v>FRAME BACK WINDOW UPPER</v>
          </cell>
        </row>
        <row r="215">
          <cell r="T215" t="str">
            <v>B/SIDE QTR COMPLETE LH</v>
          </cell>
        </row>
        <row r="216">
          <cell r="U216" t="str">
            <v>B/S QRT INNER ASSY LH</v>
          </cell>
        </row>
        <row r="217">
          <cell r="U217" t="str">
            <v>RNF ASSY B/SIDE PNL W/HOUSE LH</v>
          </cell>
        </row>
        <row r="218">
          <cell r="O218" t="str">
            <v>??????</v>
          </cell>
          <cell r="U218" t="str">
            <v>B/S QRT INNER ASSY LH  4dr?</v>
          </cell>
        </row>
        <row r="219">
          <cell r="O219" t="str">
            <v>??????</v>
          </cell>
          <cell r="U219" t="str">
            <v>RNF ASSY B/SIDE PNL W/HOUSE LH 4dr?</v>
          </cell>
        </row>
        <row r="220">
          <cell r="U220" t="str">
            <v>B/S QRT INNER ASSY LH</v>
          </cell>
        </row>
        <row r="221">
          <cell r="U221" t="str">
            <v>RNF ASSY B/SIDE PNL W/HOUSE LH</v>
          </cell>
        </row>
        <row r="222">
          <cell r="U222" t="str">
            <v>B/S QRT INNER ASSY LH</v>
          </cell>
        </row>
        <row r="223">
          <cell r="U223" t="str">
            <v>RNF ASSY B/SIDE PNL W/HOUSE LH</v>
          </cell>
        </row>
        <row r="224">
          <cell r="T224" t="str">
            <v>B/S QRT INNER ASSY RH</v>
          </cell>
        </row>
        <row r="225">
          <cell r="O225" t="str">
            <v>A24358</v>
          </cell>
          <cell r="P225" t="str">
            <v>A</v>
          </cell>
          <cell r="Q225">
            <v>0</v>
          </cell>
          <cell r="R225" t="e">
            <v>#N/A</v>
          </cell>
          <cell r="S225" t="e">
            <v>#N/A</v>
          </cell>
          <cell r="U225" t="str">
            <v>PLR ASSY CTR BODY LOCK INNR (5DR, 4DR) RH</v>
          </cell>
        </row>
        <row r="226">
          <cell r="U226" t="str">
            <v>BODY SIDE INR SUBASSY - 5DOOR RH</v>
          </cell>
        </row>
        <row r="227">
          <cell r="O227" t="str">
            <v>??????</v>
          </cell>
          <cell r="U227" t="str">
            <v>BODY SIDE INR SUBASSY - 4DOOR RH?</v>
          </cell>
        </row>
        <row r="228">
          <cell r="U228" t="str">
            <v>BODY SIDE INR SUBASSY - 3DOOR RH</v>
          </cell>
        </row>
        <row r="229">
          <cell r="O229" t="str">
            <v>B278A82</v>
          </cell>
          <cell r="P229" t="str">
            <v>AA</v>
          </cell>
          <cell r="Q229" t="e">
            <v>#N/A</v>
          </cell>
          <cell r="R229" t="e">
            <v>#N/A</v>
          </cell>
          <cell r="S229" t="e">
            <v>#N/A</v>
          </cell>
          <cell r="U229" t="str">
            <v>REINF QTR PANEL INR RH</v>
          </cell>
        </row>
        <row r="230">
          <cell r="O230" t="str">
            <v>N27864</v>
          </cell>
          <cell r="P230" t="str">
            <v>AA</v>
          </cell>
          <cell r="Q230">
            <v>0</v>
          </cell>
          <cell r="R230" t="e">
            <v>#N/A</v>
          </cell>
          <cell r="S230" t="e">
            <v>#N/A</v>
          </cell>
          <cell r="U230" t="str">
            <v>PANEL BODY SIDE INR RH WAGON</v>
          </cell>
        </row>
        <row r="231">
          <cell r="O231" t="str">
            <v>B278A84</v>
          </cell>
          <cell r="P231" t="str">
            <v>AA</v>
          </cell>
          <cell r="Q231" t="e">
            <v>#N/A</v>
          </cell>
          <cell r="R231" t="e">
            <v>#N/A</v>
          </cell>
          <cell r="S231" t="e">
            <v>#N/A</v>
          </cell>
          <cell r="U231" t="str">
            <v>REINF QTR PILLAR REAR RH (3DR)</v>
          </cell>
        </row>
        <row r="232">
          <cell r="O232" t="str">
            <v>B28364</v>
          </cell>
          <cell r="P232" t="str">
            <v>AA</v>
          </cell>
          <cell r="Q232" t="e">
            <v>#N/A</v>
          </cell>
          <cell r="R232" t="e">
            <v>#N/A</v>
          </cell>
          <cell r="S232" t="e">
            <v>#N/A</v>
          </cell>
          <cell r="U232" t="str">
            <v>REINF QUARTER LOCK PILLAR RH</v>
          </cell>
        </row>
        <row r="233">
          <cell r="O233" t="str">
            <v>B61218</v>
          </cell>
          <cell r="P233" t="str">
            <v>AA</v>
          </cell>
          <cell r="Q233" t="e">
            <v>#N/A</v>
          </cell>
          <cell r="R233" t="e">
            <v>#N/A</v>
          </cell>
          <cell r="S233" t="e">
            <v>#N/A</v>
          </cell>
          <cell r="U233" t="str">
            <v>REINF FRT SEAT BELT ANC RH 3DR</v>
          </cell>
        </row>
        <row r="234">
          <cell r="O234" t="str">
            <v>N27944</v>
          </cell>
          <cell r="P234" t="str">
            <v>A</v>
          </cell>
          <cell r="Q234">
            <v>0</v>
          </cell>
          <cell r="R234" t="e">
            <v>#N/A</v>
          </cell>
          <cell r="S234" t="e">
            <v>#N/A</v>
          </cell>
          <cell r="U234" t="str">
            <v>RNF RR CNR PLR RH</v>
          </cell>
        </row>
        <row r="235">
          <cell r="O235" t="str">
            <v>N279A92</v>
          </cell>
          <cell r="P235" t="str">
            <v>AA</v>
          </cell>
          <cell r="Q235">
            <v>0</v>
          </cell>
          <cell r="R235" t="e">
            <v>#N/A</v>
          </cell>
          <cell r="S235" t="e">
            <v>#N/A</v>
          </cell>
          <cell r="U235" t="str">
            <v>EXT BODY SIDE LOWER PANEL RH</v>
          </cell>
        </row>
        <row r="236">
          <cell r="O236" t="str">
            <v>F279A92</v>
          </cell>
          <cell r="P236" t="str">
            <v>AA</v>
          </cell>
          <cell r="Q236">
            <v>0</v>
          </cell>
          <cell r="R236" t="e">
            <v>#N/A</v>
          </cell>
          <cell r="S236" t="e">
            <v>#N/A</v>
          </cell>
          <cell r="U236" t="str">
            <v>EXT BODY SIDE LOWER PANEL RH 4dr?</v>
          </cell>
        </row>
        <row r="237">
          <cell r="O237" t="str">
            <v>N28058</v>
          </cell>
          <cell r="P237" t="str">
            <v>AA</v>
          </cell>
          <cell r="Q237" t="e">
            <v>#N/A</v>
          </cell>
          <cell r="R237" t="e">
            <v>#N/A</v>
          </cell>
          <cell r="S237" t="e">
            <v>#N/A</v>
          </cell>
          <cell r="U237" t="str">
            <v>EXT QTR PNL RR WGN</v>
          </cell>
        </row>
        <row r="238">
          <cell r="O238" t="str">
            <v>N28059</v>
          </cell>
          <cell r="P238" t="str">
            <v>AA</v>
          </cell>
          <cell r="Q238" t="e">
            <v>#N/A</v>
          </cell>
          <cell r="R238" t="e">
            <v>#N/A</v>
          </cell>
          <cell r="S238" t="e">
            <v>#N/A</v>
          </cell>
          <cell r="U238" t="str">
            <v>EXT QTR PNL RR WGN</v>
          </cell>
        </row>
        <row r="239">
          <cell r="O239" t="str">
            <v>N280B00</v>
          </cell>
          <cell r="P239" t="str">
            <v>AA</v>
          </cell>
          <cell r="Q239">
            <v>0</v>
          </cell>
          <cell r="R239" t="e">
            <v>#N/A</v>
          </cell>
          <cell r="S239" t="e">
            <v>#N/A</v>
          </cell>
          <cell r="U239" t="str">
            <v>REINF QTR PILLAR REAR INNER</v>
          </cell>
        </row>
        <row r="240">
          <cell r="O240" t="str">
            <v>F46648</v>
          </cell>
          <cell r="P240" t="str">
            <v>AA</v>
          </cell>
          <cell r="Q240" t="e">
            <v>#N/A</v>
          </cell>
          <cell r="R240" t="e">
            <v>#N/A</v>
          </cell>
          <cell r="S240" t="e">
            <v>#N/A</v>
          </cell>
          <cell r="T240">
            <v>12</v>
          </cell>
          <cell r="U240" t="str">
            <v>BRKT P. TRAY PANEL SUPT RH</v>
          </cell>
        </row>
        <row r="241">
          <cell r="O241" t="str">
            <v>F46686</v>
          </cell>
          <cell r="P241" t="str">
            <v>AA</v>
          </cell>
          <cell r="Q241" t="e">
            <v>#N/A</v>
          </cell>
          <cell r="R241" t="e">
            <v>#N/A</v>
          </cell>
          <cell r="S241" t="e">
            <v>#N/A</v>
          </cell>
          <cell r="T241">
            <v>12</v>
          </cell>
          <cell r="U241" t="str">
            <v>BRKT P. TRAY PANEL ANC OTR RH</v>
          </cell>
        </row>
        <row r="242">
          <cell r="O242" t="str">
            <v>F13A482</v>
          </cell>
          <cell r="P242" t="str">
            <v>AA</v>
          </cell>
          <cell r="Q242">
            <v>0</v>
          </cell>
          <cell r="R242" t="str">
            <v>YES</v>
          </cell>
          <cell r="S242">
            <v>1.75</v>
          </cell>
          <cell r="T242">
            <v>12</v>
          </cell>
          <cell r="U242" t="str">
            <v>BRKT REAR LAMP BDY MNTG RH</v>
          </cell>
        </row>
        <row r="243">
          <cell r="O243" t="str">
            <v>F278A84</v>
          </cell>
          <cell r="P243" t="str">
            <v>AA</v>
          </cell>
          <cell r="Q243" t="e">
            <v>#N/A</v>
          </cell>
          <cell r="R243" t="e">
            <v>#N/A</v>
          </cell>
          <cell r="S243" t="e">
            <v>#N/A</v>
          </cell>
          <cell r="T243">
            <v>12</v>
          </cell>
          <cell r="U243" t="str">
            <v>REINF QUATER PILLAR REAR RH</v>
          </cell>
        </row>
        <row r="244">
          <cell r="T244" t="str">
            <v>B/S QRT INNER ASSY LH</v>
          </cell>
        </row>
        <row r="245">
          <cell r="O245" t="str">
            <v>A24359</v>
          </cell>
          <cell r="P245" t="str">
            <v>A</v>
          </cell>
          <cell r="Q245">
            <v>0</v>
          </cell>
          <cell r="R245" t="e">
            <v>#N/A</v>
          </cell>
          <cell r="S245" t="e">
            <v>#N/A</v>
          </cell>
          <cell r="U245" t="str">
            <v>PLR ASSY CTR BODY LOCK INNR (5DR, 4DR) LH</v>
          </cell>
        </row>
        <row r="246">
          <cell r="U246" t="str">
            <v>BODY SIDE INR SUBASSY - 5DOOR LH</v>
          </cell>
        </row>
        <row r="247">
          <cell r="O247" t="str">
            <v>??????</v>
          </cell>
          <cell r="U247" t="str">
            <v>BODY SIDE INR SUBASSY - 4DOOR LH?</v>
          </cell>
        </row>
        <row r="248">
          <cell r="U248" t="str">
            <v>BODY SIDE INR SUBASSY - 3DOOR LH</v>
          </cell>
        </row>
        <row r="249">
          <cell r="O249" t="str">
            <v>B278A83</v>
          </cell>
          <cell r="P249" t="str">
            <v>AA</v>
          </cell>
          <cell r="Q249" t="e">
            <v>#N/A</v>
          </cell>
          <cell r="R249" t="e">
            <v>#N/A</v>
          </cell>
          <cell r="S249" t="e">
            <v>#N/A</v>
          </cell>
          <cell r="U249" t="str">
            <v>REINF QTR PANEL INR LH</v>
          </cell>
        </row>
        <row r="250">
          <cell r="O250" t="str">
            <v>B278A85</v>
          </cell>
          <cell r="P250" t="str">
            <v>AA</v>
          </cell>
          <cell r="Q250" t="e">
            <v>#N/A</v>
          </cell>
          <cell r="R250" t="e">
            <v>#N/A</v>
          </cell>
          <cell r="S250" t="e">
            <v>#N/A</v>
          </cell>
          <cell r="U250" t="str">
            <v>REINF QTR PILLAR REAR LH (3DR)</v>
          </cell>
        </row>
        <row r="251">
          <cell r="O251" t="str">
            <v>B28365</v>
          </cell>
          <cell r="P251" t="str">
            <v>AA</v>
          </cell>
          <cell r="Q251" t="e">
            <v>#N/A</v>
          </cell>
          <cell r="R251" t="e">
            <v>#N/A</v>
          </cell>
          <cell r="S251" t="e">
            <v>#N/A</v>
          </cell>
          <cell r="U251" t="str">
            <v>REINF QUARTER LOCK PILLAR LH</v>
          </cell>
        </row>
        <row r="252">
          <cell r="O252" t="str">
            <v>B61219</v>
          </cell>
          <cell r="P252" t="str">
            <v>AA</v>
          </cell>
          <cell r="Q252" t="e">
            <v>#N/A</v>
          </cell>
          <cell r="R252" t="e">
            <v>#N/A</v>
          </cell>
          <cell r="S252" t="e">
            <v>#N/A</v>
          </cell>
          <cell r="U252" t="str">
            <v>REINF FRT SEAT BELT ANC LH 3DR</v>
          </cell>
        </row>
        <row r="253">
          <cell r="O253" t="str">
            <v>N18178</v>
          </cell>
          <cell r="P253" t="str">
            <v>AA</v>
          </cell>
          <cell r="Q253">
            <v>0</v>
          </cell>
          <cell r="R253" t="e">
            <v>#N/A</v>
          </cell>
          <cell r="S253" t="e">
            <v>#N/A</v>
          </cell>
          <cell r="U253" t="str">
            <v>BRKT ASY LIFTGATE GAS DMPR MTNG</v>
          </cell>
        </row>
        <row r="254">
          <cell r="O254" t="str">
            <v>N27865</v>
          </cell>
          <cell r="P254" t="str">
            <v>AA</v>
          </cell>
          <cell r="Q254">
            <v>0</v>
          </cell>
          <cell r="R254" t="e">
            <v>#N/A</v>
          </cell>
          <cell r="S254" t="e">
            <v>#N/A</v>
          </cell>
          <cell r="U254" t="str">
            <v>PANEL BODY SIDE INR LH WAGON</v>
          </cell>
        </row>
        <row r="255">
          <cell r="O255" t="str">
            <v>N27945</v>
          </cell>
          <cell r="P255" t="str">
            <v>A</v>
          </cell>
          <cell r="Q255">
            <v>0</v>
          </cell>
          <cell r="R255" t="e">
            <v>#N/A</v>
          </cell>
          <cell r="S255" t="e">
            <v>#N/A</v>
          </cell>
          <cell r="U255" t="str">
            <v>RNF RR CNR PLR LH</v>
          </cell>
        </row>
        <row r="256">
          <cell r="O256" t="str">
            <v>N279A93</v>
          </cell>
          <cell r="P256" t="str">
            <v>AA</v>
          </cell>
          <cell r="Q256">
            <v>0</v>
          </cell>
          <cell r="R256" t="e">
            <v>#N/A</v>
          </cell>
          <cell r="S256" t="e">
            <v>#N/A</v>
          </cell>
          <cell r="U256" t="str">
            <v>EXT BODY SIDE LOWER PANEL LH</v>
          </cell>
        </row>
        <row r="257">
          <cell r="O257" t="str">
            <v>F279A92</v>
          </cell>
          <cell r="P257" t="str">
            <v>AA</v>
          </cell>
          <cell r="Q257">
            <v>0</v>
          </cell>
          <cell r="R257" t="e">
            <v>#N/A</v>
          </cell>
          <cell r="S257" t="e">
            <v>#N/A</v>
          </cell>
          <cell r="U257" t="str">
            <v>EXT BODY SIDE LOWER PANEL LH 4dr?</v>
          </cell>
        </row>
        <row r="258">
          <cell r="O258" t="str">
            <v>F46649</v>
          </cell>
          <cell r="P258" t="str">
            <v>AA</v>
          </cell>
          <cell r="Q258" t="e">
            <v>#N/A</v>
          </cell>
          <cell r="R258" t="e">
            <v>#N/A</v>
          </cell>
          <cell r="S258" t="e">
            <v>#N/A</v>
          </cell>
          <cell r="T258">
            <v>12</v>
          </cell>
          <cell r="U258" t="str">
            <v>BRKT P. TRAY PANEL SUPT LH</v>
          </cell>
        </row>
        <row r="259">
          <cell r="O259" t="str">
            <v>F46687</v>
          </cell>
          <cell r="P259" t="str">
            <v>AA</v>
          </cell>
          <cell r="Q259" t="e">
            <v>#N/A</v>
          </cell>
          <cell r="R259" t="e">
            <v>#N/A</v>
          </cell>
          <cell r="S259" t="e">
            <v>#N/A</v>
          </cell>
          <cell r="T259">
            <v>12</v>
          </cell>
          <cell r="U259" t="str">
            <v>BRKT P. TRAY PANEL ANC OTR LH</v>
          </cell>
        </row>
        <row r="260">
          <cell r="O260" t="str">
            <v>F13K461</v>
          </cell>
          <cell r="P260" t="str">
            <v>AA</v>
          </cell>
          <cell r="Q260">
            <v>0</v>
          </cell>
          <cell r="R260" t="e">
            <v>#N/A</v>
          </cell>
          <cell r="S260" t="e">
            <v>#N/A</v>
          </cell>
          <cell r="T260">
            <v>12</v>
          </cell>
          <cell r="U260" t="str">
            <v>BRKT REAR LAMP BDY MNTG LH</v>
          </cell>
        </row>
        <row r="261">
          <cell r="O261" t="str">
            <v>F278A85</v>
          </cell>
          <cell r="P261" t="str">
            <v>AA</v>
          </cell>
          <cell r="Q261" t="e">
            <v>#N/A</v>
          </cell>
          <cell r="R261" t="e">
            <v>#N/A</v>
          </cell>
          <cell r="S261" t="e">
            <v>#N/A</v>
          </cell>
          <cell r="T261">
            <v>12</v>
          </cell>
          <cell r="U261" t="str">
            <v>REINF QUATER PILLAR REAR LH</v>
          </cell>
        </row>
        <row r="262">
          <cell r="O262" t="str">
            <v>F280B00</v>
          </cell>
          <cell r="P262" t="str">
            <v>AA</v>
          </cell>
          <cell r="Q262" t="e">
            <v>#N/A</v>
          </cell>
          <cell r="R262" t="str">
            <v>YES</v>
          </cell>
          <cell r="S262">
            <v>0.56000000000000005</v>
          </cell>
          <cell r="T262">
            <v>12</v>
          </cell>
          <cell r="U262" t="str">
            <v>REINF QUATER PILLAR REAR INNER</v>
          </cell>
        </row>
        <row r="263">
          <cell r="O263" t="str">
            <v>A508K04</v>
          </cell>
          <cell r="P263" t="str">
            <v>AA</v>
          </cell>
          <cell r="Q263">
            <v>0</v>
          </cell>
          <cell r="R263" t="e">
            <v>#N/A</v>
          </cell>
          <cell r="S263" t="e">
            <v>#N/A</v>
          </cell>
          <cell r="T263" t="str">
            <v>ASSY REINF ROOF SIDE RAIL (5DR, 4DR)</v>
          </cell>
        </row>
        <row r="264">
          <cell r="O264" t="str">
            <v>F02716</v>
          </cell>
          <cell r="P264" t="str">
            <v>AA</v>
          </cell>
          <cell r="Q264">
            <v>0</v>
          </cell>
          <cell r="R264" t="e">
            <v>#N/A</v>
          </cell>
          <cell r="S264" t="e">
            <v>#N/A</v>
          </cell>
          <cell r="U264" t="str">
            <v>Seal Frt Bdy Plr</v>
          </cell>
        </row>
        <row r="265">
          <cell r="O265" t="str">
            <v>A513A06</v>
          </cell>
          <cell r="P265" t="str">
            <v>AA</v>
          </cell>
          <cell r="Q265" t="e">
            <v>#N/A</v>
          </cell>
          <cell r="R265" t="e">
            <v>#N/A</v>
          </cell>
          <cell r="S265" t="e">
            <v>#N/A</v>
          </cell>
          <cell r="U265" t="str">
            <v>REINF ROOF SIDE RAIL RH (4/5DR)</v>
          </cell>
        </row>
        <row r="266">
          <cell r="O266" t="str">
            <v>W70303</v>
          </cell>
          <cell r="P266" t="str">
            <v>S300</v>
          </cell>
          <cell r="Q266" t="e">
            <v>#N/A</v>
          </cell>
          <cell r="R266" t="e">
            <v>#N/A</v>
          </cell>
          <cell r="S266" t="e">
            <v>#N/A</v>
          </cell>
          <cell r="U266" t="str">
            <v>Nut - M6x8 - Blind Anc Hex Flng</v>
          </cell>
        </row>
        <row r="267">
          <cell r="O267" t="str">
            <v>A508K05</v>
          </cell>
          <cell r="P267" t="str">
            <v>AA</v>
          </cell>
          <cell r="Q267">
            <v>0</v>
          </cell>
          <cell r="R267" t="e">
            <v>#N/A</v>
          </cell>
          <cell r="S267" t="e">
            <v>#N/A</v>
          </cell>
          <cell r="T267" t="str">
            <v xml:space="preserve">ASSY REINF ROOF SIDE RAIL </v>
          </cell>
        </row>
        <row r="268">
          <cell r="O268" t="str">
            <v>F02716</v>
          </cell>
          <cell r="P268" t="str">
            <v>AA</v>
          </cell>
          <cell r="Q268">
            <v>0</v>
          </cell>
          <cell r="R268" t="e">
            <v>#N/A</v>
          </cell>
          <cell r="S268" t="e">
            <v>#N/A</v>
          </cell>
          <cell r="U268" t="str">
            <v>Seal Frt Bdy Plr</v>
          </cell>
        </row>
        <row r="269">
          <cell r="O269" t="str">
            <v>A27945</v>
          </cell>
          <cell r="P269" t="str">
            <v xml:space="preserve">AA      </v>
          </cell>
          <cell r="Q269" t="e">
            <v>#N/A</v>
          </cell>
          <cell r="R269" t="e">
            <v>#N/A</v>
          </cell>
          <cell r="S269" t="e">
            <v>#N/A</v>
          </cell>
          <cell r="U269" t="str">
            <v>Rnf Rr Cnr Plr lh</v>
          </cell>
        </row>
        <row r="270">
          <cell r="O270" t="str">
            <v>A513A07</v>
          </cell>
          <cell r="P270" t="str">
            <v>AA</v>
          </cell>
          <cell r="Q270" t="e">
            <v>#N/A</v>
          </cell>
          <cell r="R270" t="e">
            <v>#N/A</v>
          </cell>
          <cell r="S270" t="e">
            <v>#N/A</v>
          </cell>
          <cell r="U270" t="str">
            <v>REINF ROOF SIDE RAIL LH (4/5DR)</v>
          </cell>
        </row>
        <row r="271">
          <cell r="O271" t="str">
            <v>W70303</v>
          </cell>
          <cell r="P271" t="str">
            <v>S300</v>
          </cell>
          <cell r="Q271" t="e">
            <v>#N/A</v>
          </cell>
          <cell r="R271" t="e">
            <v>#N/A</v>
          </cell>
          <cell r="S271" t="e">
            <v>#N/A</v>
          </cell>
          <cell r="U271" t="str">
            <v>Nut - M6x8 - Blind Anc Hex Flng</v>
          </cell>
        </row>
        <row r="272">
          <cell r="T272" t="str">
            <v>PLR ASSY FRT BODY LOCK INNR RH</v>
          </cell>
        </row>
        <row r="273">
          <cell r="O273" t="str">
            <v>A02508</v>
          </cell>
          <cell r="P273" t="str">
            <v>AA</v>
          </cell>
          <cell r="Q273">
            <v>0</v>
          </cell>
          <cell r="R273" t="str">
            <v>YES</v>
          </cell>
          <cell r="S273">
            <v>4.9649999999999999</v>
          </cell>
          <cell r="U273" t="str">
            <v>PILLAR FRT BDY INR UPPER RH</v>
          </cell>
        </row>
        <row r="274">
          <cell r="O274" t="str">
            <v>A02015</v>
          </cell>
          <cell r="P274" t="str">
            <v>A</v>
          </cell>
          <cell r="Q274" t="e">
            <v>#N/A</v>
          </cell>
          <cell r="R274" t="str">
            <v>YES</v>
          </cell>
          <cell r="S274">
            <v>0.5</v>
          </cell>
          <cell r="U274" t="str">
            <v>Panel Cowl Top Outer rhs</v>
          </cell>
        </row>
        <row r="275">
          <cell r="T275" t="str">
            <v>PLR ASSY FRT BODY LOCK INNR LH</v>
          </cell>
        </row>
        <row r="276">
          <cell r="O276" t="str">
            <v>A02509</v>
          </cell>
          <cell r="P276" t="str">
            <v>AA</v>
          </cell>
          <cell r="Q276">
            <v>0</v>
          </cell>
          <cell r="R276" t="str">
            <v>YES</v>
          </cell>
          <cell r="S276">
            <v>4.9649999999999999</v>
          </cell>
          <cell r="U276" t="str">
            <v>PILLAR FRT BDY INR UPPER LH</v>
          </cell>
        </row>
        <row r="277">
          <cell r="O277" t="str">
            <v>A02015</v>
          </cell>
          <cell r="P277" t="str">
            <v>B</v>
          </cell>
          <cell r="Q277" t="e">
            <v>#N/A</v>
          </cell>
          <cell r="R277" t="str">
            <v>YES</v>
          </cell>
          <cell r="S277">
            <v>0.5</v>
          </cell>
          <cell r="U277" t="str">
            <v>Panel Cowl Top Outer lhs</v>
          </cell>
        </row>
        <row r="278">
          <cell r="O278" t="str">
            <v>A24358</v>
          </cell>
          <cell r="P278" t="str">
            <v>A</v>
          </cell>
          <cell r="Q278">
            <v>0</v>
          </cell>
          <cell r="R278" t="e">
            <v>#N/A</v>
          </cell>
          <cell r="S278" t="e">
            <v>#N/A</v>
          </cell>
          <cell r="T278" t="str">
            <v>PLR ASSY CTR BODY LOCK INNR (5DR, 4DR) RH</v>
          </cell>
        </row>
        <row r="279">
          <cell r="O279" t="str">
            <v>A281A06</v>
          </cell>
          <cell r="P279" t="str">
            <v>AA</v>
          </cell>
          <cell r="Q279" t="e">
            <v>#N/A</v>
          </cell>
          <cell r="R279" t="e">
            <v>#N/A</v>
          </cell>
          <cell r="S279" t="e">
            <v>#N/A</v>
          </cell>
          <cell r="U279" t="str">
            <v>PILLAR BODY LOCK INNER RH</v>
          </cell>
        </row>
        <row r="280">
          <cell r="O280" t="str">
            <v>R278A08</v>
          </cell>
          <cell r="P280" t="str">
            <v>AA</v>
          </cell>
          <cell r="Q280">
            <v>1.61</v>
          </cell>
          <cell r="R280" t="e">
            <v>#N/A</v>
          </cell>
          <cell r="S280" t="e">
            <v>#N/A</v>
          </cell>
          <cell r="U280" t="str">
            <v>PANEL QTR I/S LWR TO W/HOUSE RH</v>
          </cell>
        </row>
        <row r="281">
          <cell r="O281" t="str">
            <v>A513A08</v>
          </cell>
          <cell r="P281" t="str">
            <v>AA</v>
          </cell>
          <cell r="Q281" t="e">
            <v>#N/A</v>
          </cell>
          <cell r="R281" t="e">
            <v>#N/A</v>
          </cell>
          <cell r="S281" t="e">
            <v>#N/A</v>
          </cell>
          <cell r="U281" t="str">
            <v>RAIL ROOF SIDE -INNER- RH</v>
          </cell>
        </row>
        <row r="282">
          <cell r="O282" t="str">
            <v>A24359</v>
          </cell>
          <cell r="P282" t="str">
            <v>A</v>
          </cell>
          <cell r="Q282">
            <v>0</v>
          </cell>
          <cell r="R282" t="e">
            <v>#N/A</v>
          </cell>
          <cell r="S282" t="e">
            <v>#N/A</v>
          </cell>
          <cell r="T282" t="str">
            <v>PLR ASSY CTR BODY LOCK INNR (5DR, 4DR) LH</v>
          </cell>
        </row>
        <row r="283">
          <cell r="O283" t="str">
            <v>A281A07</v>
          </cell>
          <cell r="P283" t="str">
            <v>AA</v>
          </cell>
          <cell r="Q283" t="e">
            <v>#N/A</v>
          </cell>
          <cell r="R283" t="e">
            <v>#N/A</v>
          </cell>
          <cell r="S283" t="e">
            <v>#N/A</v>
          </cell>
          <cell r="U283" t="str">
            <v>PILLAR BODY LOCK INNER LH</v>
          </cell>
        </row>
        <row r="284">
          <cell r="O284" t="str">
            <v>R278A09</v>
          </cell>
          <cell r="P284" t="str">
            <v>AA</v>
          </cell>
          <cell r="Q284">
            <v>1.61</v>
          </cell>
          <cell r="R284" t="e">
            <v>#N/A</v>
          </cell>
          <cell r="S284" t="e">
            <v>#N/A</v>
          </cell>
          <cell r="U284" t="str">
            <v>PANEL QTR I/S LWR TO W/HOUSE LH</v>
          </cell>
        </row>
        <row r="285">
          <cell r="O285" t="str">
            <v>A513A09</v>
          </cell>
          <cell r="P285" t="str">
            <v>AA</v>
          </cell>
          <cell r="Q285" t="e">
            <v>#N/A</v>
          </cell>
          <cell r="R285" t="e">
            <v>#N/A</v>
          </cell>
          <cell r="S285" t="e">
            <v>#N/A</v>
          </cell>
          <cell r="U285" t="str">
            <v>RAIL ROOF SIDE -INNER- LH</v>
          </cell>
        </row>
        <row r="286">
          <cell r="T286" t="str">
            <v>BODYSIDE INNR ASSY  RH</v>
          </cell>
        </row>
        <row r="287">
          <cell r="O287" t="str">
            <v>A42942</v>
          </cell>
          <cell r="P287" t="str">
            <v>AA</v>
          </cell>
          <cell r="Q287" t="e">
            <v>#N/A</v>
          </cell>
          <cell r="R287" t="e">
            <v>#N/A</v>
          </cell>
          <cell r="S287" t="e">
            <v>#N/A</v>
          </cell>
          <cell r="U287" t="str">
            <v>REINF LT/GT HINGE ON BODY RH</v>
          </cell>
        </row>
        <row r="288">
          <cell r="U288" t="str">
            <v>SUPPORT B/S PNL TO W/H RH</v>
          </cell>
        </row>
        <row r="289">
          <cell r="U289" t="str">
            <v xml:space="preserve">B/SIDE QTR COMPLETE RH </v>
          </cell>
        </row>
        <row r="290">
          <cell r="T290" t="str">
            <v>BODYSIDE INNR ASSY LH</v>
          </cell>
        </row>
        <row r="291">
          <cell r="O291" t="str">
            <v>A42943</v>
          </cell>
          <cell r="P291" t="str">
            <v>AA</v>
          </cell>
          <cell r="Q291" t="e">
            <v>#N/A</v>
          </cell>
          <cell r="R291" t="e">
            <v>#N/A</v>
          </cell>
          <cell r="S291" t="e">
            <v>#N/A</v>
          </cell>
          <cell r="U291" t="str">
            <v>REINF LT/GT HINGE ON BODY LH</v>
          </cell>
        </row>
        <row r="292">
          <cell r="U292" t="str">
            <v>SUPPORT B/S PNL TO W/H LH</v>
          </cell>
        </row>
        <row r="293">
          <cell r="U293" t="str">
            <v>B/SIDE QTR COMPLETE LH 5DR</v>
          </cell>
        </row>
        <row r="294">
          <cell r="T294" t="str">
            <v xml:space="preserve">BODY SIDE OTR ASSY RH </v>
          </cell>
        </row>
        <row r="295">
          <cell r="U295" t="str">
            <v>BODY SIDE OUTER SUB ASSY - RH</v>
          </cell>
        </row>
        <row r="296">
          <cell r="U296" t="str">
            <v>A-PILLAR ASSY RH</v>
          </cell>
        </row>
        <row r="297">
          <cell r="O297" t="str">
            <v>A24382</v>
          </cell>
          <cell r="P297" t="str">
            <v>A</v>
          </cell>
          <cell r="Q297">
            <v>0</v>
          </cell>
          <cell r="R297" t="e">
            <v>#N/A</v>
          </cell>
          <cell r="S297" t="e">
            <v>#N/A</v>
          </cell>
          <cell r="U297" t="str">
            <v>REINF CTR BODY PLR ASSY RH</v>
          </cell>
        </row>
        <row r="298">
          <cell r="O298" t="str">
            <v>A513A06</v>
          </cell>
          <cell r="P298" t="str">
            <v>AA</v>
          </cell>
          <cell r="Q298" t="e">
            <v>#N/A</v>
          </cell>
          <cell r="R298" t="e">
            <v>#N/A</v>
          </cell>
          <cell r="S298" t="e">
            <v>#N/A</v>
          </cell>
          <cell r="U298" t="str">
            <v>REINF ROOF SIDE RAIL RH (4/5DR)</v>
          </cell>
        </row>
        <row r="299">
          <cell r="O299" t="str">
            <v>W70303</v>
          </cell>
          <cell r="P299" t="str">
            <v>S300</v>
          </cell>
          <cell r="Q299" t="e">
            <v>#N/A</v>
          </cell>
          <cell r="R299" t="e">
            <v>#N/A</v>
          </cell>
          <cell r="S299" t="e">
            <v>#N/A</v>
          </cell>
          <cell r="U299" t="str">
            <v>Nut - M6x8 - Blind Anc Hex Flng</v>
          </cell>
        </row>
        <row r="300">
          <cell r="O300" t="str">
            <v>B27846</v>
          </cell>
          <cell r="P300" t="str">
            <v>ref</v>
          </cell>
          <cell r="Q300">
            <v>0</v>
          </cell>
          <cell r="R300" t="e">
            <v>#N/A</v>
          </cell>
          <cell r="S300" t="e">
            <v>#N/A</v>
          </cell>
          <cell r="U300" t="str">
            <v>PNL B/SIDE OTR RH at A/PLR ref only</v>
          </cell>
        </row>
        <row r="301">
          <cell r="O301" t="str">
            <v>B27846</v>
          </cell>
          <cell r="P301" t="str">
            <v>ref</v>
          </cell>
          <cell r="Q301">
            <v>0</v>
          </cell>
          <cell r="R301" t="e">
            <v>#N/A</v>
          </cell>
          <cell r="S301" t="e">
            <v>#N/A</v>
          </cell>
          <cell r="U301" t="str">
            <v>PNL B/SIDE OTR RH at B/PLR ref only</v>
          </cell>
        </row>
        <row r="302">
          <cell r="O302" t="str">
            <v>N27846</v>
          </cell>
          <cell r="P302" t="str">
            <v>ref</v>
          </cell>
          <cell r="Q302">
            <v>0</v>
          </cell>
          <cell r="R302" t="e">
            <v>#N/A</v>
          </cell>
          <cell r="S302" t="e">
            <v>#N/A</v>
          </cell>
          <cell r="U302" t="str">
            <v>PNL B/SIDE OTR RH at A/PLR ref only</v>
          </cell>
        </row>
        <row r="303">
          <cell r="O303" t="str">
            <v>N27846</v>
          </cell>
          <cell r="P303" t="str">
            <v>ref</v>
          </cell>
          <cell r="Q303">
            <v>0</v>
          </cell>
          <cell r="R303" t="e">
            <v>#N/A</v>
          </cell>
          <cell r="S303" t="e">
            <v>#N/A</v>
          </cell>
          <cell r="U303" t="str">
            <v>PNL B/SIDE OTR RH at B/PLR ref only</v>
          </cell>
        </row>
        <row r="304">
          <cell r="T304" t="str">
            <v>BODY SIDE OTR ASSY LH</v>
          </cell>
        </row>
        <row r="305">
          <cell r="U305" t="str">
            <v>BODY SIDE OUTER SUB ASSY - LH</v>
          </cell>
        </row>
        <row r="306">
          <cell r="U306" t="str">
            <v>A-PILLAR ASSY LH</v>
          </cell>
        </row>
        <row r="307">
          <cell r="O307" t="str">
            <v>A24383</v>
          </cell>
          <cell r="P307" t="str">
            <v>A</v>
          </cell>
          <cell r="Q307">
            <v>0</v>
          </cell>
          <cell r="R307" t="e">
            <v>#N/A</v>
          </cell>
          <cell r="S307" t="e">
            <v>#N/A</v>
          </cell>
          <cell r="U307" t="str">
            <v>REINF CTR BODY PLR ASSY LH</v>
          </cell>
        </row>
        <row r="308">
          <cell r="O308" t="str">
            <v>A513A07</v>
          </cell>
          <cell r="P308" t="str">
            <v>AA</v>
          </cell>
          <cell r="Q308" t="e">
            <v>#N/A</v>
          </cell>
          <cell r="R308" t="e">
            <v>#N/A</v>
          </cell>
          <cell r="S308" t="e">
            <v>#N/A</v>
          </cell>
          <cell r="U308" t="str">
            <v>REINF ROOF SIDE RAIL LH (4/5DR)</v>
          </cell>
        </row>
        <row r="309">
          <cell r="O309" t="str">
            <v>W70303</v>
          </cell>
          <cell r="P309" t="str">
            <v>S300</v>
          </cell>
          <cell r="Q309" t="e">
            <v>#N/A</v>
          </cell>
          <cell r="R309" t="e">
            <v>#N/A</v>
          </cell>
          <cell r="S309" t="e">
            <v>#N/A</v>
          </cell>
          <cell r="U309" t="str">
            <v>Nut - M6x8 - Blind Anc Hex Flng</v>
          </cell>
        </row>
        <row r="310">
          <cell r="O310" t="str">
            <v>B27847</v>
          </cell>
          <cell r="P310" t="str">
            <v>ref</v>
          </cell>
          <cell r="Q310">
            <v>0</v>
          </cell>
          <cell r="R310" t="e">
            <v>#N/A</v>
          </cell>
          <cell r="S310" t="e">
            <v>#N/A</v>
          </cell>
          <cell r="U310" t="str">
            <v>PNL B/SIDE OTR LH at A/PLR ref only</v>
          </cell>
        </row>
        <row r="311">
          <cell r="O311" t="str">
            <v>B27847</v>
          </cell>
          <cell r="P311" t="str">
            <v>ref</v>
          </cell>
          <cell r="Q311">
            <v>0</v>
          </cell>
          <cell r="R311" t="e">
            <v>#N/A</v>
          </cell>
          <cell r="S311" t="e">
            <v>#N/A</v>
          </cell>
          <cell r="U311" t="str">
            <v>PNL B/SIDE OTR LH at B/PLR ref only</v>
          </cell>
        </row>
        <row r="312">
          <cell r="O312" t="str">
            <v>N27847</v>
          </cell>
          <cell r="P312" t="str">
            <v>ref</v>
          </cell>
          <cell r="Q312">
            <v>0</v>
          </cell>
          <cell r="R312" t="e">
            <v>#N/A</v>
          </cell>
          <cell r="S312" t="e">
            <v>#N/A</v>
          </cell>
          <cell r="U312" t="str">
            <v>PNL B/SIDE OTR LH at A/PLR ref only</v>
          </cell>
        </row>
        <row r="313">
          <cell r="O313" t="str">
            <v>N27847</v>
          </cell>
          <cell r="P313" t="str">
            <v>ref</v>
          </cell>
          <cell r="Q313">
            <v>0</v>
          </cell>
          <cell r="R313" t="e">
            <v>#N/A</v>
          </cell>
          <cell r="S313" t="e">
            <v>#N/A</v>
          </cell>
          <cell r="U313" t="str">
            <v>PNL B/SIDE OTR LH at B/PLR ref only</v>
          </cell>
        </row>
        <row r="314">
          <cell r="T314" t="str">
            <v>BODY SIDE OUTER SUB ASSY -  RH</v>
          </cell>
        </row>
        <row r="315">
          <cell r="O315" t="str">
            <v>A27846</v>
          </cell>
          <cell r="P315" t="str">
            <v>AA</v>
          </cell>
          <cell r="Q315">
            <v>0</v>
          </cell>
          <cell r="R315" t="str">
            <v>YES</v>
          </cell>
          <cell r="S315">
            <v>25.39</v>
          </cell>
          <cell r="U315" t="str">
            <v>PANEL BODY SIDE OUTER RH</v>
          </cell>
        </row>
        <row r="316">
          <cell r="O316" t="str">
            <v>N27847</v>
          </cell>
          <cell r="P316" t="str">
            <v>AA</v>
          </cell>
          <cell r="Q316">
            <v>0</v>
          </cell>
          <cell r="R316" t="e">
            <v>#N/A</v>
          </cell>
          <cell r="S316" t="e">
            <v>#N/A</v>
          </cell>
          <cell r="U316" t="str">
            <v>PANEL BODY SIDE OUTER LH</v>
          </cell>
        </row>
        <row r="317">
          <cell r="O317" t="str">
            <v>B27846</v>
          </cell>
          <cell r="P317" t="str">
            <v>AA</v>
          </cell>
          <cell r="Q317">
            <v>0</v>
          </cell>
          <cell r="R317" t="e">
            <v>#N/A</v>
          </cell>
          <cell r="S317" t="e">
            <v>#N/A</v>
          </cell>
          <cell r="U317" t="str">
            <v>PANEL BODY SIDE OUTER RH</v>
          </cell>
        </row>
        <row r="318">
          <cell r="O318" t="str">
            <v>F27846</v>
          </cell>
          <cell r="P318" t="str">
            <v>AA</v>
          </cell>
          <cell r="Q318">
            <v>0</v>
          </cell>
          <cell r="R318" t="str">
            <v>YES</v>
          </cell>
          <cell r="S318">
            <v>19.79</v>
          </cell>
          <cell r="T318">
            <v>12</v>
          </cell>
          <cell r="U318" t="str">
            <v>PANEL BODY SIDE OUTER RH</v>
          </cell>
        </row>
        <row r="319">
          <cell r="O319" t="str">
            <v>F27846</v>
          </cell>
          <cell r="P319" t="str">
            <v>AA</v>
          </cell>
          <cell r="Q319">
            <v>0</v>
          </cell>
          <cell r="R319" t="str">
            <v>YES</v>
          </cell>
          <cell r="S319">
            <v>19.79</v>
          </cell>
          <cell r="T319">
            <v>12</v>
          </cell>
          <cell r="U319" t="str">
            <v>PANEL BODY SIDE OUTER RH (Service Fixture )</v>
          </cell>
        </row>
        <row r="320">
          <cell r="O320" t="str">
            <v>A27846</v>
          </cell>
          <cell r="P320" t="str">
            <v>ref</v>
          </cell>
          <cell r="Q320">
            <v>0</v>
          </cell>
          <cell r="R320" t="str">
            <v>YES</v>
          </cell>
          <cell r="S320">
            <v>25.39</v>
          </cell>
          <cell r="U320" t="str">
            <v>PNL B/SIDE OTR RH at A/PLR ref only</v>
          </cell>
        </row>
        <row r="321">
          <cell r="O321" t="str">
            <v>A27846</v>
          </cell>
          <cell r="P321" t="str">
            <v>ref</v>
          </cell>
          <cell r="Q321">
            <v>0</v>
          </cell>
          <cell r="R321" t="str">
            <v>YES</v>
          </cell>
          <cell r="S321">
            <v>25.39</v>
          </cell>
          <cell r="U321" t="str">
            <v>PNL B/SIDE OTR RH at B/PLR ref only</v>
          </cell>
        </row>
        <row r="322">
          <cell r="U322" t="str">
            <v>B/SIDE DR LCK STR ASSY RH</v>
          </cell>
        </row>
        <row r="323">
          <cell r="U323" t="str">
            <v>BODYSIDE D-PLR ASSY RH</v>
          </cell>
        </row>
        <row r="324">
          <cell r="O324" t="str">
            <v>A279A92</v>
          </cell>
          <cell r="P324" t="str">
            <v>AA</v>
          </cell>
          <cell r="Q324">
            <v>0</v>
          </cell>
          <cell r="R324" t="e">
            <v>#N/A</v>
          </cell>
          <cell r="S324" t="e">
            <v>#N/A</v>
          </cell>
          <cell r="U324" t="str">
            <v>EXT BODY SIDE LOWER PANEL RH</v>
          </cell>
        </row>
        <row r="325">
          <cell r="O325" t="str">
            <v>A17K750</v>
          </cell>
          <cell r="P325" t="str">
            <v>A*</v>
          </cell>
          <cell r="Q325">
            <v>0.03</v>
          </cell>
          <cell r="R325" t="str">
            <v>YES</v>
          </cell>
          <cell r="S325">
            <v>2.2579790245686231E-2</v>
          </cell>
          <cell r="U325" t="str">
            <v>REINF REAR BUMPER MNTG TO QTR PNL</v>
          </cell>
        </row>
        <row r="326">
          <cell r="O326" t="str">
            <v>N280C16</v>
          </cell>
          <cell r="P326" t="str">
            <v>AA</v>
          </cell>
          <cell r="Q326">
            <v>0</v>
          </cell>
          <cell r="R326" t="e">
            <v>#N/A</v>
          </cell>
          <cell r="S326" t="e">
            <v>#N/A</v>
          </cell>
          <cell r="U326" t="str">
            <v>STIFFENER BODY SIDE PANEL RH</v>
          </cell>
        </row>
        <row r="327">
          <cell r="T327" t="str">
            <v>BODY SIDE OUTER SUB ASSY - LH</v>
          </cell>
        </row>
        <row r="328">
          <cell r="O328" t="str">
            <v>A27847</v>
          </cell>
          <cell r="P328" t="str">
            <v>AA</v>
          </cell>
          <cell r="Q328">
            <v>0</v>
          </cell>
          <cell r="R328" t="str">
            <v>YES</v>
          </cell>
          <cell r="S328">
            <v>25.39</v>
          </cell>
          <cell r="U328" t="str">
            <v>PANEL BODY SIDE OUTER LH</v>
          </cell>
        </row>
        <row r="329">
          <cell r="O329" t="str">
            <v>N27847</v>
          </cell>
          <cell r="P329" t="str">
            <v>AA</v>
          </cell>
          <cell r="Q329">
            <v>0</v>
          </cell>
          <cell r="R329" t="e">
            <v>#N/A</v>
          </cell>
          <cell r="S329" t="e">
            <v>#N/A</v>
          </cell>
          <cell r="U329" t="str">
            <v>PANEL BODY SIDE OUTER LH</v>
          </cell>
        </row>
        <row r="330">
          <cell r="O330" t="str">
            <v>B27847</v>
          </cell>
          <cell r="P330" t="str">
            <v>AA</v>
          </cell>
          <cell r="Q330">
            <v>0</v>
          </cell>
          <cell r="R330" t="e">
            <v>#N/A</v>
          </cell>
          <cell r="S330" t="e">
            <v>#N/A</v>
          </cell>
          <cell r="U330" t="str">
            <v>PANEL BODY SIDE OUTER LH</v>
          </cell>
        </row>
        <row r="331">
          <cell r="O331" t="str">
            <v>F27847</v>
          </cell>
          <cell r="P331" t="str">
            <v>AA</v>
          </cell>
          <cell r="Q331">
            <v>0</v>
          </cell>
          <cell r="R331" t="str">
            <v>YES</v>
          </cell>
          <cell r="S331">
            <v>19.79</v>
          </cell>
          <cell r="T331">
            <v>12</v>
          </cell>
          <cell r="U331" t="str">
            <v>PANEL BODY SIDE OUTER LH</v>
          </cell>
        </row>
        <row r="332">
          <cell r="O332" t="str">
            <v>F27847</v>
          </cell>
          <cell r="P332" t="str">
            <v>AA</v>
          </cell>
          <cell r="Q332">
            <v>0</v>
          </cell>
          <cell r="R332" t="str">
            <v>YES</v>
          </cell>
          <cell r="S332">
            <v>19.79</v>
          </cell>
          <cell r="T332">
            <v>12</v>
          </cell>
          <cell r="U332" t="str">
            <v>PANEL BODY SIDE OUTER LH (Service Fixture )</v>
          </cell>
        </row>
        <row r="333">
          <cell r="O333" t="str">
            <v>A16570</v>
          </cell>
          <cell r="P333" t="str">
            <v>AA</v>
          </cell>
          <cell r="Q333">
            <v>0</v>
          </cell>
          <cell r="R333" t="e">
            <v>#N/A</v>
          </cell>
          <cell r="S333" t="e">
            <v>#N/A</v>
          </cell>
          <cell r="U333" t="str">
            <v>FILLER FRT FENDER UPR LH</v>
          </cell>
        </row>
        <row r="334">
          <cell r="O334" t="str">
            <v>A27847</v>
          </cell>
          <cell r="P334" t="str">
            <v>ref</v>
          </cell>
          <cell r="Q334">
            <v>0</v>
          </cell>
          <cell r="R334" t="str">
            <v>YES</v>
          </cell>
          <cell r="S334">
            <v>25.39</v>
          </cell>
          <cell r="U334" t="str">
            <v>PNL B/SIDE OTR LH at A/PLR ref only</v>
          </cell>
        </row>
        <row r="335">
          <cell r="O335" t="str">
            <v>A27847</v>
          </cell>
          <cell r="P335" t="str">
            <v>ref</v>
          </cell>
          <cell r="Q335">
            <v>0</v>
          </cell>
          <cell r="R335" t="str">
            <v>YES</v>
          </cell>
          <cell r="S335">
            <v>25.39</v>
          </cell>
          <cell r="U335" t="str">
            <v>PNL B/SIDE OTR Lh at B/PLR ref only</v>
          </cell>
        </row>
        <row r="336">
          <cell r="U336" t="str">
            <v>B/SIDE DR LCK STR ASSY LH</v>
          </cell>
        </row>
        <row r="337">
          <cell r="U337" t="str">
            <v>BODYSIDE D-PLR ASSY LH</v>
          </cell>
        </row>
        <row r="338">
          <cell r="O338" t="str">
            <v>A279A93</v>
          </cell>
          <cell r="P338" t="str">
            <v>AA</v>
          </cell>
          <cell r="Q338">
            <v>0</v>
          </cell>
          <cell r="R338" t="e">
            <v>#N/A</v>
          </cell>
          <cell r="S338" t="e">
            <v>#N/A</v>
          </cell>
          <cell r="U338" t="str">
            <v>EXT BODY SIDE LOWER PANEL LH</v>
          </cell>
        </row>
        <row r="339">
          <cell r="O339" t="str">
            <v>A17K750</v>
          </cell>
          <cell r="P339" t="str">
            <v>A*</v>
          </cell>
          <cell r="Q339">
            <v>0.03</v>
          </cell>
          <cell r="R339" t="str">
            <v>YES</v>
          </cell>
          <cell r="S339">
            <v>0.03</v>
          </cell>
          <cell r="U339" t="str">
            <v>REINF REAR BUMPER MNTG TO QTR PNL</v>
          </cell>
        </row>
        <row r="340">
          <cell r="O340" t="str">
            <v>B60258</v>
          </cell>
          <cell r="P340" t="str">
            <v>AA</v>
          </cell>
          <cell r="Q340" t="e">
            <v>#N/A</v>
          </cell>
          <cell r="R340" t="e">
            <v>#N/A</v>
          </cell>
          <cell r="S340" t="e">
            <v>#N/A</v>
          </cell>
          <cell r="U340" t="str">
            <v>REINF FRT SEAT BELT RETR</v>
          </cell>
        </row>
        <row r="341">
          <cell r="O341" t="str">
            <v>N280C17</v>
          </cell>
          <cell r="P341" t="str">
            <v>AA</v>
          </cell>
          <cell r="Q341">
            <v>0</v>
          </cell>
          <cell r="R341" t="e">
            <v>#N/A</v>
          </cell>
          <cell r="S341" t="e">
            <v>#N/A</v>
          </cell>
          <cell r="U341" t="str">
            <v>STIFFENER BODY SIDE PANEL LH</v>
          </cell>
        </row>
        <row r="342">
          <cell r="T342" t="str">
            <v>BODY SIDE COMPLETE  RH</v>
          </cell>
        </row>
        <row r="343">
          <cell r="U343" t="str">
            <v>BODY SIDE OTR ASSY RH 5DR</v>
          </cell>
        </row>
        <row r="344">
          <cell r="U344" t="str">
            <v>BODYSIDE INNR ASSY 5DR RH</v>
          </cell>
        </row>
        <row r="345">
          <cell r="U345" t="str">
            <v>BODY SIDE OTR ASSY RH 4DR</v>
          </cell>
        </row>
        <row r="346">
          <cell r="U346" t="str">
            <v>BODYSIDE INNR ASSY 4DR RH</v>
          </cell>
        </row>
        <row r="347">
          <cell r="U347" t="str">
            <v>BODY SIDE OTR ASSY RH 3DR</v>
          </cell>
        </row>
        <row r="348">
          <cell r="U348" t="str">
            <v>BODYSIDE INNR ASSY 3DR RH</v>
          </cell>
        </row>
        <row r="349">
          <cell r="U349" t="str">
            <v>BODY SIDE OTR ASSY RH WAG</v>
          </cell>
        </row>
        <row r="350">
          <cell r="U350" t="str">
            <v>BODYSIDE INNR ASSY WAG RH</v>
          </cell>
        </row>
        <row r="351">
          <cell r="T351" t="str">
            <v>BODY SIDE COMPLETE  LH</v>
          </cell>
        </row>
        <row r="352">
          <cell r="U352" t="str">
            <v>BODY SIDE OTR ASSY LH 5DR</v>
          </cell>
        </row>
        <row r="353">
          <cell r="U353" t="str">
            <v>BODYSIDE INNR ASSY 5DR LH</v>
          </cell>
        </row>
        <row r="354">
          <cell r="U354" t="str">
            <v>BODY SIDE OTR ASSY LH 4DR</v>
          </cell>
        </row>
        <row r="355">
          <cell r="U355" t="str">
            <v>BODYSIDE INNR ASSY 4DR LH</v>
          </cell>
        </row>
        <row r="356">
          <cell r="U356" t="str">
            <v>BODY SIDE OTR ASSY LH 3DR</v>
          </cell>
        </row>
        <row r="357">
          <cell r="U357" t="str">
            <v>BODYSIDE INNR ASSY 3DR LH</v>
          </cell>
        </row>
        <row r="358">
          <cell r="U358" t="str">
            <v>BODY SIDE OTR ASSY LH WAG</v>
          </cell>
        </row>
        <row r="359">
          <cell r="U359" t="str">
            <v>BODYSIDE INNR ASSY WAG LH</v>
          </cell>
        </row>
        <row r="360">
          <cell r="O360">
            <v>10106</v>
          </cell>
          <cell r="P360" t="str">
            <v>BAB</v>
          </cell>
          <cell r="Q360" t="e">
            <v>#N/A</v>
          </cell>
          <cell r="R360" t="e">
            <v>#N/A</v>
          </cell>
          <cell r="S360" t="e">
            <v>#N/A</v>
          </cell>
          <cell r="T360" t="str">
            <v>REAR END COMPLETE</v>
          </cell>
        </row>
        <row r="361">
          <cell r="O361" t="str">
            <v>R27945</v>
          </cell>
          <cell r="P361" t="str">
            <v>A</v>
          </cell>
          <cell r="Q361" t="e">
            <v>#N/A</v>
          </cell>
          <cell r="R361" t="e">
            <v>#N/A</v>
          </cell>
          <cell r="S361" t="e">
            <v>#N/A</v>
          </cell>
          <cell r="U361" t="str">
            <v>RNF RR CNR PLR LH</v>
          </cell>
        </row>
        <row r="362">
          <cell r="O362" t="str">
            <v>R27944</v>
          </cell>
          <cell r="P362" t="str">
            <v>A</v>
          </cell>
          <cell r="Q362" t="e">
            <v>#N/A</v>
          </cell>
          <cell r="R362" t="str">
            <v>YES</v>
          </cell>
          <cell r="S362">
            <v>0</v>
          </cell>
          <cell r="U362" t="str">
            <v>RNF RR CNR PLR RH</v>
          </cell>
        </row>
        <row r="363">
          <cell r="O363" t="str">
            <v>R17E801</v>
          </cell>
          <cell r="P363" t="str">
            <v>A</v>
          </cell>
          <cell r="Q363">
            <v>0.63100000000000001</v>
          </cell>
          <cell r="R363" t="e">
            <v>#N/A</v>
          </cell>
          <cell r="S363" t="e">
            <v>#N/A</v>
          </cell>
          <cell r="U363" t="str">
            <v>BRKT RR BUMPER EXT LH</v>
          </cell>
        </row>
        <row r="364">
          <cell r="O364" t="str">
            <v>R40324</v>
          </cell>
          <cell r="P364" t="str">
            <v>A</v>
          </cell>
          <cell r="Q364">
            <v>3.55</v>
          </cell>
          <cell r="R364" t="str">
            <v>YES</v>
          </cell>
          <cell r="S364">
            <v>3.72</v>
          </cell>
          <cell r="U364" t="str">
            <v>PANEL LOWER BACK</v>
          </cell>
        </row>
        <row r="365">
          <cell r="O365" t="str">
            <v>R40324</v>
          </cell>
          <cell r="P365" t="str">
            <v>A</v>
          </cell>
          <cell r="Q365">
            <v>3.55</v>
          </cell>
          <cell r="R365" t="str">
            <v>YES</v>
          </cell>
          <cell r="S365">
            <v>3.72</v>
          </cell>
          <cell r="U365" t="str">
            <v>PANEL LOWER BACK</v>
          </cell>
        </row>
        <row r="366">
          <cell r="O366" t="str">
            <v>R403E48</v>
          </cell>
          <cell r="P366" t="str">
            <v xml:space="preserve">AA      </v>
          </cell>
          <cell r="Q366" t="e">
            <v>#N/A</v>
          </cell>
          <cell r="R366" t="e">
            <v>#N/A</v>
          </cell>
          <cell r="S366" t="e">
            <v>#N/A</v>
          </cell>
          <cell r="U366" t="str">
            <v>Seal Lwr BK Pnl To Floor</v>
          </cell>
        </row>
        <row r="367">
          <cell r="O367" t="str">
            <v>A17C913</v>
          </cell>
          <cell r="P367" t="str">
            <v>A</v>
          </cell>
          <cell r="Q367" t="e">
            <v>#N/A</v>
          </cell>
          <cell r="R367" t="e">
            <v>#N/A</v>
          </cell>
          <cell r="S367" t="e">
            <v>#N/A</v>
          </cell>
          <cell r="U367" t="str">
            <v>PLATE REAR BUMPER ANC RH 3/5DR</v>
          </cell>
        </row>
        <row r="368">
          <cell r="O368" t="str">
            <v>A17C914</v>
          </cell>
          <cell r="P368" t="str">
            <v>A</v>
          </cell>
          <cell r="Q368" t="e">
            <v>#N/A</v>
          </cell>
          <cell r="R368" t="e">
            <v>#N/A</v>
          </cell>
          <cell r="S368" t="e">
            <v>#N/A</v>
          </cell>
          <cell r="U368" t="str">
            <v>PLATE REAR BUMPER ANC LH 3/5DR</v>
          </cell>
        </row>
        <row r="369">
          <cell r="O369" t="str">
            <v>N17C913</v>
          </cell>
          <cell r="P369" t="str">
            <v>A</v>
          </cell>
          <cell r="Q369" t="e">
            <v>#N/A</v>
          </cell>
          <cell r="R369" t="e">
            <v>#N/A</v>
          </cell>
          <cell r="S369" t="e">
            <v>#N/A</v>
          </cell>
          <cell r="U369" t="str">
            <v>PLATE REAR BUMPER ANC RH WAGON</v>
          </cell>
        </row>
        <row r="370">
          <cell r="O370" t="str">
            <v>F17C913</v>
          </cell>
          <cell r="P370" t="str">
            <v>AA</v>
          </cell>
          <cell r="Q370" t="e">
            <v>#N/A</v>
          </cell>
          <cell r="R370" t="str">
            <v>YES</v>
          </cell>
          <cell r="S370">
            <v>0.52</v>
          </cell>
          <cell r="T370">
            <v>12</v>
          </cell>
          <cell r="U370" t="str">
            <v>PLATE REAR BUMPER ANC RH 4DR</v>
          </cell>
        </row>
        <row r="371">
          <cell r="O371" t="str">
            <v>N17C914</v>
          </cell>
          <cell r="P371" t="str">
            <v>A</v>
          </cell>
          <cell r="Q371" t="e">
            <v>#N/A</v>
          </cell>
          <cell r="R371" t="e">
            <v>#N/A</v>
          </cell>
          <cell r="S371" t="e">
            <v>#N/A</v>
          </cell>
          <cell r="U371" t="str">
            <v>PLATE REAR BUMPER ANC LH WAGON</v>
          </cell>
        </row>
        <row r="372">
          <cell r="O372" t="str">
            <v>F17C914</v>
          </cell>
          <cell r="P372" t="str">
            <v>AA</v>
          </cell>
          <cell r="Q372" t="e">
            <v>#N/A</v>
          </cell>
          <cell r="R372" t="str">
            <v>YES</v>
          </cell>
          <cell r="S372">
            <v>0.52</v>
          </cell>
          <cell r="T372">
            <v>12</v>
          </cell>
          <cell r="U372" t="str">
            <v>PLATE REAR BUMPER ANC LH 4DR</v>
          </cell>
        </row>
        <row r="373">
          <cell r="O373" t="str">
            <v>R17E800</v>
          </cell>
          <cell r="P373" t="str">
            <v>A</v>
          </cell>
          <cell r="Q373">
            <v>0.63100000000000001</v>
          </cell>
          <cell r="R373" t="str">
            <v>YES</v>
          </cell>
          <cell r="S373">
            <v>0.63</v>
          </cell>
          <cell r="U373" t="str">
            <v>BRKT RR BUMPER EXT RH</v>
          </cell>
        </row>
        <row r="374">
          <cell r="O374" t="str">
            <v>F17B918</v>
          </cell>
          <cell r="P374" t="str">
            <v>AA</v>
          </cell>
          <cell r="Q374" t="e">
            <v>#N/A</v>
          </cell>
          <cell r="R374" t="str">
            <v>YES</v>
          </cell>
          <cell r="S374">
            <v>0.09</v>
          </cell>
          <cell r="T374">
            <v>12</v>
          </cell>
          <cell r="U374" t="str">
            <v>BRKT RR BUMPER MNTG 4DR</v>
          </cell>
        </row>
        <row r="375">
          <cell r="O375" t="str">
            <v>A40308</v>
          </cell>
          <cell r="P375" t="str">
            <v>A</v>
          </cell>
          <cell r="Q375" t="e">
            <v>#N/A</v>
          </cell>
          <cell r="R375" t="e">
            <v>#N/A</v>
          </cell>
          <cell r="S375" t="e">
            <v>#N/A</v>
          </cell>
          <cell r="U375" t="str">
            <v>REINF BACK PANEL LOWER 3/5DR</v>
          </cell>
        </row>
        <row r="376">
          <cell r="O376" t="str">
            <v>F40308</v>
          </cell>
          <cell r="P376" t="str">
            <v>AA</v>
          </cell>
          <cell r="Q376" t="e">
            <v>#N/A</v>
          </cell>
          <cell r="R376" t="str">
            <v>YES</v>
          </cell>
          <cell r="S376">
            <v>2.09</v>
          </cell>
          <cell r="T376">
            <v>12</v>
          </cell>
          <cell r="U376" t="str">
            <v>REINF BACK PANEL LOWER 4DR</v>
          </cell>
        </row>
        <row r="377">
          <cell r="O377" t="str">
            <v>R433A48</v>
          </cell>
          <cell r="P377" t="str">
            <v>A</v>
          </cell>
          <cell r="Q377">
            <v>0.27</v>
          </cell>
          <cell r="R377" t="e">
            <v>#N/A</v>
          </cell>
          <cell r="S377" t="e">
            <v>#N/A</v>
          </cell>
          <cell r="U377" t="str">
            <v>REINF ASY DOOR LOCK STRIKER 3/5DR</v>
          </cell>
        </row>
        <row r="378">
          <cell r="O378" t="str">
            <v>F220K50</v>
          </cell>
          <cell r="P378" t="str">
            <v>AA</v>
          </cell>
          <cell r="Q378" t="e">
            <v>#N/A</v>
          </cell>
          <cell r="R378" t="str">
            <v>YES</v>
          </cell>
          <cell r="S378">
            <v>0.27</v>
          </cell>
          <cell r="T378">
            <v>12</v>
          </cell>
          <cell r="U378" t="str">
            <v>REINF ASY DOOR LOCK STRIKER 4DR</v>
          </cell>
        </row>
        <row r="379">
          <cell r="O379" t="str">
            <v>N13A482</v>
          </cell>
          <cell r="P379" t="str">
            <v>AA</v>
          </cell>
          <cell r="Q379">
            <v>0</v>
          </cell>
          <cell r="R379" t="e">
            <v>#N/A</v>
          </cell>
          <cell r="S379" t="e">
            <v>#N/A</v>
          </cell>
          <cell r="U379" t="str">
            <v>BRKT REAR LAMP BDY MNTG RH</v>
          </cell>
        </row>
        <row r="380">
          <cell r="O380" t="str">
            <v>N13K461</v>
          </cell>
          <cell r="P380" t="str">
            <v>AA</v>
          </cell>
          <cell r="Q380">
            <v>0</v>
          </cell>
          <cell r="R380" t="e">
            <v>#N/A</v>
          </cell>
          <cell r="S380" t="e">
            <v>#N/A</v>
          </cell>
          <cell r="U380" t="str">
            <v>BRKT REAR LAMP BDY MNTG LH</v>
          </cell>
        </row>
        <row r="381">
          <cell r="O381" t="str">
            <v>N40324</v>
          </cell>
          <cell r="P381" t="str">
            <v>A</v>
          </cell>
          <cell r="Q381">
            <v>0</v>
          </cell>
          <cell r="R381" t="e">
            <v>#N/A</v>
          </cell>
          <cell r="S381" t="e">
            <v>#N/A</v>
          </cell>
          <cell r="U381" t="str">
            <v>PANEL LOWER BACK WAGON</v>
          </cell>
        </row>
        <row r="382">
          <cell r="O382" t="str">
            <v>F40314</v>
          </cell>
          <cell r="P382" t="str">
            <v>AA</v>
          </cell>
          <cell r="Q382" t="e">
            <v>#N/A</v>
          </cell>
          <cell r="R382" t="str">
            <v>YES</v>
          </cell>
          <cell r="S382">
            <v>1.1599999999999999</v>
          </cell>
          <cell r="T382">
            <v>12</v>
          </cell>
          <cell r="U382" t="str">
            <v>PANEL BACK UPPER</v>
          </cell>
        </row>
        <row r="383">
          <cell r="O383" t="str">
            <v>F40324</v>
          </cell>
          <cell r="P383" t="str">
            <v>AA</v>
          </cell>
          <cell r="Q383" t="e">
            <v>#N/A</v>
          </cell>
          <cell r="R383" t="str">
            <v>YES</v>
          </cell>
          <cell r="S383">
            <v>3.72</v>
          </cell>
          <cell r="T383">
            <v>12</v>
          </cell>
          <cell r="U383" t="str">
            <v>PANEL LOWER BACK</v>
          </cell>
        </row>
        <row r="384">
          <cell r="O384" t="str">
            <v>N41054</v>
          </cell>
          <cell r="P384" t="str">
            <v>AA</v>
          </cell>
          <cell r="Q384">
            <v>0</v>
          </cell>
          <cell r="R384" t="e">
            <v>#N/A</v>
          </cell>
          <cell r="S384" t="e">
            <v>#N/A</v>
          </cell>
          <cell r="U384" t="str">
            <v>EXT REAR CORNER LWR PLR RH</v>
          </cell>
        </row>
        <row r="385">
          <cell r="O385" t="str">
            <v>F41054</v>
          </cell>
          <cell r="P385" t="str">
            <v>AA</v>
          </cell>
          <cell r="Q385" t="e">
            <v>#N/A</v>
          </cell>
          <cell r="R385" t="str">
            <v>YES</v>
          </cell>
          <cell r="S385">
            <v>1.4450000000000001</v>
          </cell>
          <cell r="T385">
            <v>12</v>
          </cell>
          <cell r="U385" t="str">
            <v>EXT REAR CORNER LWR PLR RH 4DR</v>
          </cell>
        </row>
        <row r="386">
          <cell r="O386" t="str">
            <v>N41055</v>
          </cell>
          <cell r="P386" t="str">
            <v>AA</v>
          </cell>
          <cell r="Q386">
            <v>0</v>
          </cell>
          <cell r="R386" t="e">
            <v>#N/A</v>
          </cell>
          <cell r="S386" t="e">
            <v>#N/A</v>
          </cell>
          <cell r="U386" t="str">
            <v>EXT REAR CORNER LWR PLR LH</v>
          </cell>
        </row>
        <row r="387">
          <cell r="O387" t="str">
            <v>F41055</v>
          </cell>
          <cell r="P387" t="str">
            <v>AA</v>
          </cell>
          <cell r="Q387" t="e">
            <v>#N/A</v>
          </cell>
          <cell r="R387" t="str">
            <v>YES</v>
          </cell>
          <cell r="S387">
            <v>1.4450000000000001</v>
          </cell>
          <cell r="T387">
            <v>12</v>
          </cell>
          <cell r="U387" t="str">
            <v>EXT REAR CORNER LWR PLR LH 4DR</v>
          </cell>
        </row>
        <row r="388">
          <cell r="O388" t="str">
            <v>F410A36</v>
          </cell>
          <cell r="P388" t="str">
            <v>AA</v>
          </cell>
          <cell r="Q388" t="e">
            <v>#N/A</v>
          </cell>
          <cell r="R388" t="e">
            <v>#N/A</v>
          </cell>
          <cell r="S388" t="e">
            <v>#N/A</v>
          </cell>
          <cell r="T388">
            <v>12</v>
          </cell>
          <cell r="U388" t="str">
            <v>EXT REAR CORNER INR PLR RH 4DR</v>
          </cell>
        </row>
        <row r="389">
          <cell r="O389" t="str">
            <v>F410A37</v>
          </cell>
          <cell r="P389" t="str">
            <v>AA</v>
          </cell>
          <cell r="Q389">
            <v>0</v>
          </cell>
          <cell r="R389" t="e">
            <v>#N/A</v>
          </cell>
          <cell r="S389" t="e">
            <v>#N/A</v>
          </cell>
          <cell r="T389">
            <v>12</v>
          </cell>
          <cell r="U389" t="str">
            <v>EXT REAR CORNER INR PLR LH 4DR</v>
          </cell>
        </row>
        <row r="390">
          <cell r="O390" t="str">
            <v>F410A42</v>
          </cell>
          <cell r="P390" t="str">
            <v>AA</v>
          </cell>
          <cell r="Q390" t="e">
            <v>#N/A</v>
          </cell>
          <cell r="R390" t="str">
            <v>YES</v>
          </cell>
          <cell r="S390">
            <v>0</v>
          </cell>
          <cell r="T390">
            <v>12</v>
          </cell>
          <cell r="U390" t="str">
            <v>REINF RR CORNER INR RH 4DR</v>
          </cell>
        </row>
        <row r="391">
          <cell r="O391" t="str">
            <v>F410A43</v>
          </cell>
          <cell r="P391" t="str">
            <v>AA</v>
          </cell>
          <cell r="Q391" t="e">
            <v>#N/A</v>
          </cell>
          <cell r="R391" t="str">
            <v>YES</v>
          </cell>
          <cell r="S391">
            <v>0</v>
          </cell>
          <cell r="T391">
            <v>12</v>
          </cell>
          <cell r="U391" t="str">
            <v>REINF RR CORNER INR LH 4DR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rief"/>
      <sheetName val="Sheet1"/>
      <sheetName val="Body"/>
      <sheetName val="Electrical"/>
      <sheetName val="Chassis"/>
      <sheetName val="Power Train"/>
      <sheetName val="EEME"/>
      <sheetName val="CR By Chunk"/>
      <sheetName val="Status vs &lt;SC&gt;"/>
      <sheetName val="3 CCM BoM"/>
      <sheetName val="Ka Popular"/>
      <sheetName val="FAP C1_Brand_Unique SUMMARY"/>
      <sheetName val="Chunk1"/>
      <sheetName val="Chunk2"/>
      <sheetName val="Chunk3"/>
      <sheetName val="C214 9306#25"/>
      <sheetName val="CompHeadernames"/>
      <sheetName val="Colors"/>
      <sheetName val="Headernames"/>
      <sheetName val="Tables"/>
      <sheetName val="PF1"/>
      <sheetName val="PF3"/>
      <sheetName val="EQUIPMENT COMPARISION.XLS"/>
      <sheetName val="Material"/>
      <sheetName val="Gross Revenue"/>
      <sheetName val="NM_CASH"/>
      <sheetName val="SUM14ZC1"/>
      <sheetName val="CHANGE"/>
      <sheetName val="Unit Costs"/>
      <sheetName val="FN145base2option"/>
      <sheetName val="Data Lin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Fasteners per Chunk"/>
      <sheetName val="LOH"/>
      <sheetName val="01 Frt Structure"/>
      <sheetName val="02 Frt Floor"/>
      <sheetName val="03 Rr Floor"/>
      <sheetName val="04 Heat Shields"/>
      <sheetName val="05 Restraints"/>
      <sheetName val="06 Cockpit"/>
      <sheetName val="07 Seating"/>
      <sheetName val="08 Interior"/>
      <sheetName val="09 Sound Pack"/>
      <sheetName val="10 Climate"/>
      <sheetName val="11 Frt End"/>
      <sheetName val="12 Upp Structure"/>
      <sheetName val="13 Exterior"/>
      <sheetName val="13t Exterior"/>
      <sheetName val="14 Closures"/>
      <sheetName val="14T Closures"/>
      <sheetName val="15 Fuel"/>
      <sheetName val="16 Frt &amp; Rr Susp"/>
      <sheetName val="18 Brakes"/>
      <sheetName val="19 Pedals"/>
      <sheetName val="20 EPAS"/>
      <sheetName val="21 Steer Col"/>
      <sheetName val="22 Wheels"/>
      <sheetName val="23 Core Electr "/>
      <sheetName val="23a Other Electr"/>
      <sheetName val="23t Other Electr"/>
      <sheetName val="33 Fasteners"/>
      <sheetName val="34 Corr Protect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les"/>
      <sheetName val="02 Frt Floor"/>
      <sheetName val="&lt;PTC&gt; VT kickoff date"/>
      <sheetName val="clq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Blanket Metric"/>
      <sheetName val="ICBA Metric"/>
      <sheetName val="Weekly Summary"/>
      <sheetName val="Parts Requiring Orders"/>
      <sheetName val="Harvest"/>
      <sheetName val="Rules"/>
      <sheetName val="P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s"/>
      <sheetName val="CPSC"/>
      <sheetName val="Feature Families"/>
      <sheetName val="Harvest"/>
      <sheetName val="Milestones"/>
      <sheetName val="Features"/>
      <sheetName val="Misc Codes"/>
      <sheetName val="Header"/>
      <sheetName val="Mapping"/>
      <sheetName val="Parts Requiring Orders"/>
      <sheetName val="02 Frt Floor"/>
    </sheetNames>
    <sheetDataSet>
      <sheetData sheetId="0" refreshError="1"/>
      <sheetData sheetId="1" refreshError="1"/>
      <sheetData sheetId="2"/>
      <sheetData sheetId="3" refreshError="1"/>
      <sheetData sheetId="4" refreshError="1">
        <row r="1">
          <cell r="A1" t="str">
            <v>Milestone</v>
          </cell>
        </row>
        <row r="4">
          <cell r="A4" t="str">
            <v>PR</v>
          </cell>
          <cell r="B4" t="str">
            <v>Product Readiness</v>
          </cell>
          <cell r="C4" t="str">
            <v>YES</v>
          </cell>
          <cell r="D4">
            <v>37096</v>
          </cell>
        </row>
      </sheetData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plyFilters"/>
      <sheetName val="Legend"/>
      <sheetName val="Cost&amp;WeightSummary"/>
      <sheetName val="CMHistory"/>
      <sheetName val="WeightDeltaSummary"/>
      <sheetName val="WDSData"/>
      <sheetName val="WD_Data"/>
      <sheetName val="C_Data"/>
      <sheetName val="FSU_Data"/>
      <sheetName val="Data"/>
      <sheetName val="CMList"/>
      <sheetName val="SData"/>
      <sheetName val="PBS Summary"/>
      <sheetName val="PBSData"/>
      <sheetName val="SNHistory"/>
      <sheetName val="SourcingSummary"/>
      <sheetName val="Pre PSC Summary"/>
      <sheetName val="FSU &amp; Delta"/>
      <sheetName val="PPData"/>
      <sheetName val="AccessData"/>
      <sheetName val="Completeness"/>
      <sheetName val="Volatility"/>
      <sheetName val="VData"/>
      <sheetName val="Rollups"/>
      <sheetName val="Config"/>
      <sheetName val="EngineerList"/>
      <sheetName val="Milest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Src"/>
      <sheetName val="CostTable"/>
      <sheetName val="CostDeltaSummary"/>
      <sheetName val="CostData"/>
      <sheetName val="MetricsDvr"/>
      <sheetName val="MetricsPivot"/>
      <sheetName val="MChart"/>
      <sheetName val="ApplyFilters"/>
      <sheetName val="Summary"/>
      <sheetName val="Data"/>
      <sheetName val="AccessData"/>
      <sheetName val="SourcingSummary"/>
      <sheetName val="WeightDeltaSummary"/>
      <sheetName val="WDSData"/>
      <sheetName val="WD"/>
      <sheetName val="WD_WR_1"/>
      <sheetName val="WD_WR_2"/>
      <sheetName val="WD_WR_3"/>
      <sheetName val="WD_WR_4"/>
      <sheetName val="WD_WR_5"/>
      <sheetName val="PMXU Summary"/>
      <sheetName val="Volatility"/>
      <sheetName val="CMList"/>
      <sheetName val="SData"/>
      <sheetName val="PBSData"/>
      <sheetName val="SNHistory"/>
      <sheetName val="PPData"/>
      <sheetName val="VData"/>
      <sheetName val="Rollups"/>
      <sheetName val="Config"/>
      <sheetName val="EngineerList"/>
      <sheetName val="CMHistory"/>
      <sheetName val="Completeness"/>
      <sheetName val="Milest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 (Part Costs - EU C307.zip)"/>
      <sheetName val="Prices C214_C307"/>
      <sheetName val="ToolingC214_ C307"/>
      <sheetName val="Config"/>
    </sheetNames>
    <sheetDataSet>
      <sheetData sheetId="0" refreshError="1"/>
      <sheetData sheetId="1" refreshError="1">
        <row r="13">
          <cell r="B13" t="str">
            <v>R020W18</v>
          </cell>
          <cell r="C13" t="str">
            <v>AA</v>
          </cell>
          <cell r="D13" t="str">
            <v>3M51R020W18AA</v>
          </cell>
          <cell r="E13" t="str">
            <v>Pad Cowl Top Inr RH</v>
          </cell>
          <cell r="F13">
            <v>1</v>
          </cell>
          <cell r="G13" t="str">
            <v>U</v>
          </cell>
          <cell r="I13">
            <v>0.21260000000000001</v>
          </cell>
          <cell r="K13">
            <v>0.21940000000000001</v>
          </cell>
        </row>
        <row r="14">
          <cell r="B14" t="str">
            <v>R020W19</v>
          </cell>
          <cell r="C14" t="str">
            <v>AA</v>
          </cell>
          <cell r="D14" t="str">
            <v>3M51R020W19AA</v>
          </cell>
          <cell r="E14" t="str">
            <v>Pad Cowl Top Inr LH</v>
          </cell>
          <cell r="F14">
            <v>2</v>
          </cell>
          <cell r="G14" t="str">
            <v>U</v>
          </cell>
          <cell r="I14">
            <v>0.21260000000000001</v>
          </cell>
          <cell r="K14">
            <v>0.21940000000000001</v>
          </cell>
        </row>
        <row r="18">
          <cell r="B18" t="str">
            <v>R02292</v>
          </cell>
          <cell r="C18" t="str">
            <v>AC</v>
          </cell>
          <cell r="D18" t="str">
            <v>3M51R02292AC</v>
          </cell>
          <cell r="E18" t="str">
            <v>Insul Cowl Side Pnl Inr Snd RH (A-Plr Lwr Inr)</v>
          </cell>
          <cell r="F18">
            <v>3</v>
          </cell>
          <cell r="G18" t="str">
            <v>C</v>
          </cell>
          <cell r="I18">
            <v>0.90669999999999995</v>
          </cell>
          <cell r="K18">
            <v>0.97299999999999998</v>
          </cell>
          <cell r="M18">
            <v>0.97299999999999998</v>
          </cell>
        </row>
        <row r="19">
          <cell r="B19" t="str">
            <v>R02293</v>
          </cell>
          <cell r="C19" t="str">
            <v>AC</v>
          </cell>
          <cell r="D19" t="str">
            <v>3M51R02293AC</v>
          </cell>
          <cell r="E19" t="str">
            <v>Insul Cowl Side Pnl Inr Snd LH (A-Plr Lwr Inr)</v>
          </cell>
          <cell r="F19">
            <v>4</v>
          </cell>
          <cell r="G19" t="str">
            <v>C</v>
          </cell>
          <cell r="I19">
            <v>0.90669999999999995</v>
          </cell>
          <cell r="K19">
            <v>0.97299999999999998</v>
          </cell>
          <cell r="M19">
            <v>0.97299999999999998</v>
          </cell>
        </row>
        <row r="20">
          <cell r="B20" t="str">
            <v>A16C266</v>
          </cell>
          <cell r="C20" t="str">
            <v>AA</v>
          </cell>
          <cell r="D20" t="str">
            <v>4M51A16C266AA</v>
          </cell>
          <cell r="E20" t="str">
            <v>Insul Bdy Snd RH ( A-plr Upr 3/5dr Wgn)</v>
          </cell>
          <cell r="F20">
            <v>5</v>
          </cell>
          <cell r="G20" t="str">
            <v>U</v>
          </cell>
          <cell r="I20">
            <v>0.35449999999999998</v>
          </cell>
          <cell r="K20">
            <v>0.36399999999999999</v>
          </cell>
        </row>
        <row r="21">
          <cell r="B21" t="str">
            <v>A16C267</v>
          </cell>
          <cell r="C21" t="str">
            <v>AA</v>
          </cell>
          <cell r="D21" t="str">
            <v>4M51A16C267AA</v>
          </cell>
          <cell r="E21" t="str">
            <v>Insul Bdy Snd LH ( A-plr Upr 3/5dr Wgn)</v>
          </cell>
          <cell r="F21">
            <v>6</v>
          </cell>
          <cell r="G21" t="str">
            <v>U</v>
          </cell>
          <cell r="I21">
            <v>0.35449999999999998</v>
          </cell>
          <cell r="K21">
            <v>0.36399999999999999</v>
          </cell>
        </row>
        <row r="22">
          <cell r="B22" t="str">
            <v>R24344</v>
          </cell>
          <cell r="C22" t="str">
            <v>AC</v>
          </cell>
          <cell r="D22" t="str">
            <v>3M51R24344AC</v>
          </cell>
          <cell r="E22" t="str">
            <v>Insul Ctr Bdy Plr Snd Lwr RH (B-Plr Lwr Inr)</v>
          </cell>
          <cell r="F22">
            <v>7</v>
          </cell>
          <cell r="G22" t="str">
            <v>C</v>
          </cell>
          <cell r="I22">
            <v>1.0578000000000001</v>
          </cell>
          <cell r="K22">
            <v>1.034</v>
          </cell>
          <cell r="M22">
            <v>1.04</v>
          </cell>
        </row>
        <row r="23">
          <cell r="B23" t="str">
            <v>R24345</v>
          </cell>
          <cell r="C23" t="str">
            <v>AA</v>
          </cell>
          <cell r="D23" t="str">
            <v>3M51R24345AA</v>
          </cell>
          <cell r="E23" t="str">
            <v>Insul Ctr Bdy Plr Snd Lwr LH (B-Plr Lwr Inr)</v>
          </cell>
          <cell r="F23">
            <v>8</v>
          </cell>
          <cell r="G23" t="str">
            <v>C</v>
          </cell>
          <cell r="I23">
            <v>1.0578000000000001</v>
          </cell>
          <cell r="K23">
            <v>1.034</v>
          </cell>
        </row>
        <row r="24">
          <cell r="B24" t="str">
            <v>R243W24</v>
          </cell>
          <cell r="C24" t="str">
            <v>AC</v>
          </cell>
          <cell r="D24" t="str">
            <v>3M51R243W24AC</v>
          </cell>
          <cell r="E24" t="str">
            <v>Insul Ctr Bdy Plr Snd Lwr RH (B-Plr Lwr Out)</v>
          </cell>
          <cell r="F24">
            <v>9</v>
          </cell>
          <cell r="G24" t="str">
            <v>C</v>
          </cell>
          <cell r="K24">
            <v>0.752</v>
          </cell>
          <cell r="M24">
            <v>0.752</v>
          </cell>
        </row>
        <row r="25">
          <cell r="B25" t="str">
            <v>R243W25</v>
          </cell>
          <cell r="C25" t="str">
            <v>AA</v>
          </cell>
          <cell r="D25" t="str">
            <v>3M51R243W25AA</v>
          </cell>
          <cell r="E25" t="str">
            <v>Insul Ctr Bdy Plr Snd Lwr lH (B-Plr Lwr Out)</v>
          </cell>
          <cell r="F25">
            <v>10</v>
          </cell>
          <cell r="G25" t="str">
            <v>C</v>
          </cell>
          <cell r="K25">
            <v>0.752</v>
          </cell>
        </row>
        <row r="26">
          <cell r="B26" t="str">
            <v>R16C266</v>
          </cell>
          <cell r="C26" t="str">
            <v>DA</v>
          </cell>
          <cell r="D26" t="str">
            <v>3M51R16C266DA</v>
          </cell>
          <cell r="E26" t="str">
            <v>Insul Bdy Snd RH (C-plr Lwr)</v>
          </cell>
          <cell r="F26">
            <v>11</v>
          </cell>
          <cell r="G26" t="str">
            <v>C</v>
          </cell>
          <cell r="I26">
            <v>0.95709999999999995</v>
          </cell>
        </row>
        <row r="27">
          <cell r="B27" t="str">
            <v>R16C267</v>
          </cell>
          <cell r="C27" t="str">
            <v>DA</v>
          </cell>
          <cell r="D27" t="str">
            <v>3M51R16C267DA</v>
          </cell>
          <cell r="E27" t="str">
            <v>Insul Bdy Snd LH ( C-plr Lwr)</v>
          </cell>
          <cell r="F27">
            <v>12</v>
          </cell>
          <cell r="G27" t="str">
            <v>C</v>
          </cell>
          <cell r="I27">
            <v>0.95709999999999995</v>
          </cell>
        </row>
        <row r="28">
          <cell r="B28" t="str">
            <v>R250A42</v>
          </cell>
          <cell r="C28" t="str">
            <v>AC</v>
          </cell>
          <cell r="D28" t="str">
            <v>3M51R250A42AC</v>
          </cell>
          <cell r="E28" t="str">
            <v>Insul Bdy Snd RH (C-plr Lwr Inr)</v>
          </cell>
          <cell r="F28">
            <v>13</v>
          </cell>
          <cell r="G28" t="str">
            <v>C</v>
          </cell>
          <cell r="K28">
            <v>0.48299999999999998</v>
          </cell>
          <cell r="M28">
            <v>0.53700000000000003</v>
          </cell>
        </row>
        <row r="29">
          <cell r="B29" t="str">
            <v>R250A43</v>
          </cell>
          <cell r="C29" t="str">
            <v>AC</v>
          </cell>
          <cell r="D29" t="str">
            <v>3M51R250A43AC</v>
          </cell>
          <cell r="E29" t="str">
            <v>Insul Bdy Snd LH ( C-plr Lwr Inr)</v>
          </cell>
          <cell r="F29">
            <v>14</v>
          </cell>
          <cell r="G29" t="str">
            <v>C</v>
          </cell>
          <cell r="K29">
            <v>0.48299999999999998</v>
          </cell>
          <cell r="M29">
            <v>0.53700000000000003</v>
          </cell>
        </row>
        <row r="30">
          <cell r="B30" t="str">
            <v>R28420</v>
          </cell>
          <cell r="C30" t="str">
            <v>AC</v>
          </cell>
          <cell r="D30" t="str">
            <v>3M51R28420AC</v>
          </cell>
          <cell r="E30" t="str">
            <v>Insul Bdy Snd RH (C-plr Lwr Out)</v>
          </cell>
          <cell r="F30">
            <v>15</v>
          </cell>
          <cell r="G30" t="str">
            <v>C</v>
          </cell>
          <cell r="K30">
            <v>0.53700000000000003</v>
          </cell>
          <cell r="M30">
            <v>0.497</v>
          </cell>
        </row>
        <row r="31">
          <cell r="B31" t="str">
            <v>R28421</v>
          </cell>
          <cell r="C31" t="str">
            <v>AC</v>
          </cell>
          <cell r="D31" t="str">
            <v>3M51R28421AC</v>
          </cell>
          <cell r="E31" t="str">
            <v>Insul Bdy Snd LH ( C-plr Lwr Out)</v>
          </cell>
          <cell r="F31">
            <v>16</v>
          </cell>
          <cell r="G31" t="str">
            <v>C</v>
          </cell>
          <cell r="K31">
            <v>0.53700000000000003</v>
          </cell>
          <cell r="M31">
            <v>0.497</v>
          </cell>
        </row>
        <row r="32">
          <cell r="B32" t="str">
            <v>R16C266</v>
          </cell>
          <cell r="C32" t="str">
            <v>EA</v>
          </cell>
          <cell r="D32" t="str">
            <v>3M51R16C266EA</v>
          </cell>
          <cell r="E32" t="str">
            <v>Insul Bdy Snd RH (C-plr Upr  MFV)</v>
          </cell>
          <cell r="F32">
            <v>17</v>
          </cell>
          <cell r="G32" t="str">
            <v>C</v>
          </cell>
          <cell r="I32">
            <v>0.73429999999999995</v>
          </cell>
        </row>
        <row r="33">
          <cell r="B33" t="str">
            <v>R16C267</v>
          </cell>
          <cell r="C33" t="str">
            <v>EA</v>
          </cell>
          <cell r="D33" t="str">
            <v>3M51R16C267EA</v>
          </cell>
          <cell r="E33" t="str">
            <v>Insul Bdy Snd LH (C-plr Upr  MFV)</v>
          </cell>
          <cell r="F33">
            <v>18</v>
          </cell>
          <cell r="G33" t="str">
            <v>C</v>
          </cell>
          <cell r="I33">
            <v>0.73429999999999995</v>
          </cell>
        </row>
        <row r="34">
          <cell r="B34" t="str">
            <v>R250A38</v>
          </cell>
          <cell r="C34" t="str">
            <v>AC</v>
          </cell>
          <cell r="D34" t="str">
            <v>3M51R250A38AC</v>
          </cell>
          <cell r="E34" t="str">
            <v>Insul Bdy Snd RH (C-plr Upr Inr MFV)</v>
          </cell>
          <cell r="F34">
            <v>19</v>
          </cell>
          <cell r="G34" t="str">
            <v>C</v>
          </cell>
          <cell r="K34">
            <v>0.32900000000000001</v>
          </cell>
          <cell r="M34">
            <v>0.32900000000000001</v>
          </cell>
        </row>
        <row r="35">
          <cell r="B35" t="str">
            <v>R250A39</v>
          </cell>
          <cell r="C35" t="str">
            <v>AC</v>
          </cell>
          <cell r="D35" t="str">
            <v>3M51R250A39AC</v>
          </cell>
          <cell r="E35" t="str">
            <v>Insul Bdy Snd LH (C-plr Upr Inr MFV)</v>
          </cell>
          <cell r="F35">
            <v>20</v>
          </cell>
          <cell r="G35" t="str">
            <v>C</v>
          </cell>
          <cell r="K35">
            <v>0.32900000000000001</v>
          </cell>
          <cell r="M35">
            <v>0.32900000000000001</v>
          </cell>
        </row>
        <row r="36">
          <cell r="B36" t="str">
            <v>R28422</v>
          </cell>
          <cell r="C36" t="str">
            <v>AC</v>
          </cell>
          <cell r="D36" t="str">
            <v>3M51R28422AC</v>
          </cell>
          <cell r="E36" t="str">
            <v>Insul Bdy Snd RH (C-plr Upr Out MFV)</v>
          </cell>
          <cell r="F36">
            <v>21</v>
          </cell>
          <cell r="G36" t="str">
            <v>C</v>
          </cell>
          <cell r="K36">
            <v>0.32900000000000001</v>
          </cell>
          <cell r="M36">
            <v>0.32900000000000001</v>
          </cell>
        </row>
        <row r="37">
          <cell r="B37" t="str">
            <v>R28423</v>
          </cell>
          <cell r="C37" t="str">
            <v>AC</v>
          </cell>
          <cell r="D37" t="str">
            <v>3M51R28423AC</v>
          </cell>
          <cell r="E37" t="str">
            <v>Insul Bdy Snd LH (C-plr Upr Out MFV)</v>
          </cell>
          <cell r="F37">
            <v>22</v>
          </cell>
          <cell r="G37" t="str">
            <v>C</v>
          </cell>
          <cell r="K37">
            <v>0.32900000000000001</v>
          </cell>
          <cell r="M37">
            <v>0.32900000000000001</v>
          </cell>
        </row>
        <row r="38">
          <cell r="B38" t="str">
            <v>A16C266</v>
          </cell>
          <cell r="C38" t="str">
            <v>BA</v>
          </cell>
          <cell r="D38" t="str">
            <v>4M51A16C266BA</v>
          </cell>
          <cell r="E38" t="str">
            <v>Insul Bdy Snd RH (C-plr Upr 5 dr)</v>
          </cell>
          <cell r="F38">
            <v>23</v>
          </cell>
          <cell r="G38" t="str">
            <v>U</v>
          </cell>
          <cell r="I38">
            <v>0.6915</v>
          </cell>
          <cell r="K38">
            <v>0.70720000000000005</v>
          </cell>
        </row>
        <row r="39">
          <cell r="B39" t="str">
            <v>A16C267</v>
          </cell>
          <cell r="C39" t="str">
            <v>BA</v>
          </cell>
          <cell r="D39" t="str">
            <v>4M51A16C267BA</v>
          </cell>
          <cell r="E39" t="str">
            <v>Insul Bdy Snd LH (C-plr Upr 5 dr)</v>
          </cell>
          <cell r="F39">
            <v>24</v>
          </cell>
          <cell r="G39" t="str">
            <v>U</v>
          </cell>
          <cell r="I39">
            <v>0.6915</v>
          </cell>
          <cell r="K39">
            <v>0.70720000000000005</v>
          </cell>
        </row>
        <row r="40">
          <cell r="B40" t="str">
            <v>F16C266</v>
          </cell>
          <cell r="C40" t="str">
            <v>AA</v>
          </cell>
          <cell r="D40" t="str">
            <v>4M51F16C266AA</v>
          </cell>
          <cell r="E40" t="str">
            <v>Insul Bdy Snd RH (C-plr Upr 4 dr)</v>
          </cell>
          <cell r="F40">
            <v>25</v>
          </cell>
          <cell r="G40" t="str">
            <v>U</v>
          </cell>
          <cell r="I40">
            <v>0.753</v>
          </cell>
          <cell r="M40">
            <v>0.74260000000000004</v>
          </cell>
        </row>
        <row r="41">
          <cell r="B41" t="str">
            <v>F16C267</v>
          </cell>
          <cell r="C41" t="str">
            <v>AA</v>
          </cell>
          <cell r="D41" t="str">
            <v>4M51F16C267AA</v>
          </cell>
          <cell r="E41" t="str">
            <v>Insul Bdy Snd LH (C-plr Upr 4 dr)</v>
          </cell>
          <cell r="F41">
            <v>26</v>
          </cell>
          <cell r="G41" t="str">
            <v>U</v>
          </cell>
          <cell r="I41">
            <v>0.753</v>
          </cell>
          <cell r="M41">
            <v>0.74260000000000004</v>
          </cell>
        </row>
        <row r="42">
          <cell r="B42" t="str">
            <v>A250A38</v>
          </cell>
          <cell r="C42" t="str">
            <v>AA</v>
          </cell>
          <cell r="D42" t="str">
            <v>4M51A250A38AA</v>
          </cell>
          <cell r="E42" t="str">
            <v>Insul Bdy Snd RH (C-plr Upr 5 dr Inr)</v>
          </cell>
          <cell r="F42">
            <v>27</v>
          </cell>
          <cell r="G42" t="str">
            <v>U</v>
          </cell>
          <cell r="M42">
            <v>0.34399999999999997</v>
          </cell>
        </row>
        <row r="43">
          <cell r="B43" t="str">
            <v>A250A39</v>
          </cell>
          <cell r="C43" t="str">
            <v>AA</v>
          </cell>
          <cell r="D43" t="str">
            <v>4M51A250A39AA</v>
          </cell>
          <cell r="E43" t="str">
            <v>Insul Bdy Snd LH (C-plr Upr 5 dr Inr)</v>
          </cell>
          <cell r="F43">
            <v>28</v>
          </cell>
          <cell r="G43" t="str">
            <v>U</v>
          </cell>
          <cell r="M43">
            <v>0.34399999999999997</v>
          </cell>
        </row>
        <row r="44">
          <cell r="B44" t="str">
            <v>A28422</v>
          </cell>
          <cell r="C44" t="str">
            <v>AA</v>
          </cell>
          <cell r="D44" t="str">
            <v>4M51A28422AA</v>
          </cell>
          <cell r="E44" t="str">
            <v>Insul Bdy Snd RH (C-plr Upr 5 dr Otr)</v>
          </cell>
          <cell r="F44">
            <v>29</v>
          </cell>
          <cell r="G44" t="str">
            <v>U</v>
          </cell>
          <cell r="M44">
            <v>0.30199999999999999</v>
          </cell>
        </row>
        <row r="45">
          <cell r="B45" t="str">
            <v>A28423</v>
          </cell>
          <cell r="C45" t="str">
            <v>AA</v>
          </cell>
          <cell r="D45" t="str">
            <v>4M51A28423AA</v>
          </cell>
          <cell r="E45" t="str">
            <v>Insul Bdy Snd LH (C-plr Upr 5 dr Otr)</v>
          </cell>
          <cell r="F45">
            <v>30</v>
          </cell>
          <cell r="G45" t="str">
            <v>U</v>
          </cell>
          <cell r="M45">
            <v>0.30199999999999999</v>
          </cell>
        </row>
        <row r="46">
          <cell r="B46" t="str">
            <v>N16C266</v>
          </cell>
          <cell r="C46" t="str">
            <v>BA</v>
          </cell>
          <cell r="D46" t="str">
            <v>5M51N16C266BA</v>
          </cell>
          <cell r="E46" t="str">
            <v>Insul Bdy Snd RH (C-plr Upr Wgn)</v>
          </cell>
          <cell r="F46">
            <v>31</v>
          </cell>
          <cell r="G46" t="str">
            <v>U</v>
          </cell>
          <cell r="I46">
            <v>0.74660000000000004</v>
          </cell>
          <cell r="K46">
            <v>0.74260000000000004</v>
          </cell>
          <cell r="M46">
            <v>0.74260000000000004</v>
          </cell>
        </row>
        <row r="47">
          <cell r="B47" t="str">
            <v>N16C267</v>
          </cell>
          <cell r="C47" t="str">
            <v>BA</v>
          </cell>
          <cell r="D47" t="str">
            <v>5M51N16C267BA</v>
          </cell>
          <cell r="E47" t="str">
            <v>Insul Bdy Snd LH (C-plr Upr Wgn)</v>
          </cell>
          <cell r="F47">
            <v>32</v>
          </cell>
          <cell r="G47" t="str">
            <v>U</v>
          </cell>
          <cell r="I47">
            <v>0.74660000000000004</v>
          </cell>
          <cell r="K47">
            <v>0.74260000000000004</v>
          </cell>
          <cell r="M47">
            <v>0.74260000000000004</v>
          </cell>
        </row>
        <row r="48">
          <cell r="B48" t="str">
            <v>R16C266</v>
          </cell>
          <cell r="C48" t="str">
            <v>FA</v>
          </cell>
          <cell r="D48" t="str">
            <v>3M51R16C266FA</v>
          </cell>
          <cell r="E48" t="str">
            <v>Insul Bdy Snd RH (D-plr Upr MFV)</v>
          </cell>
          <cell r="F48">
            <v>33</v>
          </cell>
          <cell r="G48" t="str">
            <v>U</v>
          </cell>
          <cell r="I48">
            <v>0.9718</v>
          </cell>
        </row>
        <row r="49">
          <cell r="B49" t="str">
            <v>R16C267</v>
          </cell>
          <cell r="C49" t="str">
            <v>FA</v>
          </cell>
          <cell r="D49" t="str">
            <v>3M51R16C267FA</v>
          </cell>
          <cell r="E49" t="str">
            <v>Insul Bdy Snd LH (D-plr Upr  MFV)</v>
          </cell>
          <cell r="F49">
            <v>34</v>
          </cell>
          <cell r="G49" t="str">
            <v>U</v>
          </cell>
          <cell r="I49">
            <v>0.9718</v>
          </cell>
        </row>
        <row r="50">
          <cell r="B50" t="str">
            <v>R413A20</v>
          </cell>
          <cell r="C50" t="str">
            <v>AC</v>
          </cell>
          <cell r="D50" t="str">
            <v>3M51R413A20AC</v>
          </cell>
          <cell r="E50" t="str">
            <v>Insul Bdy Snd RH (D-plr Upr  MFV)</v>
          </cell>
          <cell r="F50">
            <v>35</v>
          </cell>
          <cell r="G50" t="str">
            <v>U</v>
          </cell>
          <cell r="K50">
            <v>0.88600000000000001</v>
          </cell>
          <cell r="M50">
            <v>1.05</v>
          </cell>
        </row>
        <row r="51">
          <cell r="B51" t="str">
            <v>R413A21</v>
          </cell>
          <cell r="C51" t="str">
            <v>AC</v>
          </cell>
          <cell r="D51" t="str">
            <v>3M51R413A21AC</v>
          </cell>
          <cell r="E51" t="str">
            <v>Insul Bdy Snd LH (D-plr Upr  MFV)</v>
          </cell>
          <cell r="F51">
            <v>36</v>
          </cell>
          <cell r="G51" t="str">
            <v>U</v>
          </cell>
          <cell r="K51">
            <v>0.88600000000000001</v>
          </cell>
          <cell r="M51">
            <v>1.05</v>
          </cell>
        </row>
        <row r="52">
          <cell r="B52" t="str">
            <v>N16C266</v>
          </cell>
          <cell r="C52" t="str">
            <v>AA</v>
          </cell>
          <cell r="D52" t="str">
            <v>4M51N16C266AA</v>
          </cell>
          <cell r="E52" t="str">
            <v>Insul Bdy Snd RH (D-plr Upr Wgn)</v>
          </cell>
          <cell r="F52">
            <v>37</v>
          </cell>
          <cell r="G52" t="str">
            <v>U</v>
          </cell>
          <cell r="I52">
            <v>0.98809999999999998</v>
          </cell>
          <cell r="K52">
            <v>0.98799999999999999</v>
          </cell>
          <cell r="M52">
            <v>0.98799999999999999</v>
          </cell>
        </row>
        <row r="53">
          <cell r="B53" t="str">
            <v>N16C267</v>
          </cell>
          <cell r="C53" t="str">
            <v>AA</v>
          </cell>
          <cell r="D53" t="str">
            <v>4M51N16C267AA</v>
          </cell>
          <cell r="E53" t="str">
            <v>Insul Bdy Snd LH (D-plr Upr Wgn)</v>
          </cell>
          <cell r="F53">
            <v>38</v>
          </cell>
          <cell r="G53" t="str">
            <v>U</v>
          </cell>
          <cell r="I53">
            <v>0.98809999999999998</v>
          </cell>
          <cell r="K53">
            <v>0.98799999999999999</v>
          </cell>
          <cell r="M53">
            <v>0.98799999999999999</v>
          </cell>
        </row>
        <row r="54">
          <cell r="B54" t="str">
            <v>A16C266</v>
          </cell>
          <cell r="C54" t="str">
            <v>CA</v>
          </cell>
          <cell r="D54" t="str">
            <v>4M51A16C266CA</v>
          </cell>
          <cell r="E54" t="str">
            <v>Insul Bdy Snd RH (D-plr Upr 3/5dr)</v>
          </cell>
          <cell r="F54">
            <v>39</v>
          </cell>
          <cell r="G54" t="str">
            <v>U</v>
          </cell>
          <cell r="I54">
            <v>0.92290000000000005</v>
          </cell>
          <cell r="K54">
            <v>0.93600000000000005</v>
          </cell>
        </row>
        <row r="55">
          <cell r="B55" t="str">
            <v>A16C267</v>
          </cell>
          <cell r="C55" t="str">
            <v>CA</v>
          </cell>
          <cell r="D55" t="str">
            <v>4M51A16C267CA</v>
          </cell>
          <cell r="E55" t="str">
            <v>Insul Bdy Snd LH (D-plr Upr 3/5dr)</v>
          </cell>
          <cell r="F55">
            <v>40</v>
          </cell>
          <cell r="G55" t="str">
            <v>U</v>
          </cell>
          <cell r="I55">
            <v>0.92290000000000005</v>
          </cell>
          <cell r="K55">
            <v>0.93600000000000005</v>
          </cell>
        </row>
        <row r="56">
          <cell r="B56" t="str">
            <v>A413A20</v>
          </cell>
          <cell r="C56" t="str">
            <v>AA</v>
          </cell>
          <cell r="D56" t="str">
            <v>4M51A413A20AA</v>
          </cell>
          <cell r="E56" t="str">
            <v>Insul Bdy Snd RH (D-plr Upr 5dr)</v>
          </cell>
          <cell r="F56">
            <v>41</v>
          </cell>
          <cell r="G56" t="str">
            <v>U</v>
          </cell>
          <cell r="M56">
            <v>0.93500000000000005</v>
          </cell>
        </row>
        <row r="57">
          <cell r="B57" t="str">
            <v>A413A21</v>
          </cell>
          <cell r="C57" t="str">
            <v>AA</v>
          </cell>
          <cell r="D57" t="str">
            <v>4M51A413A21AA</v>
          </cell>
          <cell r="E57" t="str">
            <v>Insul Bdy Snd LH (D-plr Upr 5dr)</v>
          </cell>
          <cell r="F57">
            <v>42</v>
          </cell>
          <cell r="G57" t="str">
            <v>U</v>
          </cell>
          <cell r="M57">
            <v>0.93500000000000005</v>
          </cell>
        </row>
        <row r="58">
          <cell r="B58" t="str">
            <v>N41232</v>
          </cell>
          <cell r="C58" t="str">
            <v>AA</v>
          </cell>
          <cell r="D58" t="str">
            <v>4M51N41232AA</v>
          </cell>
          <cell r="E58" t="str">
            <v>Insul RR Cnr Plr Snd - RH Wgn ( D-plr Lwr Wgn)</v>
          </cell>
          <cell r="F58">
            <v>43</v>
          </cell>
          <cell r="G58" t="str">
            <v>U</v>
          </cell>
          <cell r="I58">
            <v>1.0469999999999999</v>
          </cell>
          <cell r="K58">
            <v>1.0296000000000001</v>
          </cell>
        </row>
        <row r="59">
          <cell r="B59" t="str">
            <v>N41233</v>
          </cell>
          <cell r="C59" t="str">
            <v>AA</v>
          </cell>
          <cell r="D59" t="str">
            <v>4M51N41233AA</v>
          </cell>
          <cell r="E59" t="str">
            <v>Insul RR Cnr Plr Snd - LH Wgn ( D-plr Lwr Wgn)</v>
          </cell>
          <cell r="F59">
            <v>44</v>
          </cell>
          <cell r="G59" t="str">
            <v>U</v>
          </cell>
          <cell r="I59">
            <v>1.0469999999999999</v>
          </cell>
          <cell r="K59">
            <v>1.0296000000000001</v>
          </cell>
        </row>
        <row r="60">
          <cell r="B60" t="str">
            <v>R41232</v>
          </cell>
          <cell r="C60" t="str">
            <v>AA</v>
          </cell>
          <cell r="D60" t="str">
            <v>3M51R41232AA</v>
          </cell>
          <cell r="E60" t="str">
            <v>Insul RR Cnr Plr Snd - RH MFV</v>
          </cell>
          <cell r="F60">
            <v>45</v>
          </cell>
          <cell r="G60" t="str">
            <v>C</v>
          </cell>
          <cell r="I60">
            <v>1.0181</v>
          </cell>
        </row>
        <row r="61">
          <cell r="B61" t="str">
            <v>R41233</v>
          </cell>
          <cell r="C61" t="str">
            <v>AA</v>
          </cell>
          <cell r="D61" t="str">
            <v>3M51R41233AA</v>
          </cell>
          <cell r="E61" t="str">
            <v>Insul RR Cnr Plr Snd - LH MFV</v>
          </cell>
          <cell r="F61">
            <v>46</v>
          </cell>
          <cell r="G61" t="str">
            <v>C</v>
          </cell>
          <cell r="I61">
            <v>1.0181</v>
          </cell>
        </row>
        <row r="65">
          <cell r="B65" t="str">
            <v>A01688</v>
          </cell>
          <cell r="C65" t="str">
            <v>AC</v>
          </cell>
          <cell r="D65" t="str">
            <v>4M51A01688AC</v>
          </cell>
          <cell r="E65" t="str">
            <v>Insulator Dash Panel Sound LHD</v>
          </cell>
          <cell r="F65">
            <v>47</v>
          </cell>
          <cell r="G65" t="str">
            <v>U</v>
          </cell>
          <cell r="I65">
            <v>19.4985</v>
          </cell>
          <cell r="K65">
            <v>20.696000000000002</v>
          </cell>
          <cell r="M65">
            <v>22.465</v>
          </cell>
        </row>
        <row r="66">
          <cell r="B66" t="str">
            <v>A01688</v>
          </cell>
          <cell r="C66" t="str">
            <v>BB</v>
          </cell>
          <cell r="D66" t="str">
            <v>4M51A01688BB</v>
          </cell>
          <cell r="E66" t="str">
            <v>Insulator Dash Panel Sound RHD</v>
          </cell>
          <cell r="F66">
            <v>48</v>
          </cell>
          <cell r="G66" t="str">
            <v>U</v>
          </cell>
          <cell r="I66">
            <v>24.919699999999999</v>
          </cell>
          <cell r="K66">
            <v>21.141100000000002</v>
          </cell>
          <cell r="M66">
            <v>23.142900000000001</v>
          </cell>
        </row>
        <row r="67">
          <cell r="B67" t="str">
            <v>A01688</v>
          </cell>
          <cell r="C67" t="str">
            <v>CA</v>
          </cell>
          <cell r="D67" t="str">
            <v>4M51A01688CA</v>
          </cell>
          <cell r="E67" t="str">
            <v>Insulator Dash Panel Sound LHD Diesel</v>
          </cell>
          <cell r="F67">
            <v>49</v>
          </cell>
          <cell r="G67" t="str">
            <v>U</v>
          </cell>
          <cell r="I67">
            <v>21.0623</v>
          </cell>
          <cell r="K67">
            <v>23.766999999999999</v>
          </cell>
        </row>
        <row r="68">
          <cell r="B68" t="str">
            <v>A01688</v>
          </cell>
          <cell r="C68" t="str">
            <v>DA</v>
          </cell>
          <cell r="D68" t="str">
            <v>4M51A01688DA</v>
          </cell>
          <cell r="E68" t="str">
            <v>Insulator Dash Panel Sound RHD Diesel</v>
          </cell>
          <cell r="F68">
            <v>50</v>
          </cell>
          <cell r="G68" t="str">
            <v>U</v>
          </cell>
          <cell r="I68">
            <v>26.853000000000002</v>
          </cell>
          <cell r="K68">
            <v>24.212</v>
          </cell>
        </row>
        <row r="69">
          <cell r="B69" t="str">
            <v>R01688</v>
          </cell>
          <cell r="C69" t="str">
            <v>AD</v>
          </cell>
          <cell r="D69" t="str">
            <v>3M51R01688AD</v>
          </cell>
          <cell r="E69" t="str">
            <v>Insulator Dash Panel Sound MFV LHD</v>
          </cell>
          <cell r="F69">
            <v>51</v>
          </cell>
          <cell r="G69" t="str">
            <v>U</v>
          </cell>
          <cell r="I69">
            <v>20.650600000000001</v>
          </cell>
          <cell r="K69">
            <v>22.552399999999999</v>
          </cell>
          <cell r="M69">
            <v>24.021999999999998</v>
          </cell>
        </row>
        <row r="70">
          <cell r="B70" t="str">
            <v>R01688</v>
          </cell>
          <cell r="C70" t="str">
            <v>BE</v>
          </cell>
          <cell r="D70" t="str">
            <v>3M51R01688BE</v>
          </cell>
          <cell r="E70" t="str">
            <v>Insulator Dash Panel Sound MFV RHD</v>
          </cell>
          <cell r="F70">
            <v>52</v>
          </cell>
          <cell r="G70" t="str">
            <v>U</v>
          </cell>
          <cell r="I70">
            <v>29.190100000000001</v>
          </cell>
          <cell r="K70">
            <v>24.327000000000002</v>
          </cell>
          <cell r="M70">
            <v>24.453099999999999</v>
          </cell>
        </row>
        <row r="71">
          <cell r="B71" t="str">
            <v>R01688</v>
          </cell>
          <cell r="C71" t="str">
            <v>CC</v>
          </cell>
          <cell r="D71" t="str">
            <v>3M51R01688CC</v>
          </cell>
          <cell r="E71" t="str">
            <v>Insulator Dash Panel Sound MFV LHD Diesel</v>
          </cell>
          <cell r="F71">
            <v>53</v>
          </cell>
          <cell r="G71" t="str">
            <v>U</v>
          </cell>
          <cell r="I71">
            <v>21.92</v>
          </cell>
          <cell r="K71">
            <v>25.879000000000001</v>
          </cell>
        </row>
        <row r="72">
          <cell r="B72" t="str">
            <v>R01688</v>
          </cell>
          <cell r="C72" t="str">
            <v>DD</v>
          </cell>
          <cell r="D72" t="str">
            <v>3M51R01688DD</v>
          </cell>
          <cell r="E72" t="str">
            <v>Insulator Dash Panel Sound MFV RHD Diesel</v>
          </cell>
          <cell r="F72">
            <v>54</v>
          </cell>
          <cell r="G72" t="str">
            <v>U</v>
          </cell>
          <cell r="I72">
            <v>30.0779</v>
          </cell>
          <cell r="K72">
            <v>27.655000000000001</v>
          </cell>
        </row>
        <row r="73">
          <cell r="B73" t="str">
            <v>R16C266</v>
          </cell>
          <cell r="C73" t="str">
            <v>AC</v>
          </cell>
          <cell r="D73" t="str">
            <v>3M51R16C266AC</v>
          </cell>
          <cell r="E73" t="str">
            <v>Insul Body Snd - (Cowl Side Lwr)</v>
          </cell>
          <cell r="F73">
            <v>55</v>
          </cell>
          <cell r="G73" t="str">
            <v>C</v>
          </cell>
          <cell r="I73">
            <v>0.21260000000000001</v>
          </cell>
          <cell r="K73">
            <v>0.48459999999999998</v>
          </cell>
          <cell r="M73">
            <v>0.48459999999999998</v>
          </cell>
        </row>
        <row r="74">
          <cell r="B74" t="str">
            <v>R16C266</v>
          </cell>
          <cell r="C74" t="str">
            <v>BA</v>
          </cell>
          <cell r="D74" t="str">
            <v>3M51R16C266BA</v>
          </cell>
          <cell r="E74" t="str">
            <v>Insul Body Snd - (Cowl Side Upr)</v>
          </cell>
          <cell r="F74">
            <v>56</v>
          </cell>
          <cell r="G74" t="str">
            <v>C</v>
          </cell>
          <cell r="I74">
            <v>0.22270000000000001</v>
          </cell>
          <cell r="K74">
            <v>0.23</v>
          </cell>
          <cell r="M74">
            <v>0.23</v>
          </cell>
        </row>
        <row r="75">
          <cell r="B75" t="str">
            <v>R044C98</v>
          </cell>
          <cell r="C75" t="str">
            <v>AC</v>
          </cell>
          <cell r="D75" t="str">
            <v>3M51R044C98AC</v>
          </cell>
          <cell r="E75" t="str">
            <v>Pad Instr Pnl Lwr LHD / RHS</v>
          </cell>
          <cell r="F75">
            <v>57</v>
          </cell>
          <cell r="G75" t="str">
            <v>C</v>
          </cell>
          <cell r="M75">
            <v>2.2200000000000002</v>
          </cell>
        </row>
        <row r="76">
          <cell r="B76" t="str">
            <v>RO44C99</v>
          </cell>
          <cell r="C76" t="str">
            <v>AB</v>
          </cell>
          <cell r="D76" t="str">
            <v>3M51RO44C99AB</v>
          </cell>
          <cell r="E76" t="str">
            <v>Pad Instr Pnl Lwr LHD / LHS</v>
          </cell>
          <cell r="F76">
            <v>58</v>
          </cell>
          <cell r="G76" t="str">
            <v>C</v>
          </cell>
          <cell r="M76">
            <v>2.2200000000000002</v>
          </cell>
        </row>
        <row r="77">
          <cell r="B77" t="str">
            <v>R044C98</v>
          </cell>
          <cell r="C77" t="str">
            <v>BC</v>
          </cell>
          <cell r="D77" t="str">
            <v>3M51R044C98BC</v>
          </cell>
          <cell r="E77" t="str">
            <v>Pad Instr Pnl Lwr RHD / RHS</v>
          </cell>
          <cell r="F77">
            <v>59</v>
          </cell>
          <cell r="G77" t="str">
            <v>C</v>
          </cell>
          <cell r="M77">
            <v>2.2200000000000002</v>
          </cell>
        </row>
        <row r="78">
          <cell r="B78" t="str">
            <v>R044C99</v>
          </cell>
          <cell r="C78" t="str">
            <v>BB</v>
          </cell>
          <cell r="D78" t="str">
            <v>3M51R044C99BB</v>
          </cell>
          <cell r="E78" t="str">
            <v>Pad Instr Pnl Lwr RHD / LHS</v>
          </cell>
          <cell r="F78">
            <v>60</v>
          </cell>
          <cell r="G78" t="str">
            <v>C</v>
          </cell>
          <cell r="M78">
            <v>2.2200000000000002</v>
          </cell>
        </row>
        <row r="79">
          <cell r="B79" t="str">
            <v>R29602</v>
          </cell>
          <cell r="C79" t="str">
            <v>AB</v>
          </cell>
          <cell r="D79" t="str">
            <v>3M51R29602AB</v>
          </cell>
          <cell r="E79" t="str">
            <v>Insul Qtr Window RHS</v>
          </cell>
          <cell r="F79">
            <v>61</v>
          </cell>
          <cell r="G79" t="str">
            <v>C</v>
          </cell>
          <cell r="M79">
            <v>1.046</v>
          </cell>
        </row>
        <row r="80">
          <cell r="B80" t="str">
            <v>R29603</v>
          </cell>
          <cell r="C80" t="str">
            <v>AB</v>
          </cell>
          <cell r="D80" t="str">
            <v>3M51R29603AB</v>
          </cell>
          <cell r="E80" t="str">
            <v>Insul Qtr Window LHS</v>
          </cell>
          <cell r="F80">
            <v>62</v>
          </cell>
          <cell r="G80" t="str">
            <v>C</v>
          </cell>
          <cell r="M80">
            <v>1.046</v>
          </cell>
        </row>
        <row r="84">
          <cell r="B84" t="str">
            <v>R280A44</v>
          </cell>
          <cell r="C84" t="str">
            <v>AA</v>
          </cell>
          <cell r="D84" t="str">
            <v>3M51R280A44AA</v>
          </cell>
          <cell r="E84" t="str">
            <v>Ins Bdy Snd RR Pnl Snd</v>
          </cell>
          <cell r="F84">
            <v>63</v>
          </cell>
          <cell r="G84" t="str">
            <v>U</v>
          </cell>
          <cell r="I84">
            <v>0.24784999999999999</v>
          </cell>
          <cell r="K84">
            <v>0.25585000000000002</v>
          </cell>
          <cell r="M84">
            <v>0.26329999999999998</v>
          </cell>
        </row>
        <row r="85">
          <cell r="B85" t="str">
            <v>A29376</v>
          </cell>
          <cell r="C85" t="str">
            <v>AA</v>
          </cell>
          <cell r="D85" t="str">
            <v>4M51A29376AA</v>
          </cell>
          <cell r="E85" t="str">
            <v>Insulation Qtr Lock Plr Sound 5dr</v>
          </cell>
          <cell r="F85">
            <v>64</v>
          </cell>
          <cell r="G85" t="str">
            <v>U</v>
          </cell>
          <cell r="I85">
            <v>0.1744</v>
          </cell>
          <cell r="K85">
            <v>0.17680000000000001</v>
          </cell>
          <cell r="M85">
            <v>0.17680000000000001</v>
          </cell>
        </row>
        <row r="86">
          <cell r="B86" t="str">
            <v>F29376</v>
          </cell>
          <cell r="C86" t="str">
            <v>AA</v>
          </cell>
          <cell r="D86" t="str">
            <v>4M51F29376AA</v>
          </cell>
          <cell r="E86" t="str">
            <v>Insulation Qtr Lock Plr Sound 4dr</v>
          </cell>
          <cell r="F86">
            <v>65</v>
          </cell>
          <cell r="G86" t="str">
            <v>U</v>
          </cell>
          <cell r="I86">
            <v>9.2999999999999999E-2</v>
          </cell>
          <cell r="M86">
            <v>9.0300000000000005E-2</v>
          </cell>
        </row>
        <row r="87">
          <cell r="B87" t="str">
            <v>N29376</v>
          </cell>
          <cell r="C87" t="str">
            <v>AA</v>
          </cell>
          <cell r="D87" t="str">
            <v>4M51N29376AA</v>
          </cell>
          <cell r="E87" t="str">
            <v>Insulation Qtr Lock Plr Sound Wgn</v>
          </cell>
          <cell r="F87">
            <v>66</v>
          </cell>
          <cell r="G87" t="str">
            <v>U</v>
          </cell>
          <cell r="I87">
            <v>0.184</v>
          </cell>
          <cell r="K87">
            <v>0.183</v>
          </cell>
          <cell r="M87">
            <v>0.183</v>
          </cell>
        </row>
        <row r="88">
          <cell r="B88" t="str">
            <v>R29376</v>
          </cell>
          <cell r="C88" t="str">
            <v>AA</v>
          </cell>
          <cell r="D88" t="str">
            <v>3M51R29376AA</v>
          </cell>
          <cell r="E88" t="str">
            <v>Insulation Qtr Lock Plr Sound MFV</v>
          </cell>
          <cell r="F88">
            <v>67</v>
          </cell>
          <cell r="G88" t="str">
            <v>U</v>
          </cell>
          <cell r="I88">
            <v>0.17485000000000001</v>
          </cell>
          <cell r="K88">
            <v>0.17680000000000001</v>
          </cell>
          <cell r="M88">
            <v>0.17680000000000001</v>
          </cell>
        </row>
        <row r="89">
          <cell r="B89" t="str">
            <v>R27786</v>
          </cell>
          <cell r="C89" t="str">
            <v>AA</v>
          </cell>
          <cell r="D89" t="str">
            <v>3M51R27786AA</v>
          </cell>
          <cell r="E89" t="str">
            <v>Insulation Quarter W/House Snd ( 4dr, 5dr, MFV)</v>
          </cell>
          <cell r="F89">
            <v>68</v>
          </cell>
          <cell r="G89" t="str">
            <v>C</v>
          </cell>
          <cell r="I89">
            <v>0.40699999999999997</v>
          </cell>
          <cell r="K89">
            <v>0.307</v>
          </cell>
          <cell r="M89">
            <v>0.307</v>
          </cell>
        </row>
        <row r="90">
          <cell r="B90" t="str">
            <v>B27786</v>
          </cell>
          <cell r="C90" t="str">
            <v>AB</v>
          </cell>
          <cell r="D90" t="str">
            <v>4M51B27786AB</v>
          </cell>
          <cell r="E90" t="str">
            <v>Insulation Quarter W/House Snd RH</v>
          </cell>
          <cell r="F90">
            <v>69</v>
          </cell>
          <cell r="G90" t="str">
            <v>U</v>
          </cell>
          <cell r="I90">
            <v>0.42430000000000001</v>
          </cell>
          <cell r="K90">
            <v>0.42430000000000001</v>
          </cell>
          <cell r="M90">
            <v>0.42430000000000001</v>
          </cell>
        </row>
        <row r="91">
          <cell r="B91" t="str">
            <v>B27787</v>
          </cell>
          <cell r="C91" t="str">
            <v>AB</v>
          </cell>
          <cell r="D91" t="str">
            <v>4M51B27787AB</v>
          </cell>
          <cell r="E91" t="str">
            <v>Insulation Quarter W/House Snd LH</v>
          </cell>
          <cell r="F91">
            <v>70</v>
          </cell>
          <cell r="G91" t="str">
            <v>U</v>
          </cell>
          <cell r="I91">
            <v>0.42430000000000001</v>
          </cell>
          <cell r="K91">
            <v>0.42430000000000001</v>
          </cell>
          <cell r="M91">
            <v>0.42430000000000001</v>
          </cell>
        </row>
        <row r="92">
          <cell r="B92" t="str">
            <v>B310A30</v>
          </cell>
          <cell r="C92" t="str">
            <v>AA</v>
          </cell>
          <cell r="D92" t="str">
            <v>4M51B310A30AA</v>
          </cell>
          <cell r="E92" t="str">
            <v>Insulation Quarter Trim Panel RH</v>
          </cell>
          <cell r="F92">
            <v>71</v>
          </cell>
          <cell r="G92" t="str">
            <v>U</v>
          </cell>
          <cell r="I92">
            <v>1.0565</v>
          </cell>
          <cell r="K92">
            <v>1.0565</v>
          </cell>
          <cell r="M92">
            <v>1.0565</v>
          </cell>
        </row>
        <row r="93">
          <cell r="B93" t="str">
            <v>B310A31</v>
          </cell>
          <cell r="C93" t="str">
            <v>AA</v>
          </cell>
          <cell r="D93" t="str">
            <v>4M51B310A31AA</v>
          </cell>
          <cell r="E93" t="str">
            <v>Insulation Quarter Trim Panel LH</v>
          </cell>
          <cell r="F93">
            <v>72</v>
          </cell>
          <cell r="G93" t="str">
            <v>U</v>
          </cell>
          <cell r="I93">
            <v>1.0565</v>
          </cell>
          <cell r="K93">
            <v>1.0565</v>
          </cell>
          <cell r="M93">
            <v>1.0565</v>
          </cell>
        </row>
        <row r="94">
          <cell r="B94" t="str">
            <v>B310A58</v>
          </cell>
          <cell r="C94" t="str">
            <v>AA</v>
          </cell>
          <cell r="D94" t="str">
            <v>4M51B310A58AA</v>
          </cell>
          <cell r="E94" t="str">
            <v>Insulation Body Side Outer RH</v>
          </cell>
          <cell r="F94">
            <v>73</v>
          </cell>
          <cell r="G94" t="str">
            <v>U</v>
          </cell>
          <cell r="I94">
            <v>1.1206</v>
          </cell>
          <cell r="K94">
            <v>1.1096999999999999</v>
          </cell>
          <cell r="M94">
            <v>1.1096999999999999</v>
          </cell>
        </row>
        <row r="95">
          <cell r="B95" t="str">
            <v>B310A59</v>
          </cell>
          <cell r="C95" t="str">
            <v>AA</v>
          </cell>
          <cell r="D95" t="str">
            <v>4M51B310A59AA</v>
          </cell>
          <cell r="E95" t="str">
            <v>Insulation Body Side Outer LH</v>
          </cell>
          <cell r="F95">
            <v>74</v>
          </cell>
          <cell r="G95" t="str">
            <v>U</v>
          </cell>
          <cell r="I95">
            <v>1.1206</v>
          </cell>
          <cell r="K95">
            <v>1.1096999999999999</v>
          </cell>
          <cell r="M95">
            <v>1.1096999999999999</v>
          </cell>
        </row>
        <row r="96">
          <cell r="B96" t="str">
            <v>A41234</v>
          </cell>
          <cell r="C96" t="str">
            <v>AA</v>
          </cell>
          <cell r="D96" t="str">
            <v>4M51A41234AA</v>
          </cell>
          <cell r="E96" t="str">
            <v>Insulation D-plr Trim (5dr)</v>
          </cell>
          <cell r="F96">
            <v>75</v>
          </cell>
          <cell r="G96" t="str">
            <v>U</v>
          </cell>
          <cell r="I96">
            <v>0.24099999999999999</v>
          </cell>
          <cell r="K96">
            <v>0.2465</v>
          </cell>
          <cell r="M96">
            <v>0.2465</v>
          </cell>
        </row>
        <row r="97">
          <cell r="B97" t="str">
            <v>F41234</v>
          </cell>
          <cell r="C97" t="str">
            <v>AA</v>
          </cell>
          <cell r="D97" t="str">
            <v>4M51F41234AA</v>
          </cell>
          <cell r="E97" t="str">
            <v>Insulation D-plr Trim (4dr)</v>
          </cell>
          <cell r="F97">
            <v>76</v>
          </cell>
          <cell r="G97" t="str">
            <v>U</v>
          </cell>
          <cell r="I97">
            <v>0.25</v>
          </cell>
          <cell r="M97">
            <v>0.2465</v>
          </cell>
        </row>
        <row r="98">
          <cell r="B98" t="str">
            <v>N41234</v>
          </cell>
          <cell r="C98" t="str">
            <v>AA</v>
          </cell>
          <cell r="D98" t="str">
            <v>4M51N41234AA</v>
          </cell>
          <cell r="E98" t="str">
            <v>Insulation D-plr Trim (Wgn)</v>
          </cell>
          <cell r="F98">
            <v>77</v>
          </cell>
          <cell r="G98" t="str">
            <v>U</v>
          </cell>
          <cell r="I98">
            <v>0.14535000000000001</v>
          </cell>
          <cell r="K98">
            <v>0.1487</v>
          </cell>
          <cell r="M98">
            <v>0.1487</v>
          </cell>
        </row>
        <row r="102">
          <cell r="B102" t="str">
            <v>A278B50</v>
          </cell>
          <cell r="C102" t="str">
            <v>AB</v>
          </cell>
          <cell r="D102" t="str">
            <v>4M51A278B50AB</v>
          </cell>
          <cell r="E102" t="str">
            <v>Filler Qtr W/H Outer Rear RH 5dr</v>
          </cell>
          <cell r="F102">
            <v>78</v>
          </cell>
          <cell r="G102" t="str">
            <v>U</v>
          </cell>
          <cell r="I102">
            <v>4.4550999999999998</v>
          </cell>
          <cell r="K102">
            <v>4.5561999999999996</v>
          </cell>
          <cell r="M102">
            <v>4.5561999999999996</v>
          </cell>
        </row>
        <row r="103">
          <cell r="B103" t="str">
            <v>A278B51</v>
          </cell>
          <cell r="C103" t="str">
            <v>AB</v>
          </cell>
          <cell r="D103" t="str">
            <v>4M51A278B51AB</v>
          </cell>
          <cell r="E103" t="str">
            <v>Filler Qtr W/H Outer Rear LH 5dr</v>
          </cell>
          <cell r="F103">
            <v>79</v>
          </cell>
          <cell r="G103" t="str">
            <v>U</v>
          </cell>
          <cell r="I103">
            <v>4.4550999999999998</v>
          </cell>
          <cell r="K103">
            <v>4.5561999999999996</v>
          </cell>
          <cell r="M103">
            <v>4.5561999999999996</v>
          </cell>
        </row>
        <row r="104">
          <cell r="B104" t="str">
            <v>F278B50</v>
          </cell>
          <cell r="C104" t="str">
            <v>AA</v>
          </cell>
          <cell r="D104" t="str">
            <v>4M51F278B50AA</v>
          </cell>
          <cell r="E104" t="str">
            <v>Filler Qtr W/H Outer Rear RH 4dr</v>
          </cell>
          <cell r="F104">
            <v>80</v>
          </cell>
          <cell r="G104" t="str">
            <v>U</v>
          </cell>
          <cell r="I104">
            <v>4.9535999999999998</v>
          </cell>
          <cell r="M104">
            <v>4.8849</v>
          </cell>
        </row>
        <row r="105">
          <cell r="B105" t="str">
            <v>F278B51</v>
          </cell>
          <cell r="C105" t="str">
            <v>AA</v>
          </cell>
          <cell r="D105" t="str">
            <v>4M51F278B51AA</v>
          </cell>
          <cell r="E105" t="str">
            <v>Filler Qtr W/H Outer Rear LH 4dr</v>
          </cell>
          <cell r="F105">
            <v>81</v>
          </cell>
          <cell r="G105" t="str">
            <v>U</v>
          </cell>
          <cell r="I105">
            <v>4.9535999999999998</v>
          </cell>
          <cell r="M105">
            <v>4.8849</v>
          </cell>
        </row>
        <row r="106">
          <cell r="B106" t="str">
            <v>N278B50</v>
          </cell>
          <cell r="C106" t="str">
            <v>AA</v>
          </cell>
          <cell r="D106" t="str">
            <v>4M51N278B50AA</v>
          </cell>
          <cell r="E106" t="str">
            <v>Filler Qtr W/H Outer Rear RH Wgn</v>
          </cell>
          <cell r="F106">
            <v>82</v>
          </cell>
          <cell r="G106" t="str">
            <v>U</v>
          </cell>
          <cell r="I106">
            <v>5.1014999999999997</v>
          </cell>
          <cell r="K106">
            <v>5.0742000000000003</v>
          </cell>
          <cell r="M106">
            <v>5.0742000000000003</v>
          </cell>
        </row>
        <row r="107">
          <cell r="B107" t="str">
            <v>N278B51</v>
          </cell>
          <cell r="C107" t="str">
            <v>AA</v>
          </cell>
          <cell r="D107" t="str">
            <v>4M51N278B51AA</v>
          </cell>
          <cell r="E107" t="str">
            <v>Filler Qtr W/H Outer Rear LH Wgn</v>
          </cell>
          <cell r="F107">
            <v>83</v>
          </cell>
          <cell r="G107" t="str">
            <v>U</v>
          </cell>
          <cell r="I107">
            <v>5.1014999999999997</v>
          </cell>
          <cell r="K107">
            <v>5.0742000000000003</v>
          </cell>
          <cell r="M107">
            <v>5.0742000000000003</v>
          </cell>
        </row>
        <row r="108">
          <cell r="B108" t="str">
            <v>R278B50</v>
          </cell>
          <cell r="C108" t="str">
            <v>AE</v>
          </cell>
          <cell r="D108" t="str">
            <v>3M51R278B50AE</v>
          </cell>
          <cell r="E108" t="str">
            <v>Filler Qtr W/H Outer Rear RH MFV</v>
          </cell>
          <cell r="F108">
            <v>84</v>
          </cell>
          <cell r="G108" t="str">
            <v>U</v>
          </cell>
          <cell r="I108">
            <v>4.8304</v>
          </cell>
          <cell r="K108">
            <v>4.4688999999999997</v>
          </cell>
          <cell r="M108">
            <v>4.4688999999999997</v>
          </cell>
        </row>
        <row r="109">
          <cell r="B109" t="str">
            <v>R278B51</v>
          </cell>
          <cell r="C109" t="str">
            <v>AE</v>
          </cell>
          <cell r="D109" t="str">
            <v>3M51R278B51AE</v>
          </cell>
          <cell r="E109" t="str">
            <v>Filler Qtr W/H Outer Rear LH MFV</v>
          </cell>
          <cell r="F109">
            <v>85</v>
          </cell>
          <cell r="G109" t="str">
            <v>U</v>
          </cell>
          <cell r="I109">
            <v>4.8304</v>
          </cell>
          <cell r="K109">
            <v>4.4688999999999997</v>
          </cell>
          <cell r="M109">
            <v>4.4688999999999997</v>
          </cell>
        </row>
        <row r="110">
          <cell r="B110" t="str">
            <v>A11493</v>
          </cell>
          <cell r="C110" t="str">
            <v>AA</v>
          </cell>
          <cell r="D110" t="str">
            <v>4M51A11493AA</v>
          </cell>
          <cell r="E110" t="str">
            <v>Insulation Under Rear Seat (3/4/5dr Wgn)</v>
          </cell>
          <cell r="F110">
            <v>86</v>
          </cell>
          <cell r="G110" t="str">
            <v>U</v>
          </cell>
          <cell r="I110">
            <v>7.1097999999999999</v>
          </cell>
          <cell r="K110">
            <v>6.8310000000000004</v>
          </cell>
          <cell r="M110">
            <v>4.8198999999999996</v>
          </cell>
        </row>
        <row r="111">
          <cell r="B111" t="str">
            <v>R11493</v>
          </cell>
          <cell r="C111" t="str">
            <v>AC</v>
          </cell>
          <cell r="D111" t="str">
            <v>3M51R11493AC</v>
          </cell>
          <cell r="E111" t="str">
            <v>Insulation Under Rear Seat MFV</v>
          </cell>
          <cell r="F111">
            <v>87</v>
          </cell>
          <cell r="G111" t="str">
            <v>U</v>
          </cell>
          <cell r="I111">
            <v>6.1532999999999998</v>
          </cell>
          <cell r="K111">
            <v>3.9470000000000001</v>
          </cell>
          <cell r="M111">
            <v>3.9251999999999998</v>
          </cell>
        </row>
        <row r="112">
          <cell r="B112" t="str">
            <v>A01B42</v>
          </cell>
          <cell r="C112" t="str">
            <v>AA</v>
          </cell>
          <cell r="D112" t="str">
            <v>4M51A01B42AA</v>
          </cell>
          <cell r="E112" t="str">
            <v>Vent Air Duct 3/5dr RH</v>
          </cell>
          <cell r="F112">
            <v>88</v>
          </cell>
          <cell r="G112" t="str">
            <v>U</v>
          </cell>
          <cell r="I112">
            <v>1.7318</v>
          </cell>
          <cell r="K112">
            <v>1.7710999999999999</v>
          </cell>
          <cell r="M112">
            <v>1.7710999999999999</v>
          </cell>
        </row>
        <row r="113">
          <cell r="B113" t="str">
            <v>A01B43</v>
          </cell>
          <cell r="C113" t="str">
            <v>AA</v>
          </cell>
          <cell r="D113" t="str">
            <v>4M51A01B43AA</v>
          </cell>
          <cell r="E113" t="str">
            <v>Vent Air Duct 3/5dr LH</v>
          </cell>
          <cell r="F113">
            <v>89</v>
          </cell>
          <cell r="G113" t="str">
            <v>U</v>
          </cell>
          <cell r="I113">
            <v>1.7318</v>
          </cell>
          <cell r="K113">
            <v>1.7710999999999999</v>
          </cell>
          <cell r="M113">
            <v>1.7710999999999999</v>
          </cell>
        </row>
        <row r="114">
          <cell r="B114" t="str">
            <v>F01B42</v>
          </cell>
          <cell r="C114" t="str">
            <v>AA</v>
          </cell>
          <cell r="D114" t="str">
            <v>4M51F01B42AA</v>
          </cell>
          <cell r="E114" t="str">
            <v>Vent Air Duct 4dr RH</v>
          </cell>
          <cell r="F114">
            <v>90</v>
          </cell>
          <cell r="G114" t="str">
            <v>U</v>
          </cell>
          <cell r="I114">
            <v>2.1905000000000001</v>
          </cell>
          <cell r="M114">
            <v>2.1600999999999999</v>
          </cell>
        </row>
        <row r="115">
          <cell r="B115" t="str">
            <v>F01B43</v>
          </cell>
          <cell r="C115" t="str">
            <v>AA</v>
          </cell>
          <cell r="D115" t="str">
            <v>4M51F01B43AA</v>
          </cell>
          <cell r="E115" t="str">
            <v>Vent Air Duct 4dr LH</v>
          </cell>
          <cell r="F115">
            <v>91</v>
          </cell>
          <cell r="G115" t="str">
            <v>U</v>
          </cell>
          <cell r="I115">
            <v>2.1905000000000001</v>
          </cell>
          <cell r="M115">
            <v>2.1600999999999999</v>
          </cell>
        </row>
        <row r="116">
          <cell r="B116" t="str">
            <v>N01B42</v>
          </cell>
          <cell r="C116" t="str">
            <v>AA</v>
          </cell>
          <cell r="D116" t="str">
            <v>5M51N01B42AA</v>
          </cell>
          <cell r="E116" t="str">
            <v>Vent Air Duct Wgn RH</v>
          </cell>
          <cell r="F116">
            <v>92</v>
          </cell>
          <cell r="G116" t="str">
            <v>U</v>
          </cell>
          <cell r="I116">
            <v>2.0964999999999998</v>
          </cell>
          <cell r="K116">
            <v>2.0851999999999999</v>
          </cell>
          <cell r="M116">
            <v>2.0851999999999999</v>
          </cell>
        </row>
        <row r="117">
          <cell r="B117" t="str">
            <v>N01B43</v>
          </cell>
          <cell r="C117" t="str">
            <v>AA</v>
          </cell>
          <cell r="D117" t="str">
            <v>5M51N01B43AA</v>
          </cell>
          <cell r="E117" t="str">
            <v>Vent Air Duct Wgn LH</v>
          </cell>
          <cell r="F117">
            <v>93</v>
          </cell>
          <cell r="G117" t="str">
            <v>U</v>
          </cell>
          <cell r="I117">
            <v>2.0964999999999998</v>
          </cell>
          <cell r="K117">
            <v>2.0851999999999999</v>
          </cell>
          <cell r="M117">
            <v>2.0851999999999999</v>
          </cell>
        </row>
        <row r="118">
          <cell r="B118" t="str">
            <v>R01B42</v>
          </cell>
          <cell r="C118" t="str">
            <v>AB</v>
          </cell>
          <cell r="D118" t="str">
            <v>3M51R01B42AB</v>
          </cell>
          <cell r="E118" t="str">
            <v>Vent Air Duct  MFV RH</v>
          </cell>
          <cell r="F118">
            <v>94</v>
          </cell>
          <cell r="G118" t="str">
            <v>U</v>
          </cell>
          <cell r="I118">
            <v>2.0619999999999998</v>
          </cell>
          <cell r="K118">
            <v>0.95230000000000004</v>
          </cell>
          <cell r="M118">
            <v>0.95230000000000004</v>
          </cell>
        </row>
        <row r="119">
          <cell r="B119" t="str">
            <v>R01B43</v>
          </cell>
          <cell r="C119" t="str">
            <v>AB</v>
          </cell>
          <cell r="D119" t="str">
            <v>3M51R01B43AB</v>
          </cell>
          <cell r="E119" t="str">
            <v>Vent Air Duct  MFV LH</v>
          </cell>
          <cell r="F119">
            <v>95</v>
          </cell>
          <cell r="G119" t="str">
            <v>U</v>
          </cell>
          <cell r="I119">
            <v>2.0619999999999998</v>
          </cell>
          <cell r="K119">
            <v>0.95230000000000004</v>
          </cell>
          <cell r="M119">
            <v>0.95230000000000004</v>
          </cell>
        </row>
        <row r="123">
          <cell r="B123" t="str">
            <v>A16746</v>
          </cell>
          <cell r="C123" t="str">
            <v>AA</v>
          </cell>
          <cell r="D123" t="str">
            <v>4M51A16746AA</v>
          </cell>
          <cell r="E123" t="str">
            <v>Insul Hood Pnl Snd</v>
          </cell>
          <cell r="F123">
            <v>96</v>
          </cell>
          <cell r="G123" t="str">
            <v>U</v>
          </cell>
          <cell r="I123">
            <v>10.2554</v>
          </cell>
          <cell r="K123">
            <v>8.48</v>
          </cell>
          <cell r="M123">
            <v>9.8854000000000006</v>
          </cell>
        </row>
        <row r="124">
          <cell r="B124" t="str">
            <v>R16746</v>
          </cell>
          <cell r="C124" t="str">
            <v>AD</v>
          </cell>
          <cell r="D124" t="str">
            <v>3M51R16746AD</v>
          </cell>
          <cell r="E124" t="str">
            <v>Insul Hood Pnl Snd MFV</v>
          </cell>
          <cell r="F124">
            <v>97</v>
          </cell>
          <cell r="G124" t="str">
            <v>U</v>
          </cell>
          <cell r="I124">
            <v>8.5197000000000003</v>
          </cell>
          <cell r="K124">
            <v>7.73</v>
          </cell>
          <cell r="M124">
            <v>7.5736999999999997</v>
          </cell>
        </row>
        <row r="125">
          <cell r="B125" t="str">
            <v>R16B922</v>
          </cell>
          <cell r="C125" t="str">
            <v>AA</v>
          </cell>
          <cell r="D125" t="str">
            <v>3M51R16B922AA</v>
          </cell>
          <cell r="E125" t="str">
            <v>Seal Hood Pnl Side Rear</v>
          </cell>
          <cell r="F125">
            <v>98</v>
          </cell>
          <cell r="G125" t="str">
            <v>C</v>
          </cell>
          <cell r="I125">
            <v>0.16830000000000001</v>
          </cell>
        </row>
        <row r="126">
          <cell r="B126" t="str">
            <v>A16E560</v>
          </cell>
          <cell r="C126" t="str">
            <v>AA</v>
          </cell>
          <cell r="D126" t="str">
            <v>4M51A16E560AA</v>
          </cell>
          <cell r="E126" t="str">
            <v>Insul Frt Fender RR Snd RH</v>
          </cell>
          <cell r="F126">
            <v>99</v>
          </cell>
          <cell r="G126" t="str">
            <v>U</v>
          </cell>
          <cell r="I126">
            <v>1.7222</v>
          </cell>
          <cell r="K126">
            <v>1.7732000000000001</v>
          </cell>
          <cell r="M126">
            <v>1.7732000000000001</v>
          </cell>
        </row>
        <row r="127">
          <cell r="B127" t="str">
            <v>A16E561</v>
          </cell>
          <cell r="C127" t="str">
            <v>AA</v>
          </cell>
          <cell r="D127" t="str">
            <v>4M51A16E561AA</v>
          </cell>
          <cell r="E127" t="str">
            <v>Insul Frt Fender RR Snd LH</v>
          </cell>
          <cell r="F127">
            <v>100</v>
          </cell>
          <cell r="G127" t="str">
            <v>U</v>
          </cell>
          <cell r="I127">
            <v>1.7222</v>
          </cell>
          <cell r="K127">
            <v>1.7732000000000001</v>
          </cell>
          <cell r="M127">
            <v>1.7732000000000001</v>
          </cell>
        </row>
        <row r="128">
          <cell r="B128" t="str">
            <v>R16E560</v>
          </cell>
          <cell r="C128" t="str">
            <v>AD</v>
          </cell>
          <cell r="D128" t="str">
            <v>3M51R16E560AD</v>
          </cell>
          <cell r="E128" t="str">
            <v>Insul Frt Fender RR Snd RH MFV</v>
          </cell>
          <cell r="F128">
            <v>101</v>
          </cell>
          <cell r="G128" t="str">
            <v>U</v>
          </cell>
          <cell r="I128">
            <v>2.8784999999999998</v>
          </cell>
          <cell r="K128">
            <v>2.911</v>
          </cell>
          <cell r="M128">
            <v>2.6890000000000001</v>
          </cell>
        </row>
        <row r="129">
          <cell r="B129" t="str">
            <v>R16E561</v>
          </cell>
          <cell r="C129" t="str">
            <v>AD</v>
          </cell>
          <cell r="D129" t="str">
            <v>3M51R16E561AD</v>
          </cell>
          <cell r="E129" t="str">
            <v>Insul Frt Fender RR Snd LH MFV</v>
          </cell>
          <cell r="F129">
            <v>102</v>
          </cell>
          <cell r="G129" t="str">
            <v>U</v>
          </cell>
          <cell r="I129">
            <v>2.8784999999999998</v>
          </cell>
          <cell r="K129">
            <v>2.911</v>
          </cell>
          <cell r="M129">
            <v>2.9104999999999999</v>
          </cell>
        </row>
        <row r="130">
          <cell r="B130" t="str">
            <v>R01590</v>
          </cell>
          <cell r="C130" t="str">
            <v>AG</v>
          </cell>
          <cell r="D130" t="str">
            <v>3M51R01590AG</v>
          </cell>
          <cell r="E130" t="str">
            <v>Insul Dash Pnl Outr LHD</v>
          </cell>
          <cell r="F130">
            <v>103</v>
          </cell>
          <cell r="G130" t="str">
            <v>C</v>
          </cell>
          <cell r="I130">
            <v>8.0155999999999992</v>
          </cell>
          <cell r="K130">
            <v>5.6894</v>
          </cell>
          <cell r="M130">
            <v>5.6894</v>
          </cell>
        </row>
        <row r="131">
          <cell r="B131" t="str">
            <v>R01590</v>
          </cell>
          <cell r="C131" t="str">
            <v>BG</v>
          </cell>
          <cell r="D131" t="str">
            <v>3M51R01590BG</v>
          </cell>
          <cell r="E131" t="str">
            <v>Insul Dash Pnl Outr RHD</v>
          </cell>
          <cell r="F131">
            <v>104</v>
          </cell>
          <cell r="G131" t="str">
            <v>C</v>
          </cell>
          <cell r="I131">
            <v>8.3343000000000007</v>
          </cell>
          <cell r="K131">
            <v>6.3097000000000003</v>
          </cell>
          <cell r="M131">
            <v>6.3097000000000003</v>
          </cell>
        </row>
        <row r="132">
          <cell r="B132" t="str">
            <v>R01492</v>
          </cell>
          <cell r="C132" t="str">
            <v>AA</v>
          </cell>
          <cell r="D132" t="str">
            <v>3M51R01492AA</v>
          </cell>
          <cell r="E132" t="str">
            <v>Ins D/Pnl Upr Snd LHD (MFV)</v>
          </cell>
          <cell r="F132">
            <v>105</v>
          </cell>
          <cell r="G132" t="str">
            <v>U</v>
          </cell>
          <cell r="M132">
            <v>4.57</v>
          </cell>
        </row>
        <row r="133">
          <cell r="B133" t="str">
            <v>R01492</v>
          </cell>
          <cell r="C133" t="str">
            <v>BA</v>
          </cell>
          <cell r="D133" t="str">
            <v>3M51R01492BA</v>
          </cell>
          <cell r="E133" t="str">
            <v>Ins D/Pnl Upr Snd RHD (MFV)</v>
          </cell>
          <cell r="F133">
            <v>106</v>
          </cell>
          <cell r="G133" t="str">
            <v>U</v>
          </cell>
          <cell r="M133">
            <v>5.15</v>
          </cell>
        </row>
        <row r="134">
          <cell r="B134" t="str">
            <v>R6P013</v>
          </cell>
          <cell r="C134" t="str">
            <v>AF</v>
          </cell>
          <cell r="D134" t="str">
            <v>3M51R6P013AF</v>
          </cell>
          <cell r="E134" t="str">
            <v>Insul Asy Engine Noise Shield Tase (I4 with Compressor)</v>
          </cell>
          <cell r="F134">
            <v>107</v>
          </cell>
          <cell r="G134" t="str">
            <v>C</v>
          </cell>
          <cell r="I134">
            <v>15.887700000000001</v>
          </cell>
          <cell r="K134">
            <v>9.2898999999999994</v>
          </cell>
          <cell r="M134">
            <v>9.8698999999999995</v>
          </cell>
        </row>
        <row r="135">
          <cell r="B135" t="str">
            <v>R6P013</v>
          </cell>
          <cell r="C135" t="str">
            <v>BE</v>
          </cell>
          <cell r="D135" t="str">
            <v>3M51R6P013BE</v>
          </cell>
          <cell r="E135" t="str">
            <v>Insul Asy Engine Under Shield I5</v>
          </cell>
          <cell r="F135">
            <v>108</v>
          </cell>
          <cell r="G135" t="str">
            <v>C</v>
          </cell>
          <cell r="I135">
            <v>39.067399999999999</v>
          </cell>
          <cell r="K135">
            <v>16.47</v>
          </cell>
          <cell r="M135">
            <v>12.691000000000001</v>
          </cell>
        </row>
        <row r="136">
          <cell r="B136" t="str">
            <v>R6P013</v>
          </cell>
          <cell r="C136" t="str">
            <v>CF</v>
          </cell>
          <cell r="D136" t="str">
            <v>3M51R6P013CF</v>
          </cell>
          <cell r="E136" t="str">
            <v>Insul Asy Engine Under Shield Dies</v>
          </cell>
          <cell r="F136">
            <v>109</v>
          </cell>
          <cell r="G136" t="str">
            <v>C</v>
          </cell>
          <cell r="I136">
            <v>21.1248</v>
          </cell>
          <cell r="K136">
            <v>14.77</v>
          </cell>
          <cell r="M136">
            <v>15.340999999999999</v>
          </cell>
        </row>
        <row r="137">
          <cell r="B137" t="str">
            <v>R6P013</v>
          </cell>
          <cell r="C137" t="str">
            <v>DC</v>
          </cell>
          <cell r="D137" t="str">
            <v>3M51R6P013DC</v>
          </cell>
          <cell r="E137" t="str">
            <v>Insul Asy Engine Under Shield I5 AWD</v>
          </cell>
          <cell r="F137">
            <v>110</v>
          </cell>
          <cell r="G137" t="str">
            <v>C</v>
          </cell>
          <cell r="I137">
            <v>38.7639</v>
          </cell>
          <cell r="K137">
            <v>17.190000000000001</v>
          </cell>
        </row>
        <row r="138">
          <cell r="B138" t="str">
            <v>R6P013</v>
          </cell>
          <cell r="C138" t="str">
            <v>EB</v>
          </cell>
          <cell r="D138" t="str">
            <v>3M51R6P013EB</v>
          </cell>
          <cell r="E138" t="str">
            <v>Insul Asy Engine Under Shield I5 AWD Volvo</v>
          </cell>
          <cell r="F138">
            <v>111</v>
          </cell>
          <cell r="G138" t="str">
            <v>C</v>
          </cell>
          <cell r="M138">
            <v>12.691000000000001</v>
          </cell>
        </row>
        <row r="139">
          <cell r="B139" t="str">
            <v>R6P013</v>
          </cell>
          <cell r="C139" t="str">
            <v>FA</v>
          </cell>
          <cell r="D139" t="str">
            <v>3M51R6P013FA</v>
          </cell>
          <cell r="E139" t="str">
            <v>Insul Asy Engine Noise Shield Tase (I4 without Compressor)</v>
          </cell>
          <cell r="F139">
            <v>112</v>
          </cell>
          <cell r="G139" t="str">
            <v>C</v>
          </cell>
          <cell r="M139">
            <v>10.3</v>
          </cell>
        </row>
        <row r="140">
          <cell r="B140" t="str">
            <v>R11448</v>
          </cell>
          <cell r="C140" t="str">
            <v>AG</v>
          </cell>
          <cell r="D140" t="str">
            <v>3M51R11448AG</v>
          </cell>
          <cell r="E140" t="str">
            <v>Insul Asy Floor Transm Cvr Prt Snd</v>
          </cell>
          <cell r="F140">
            <v>113</v>
          </cell>
          <cell r="G140" t="str">
            <v>C</v>
          </cell>
          <cell r="I140">
            <v>7.5694999999999997</v>
          </cell>
          <cell r="K140">
            <v>7.4195000000000002</v>
          </cell>
          <cell r="M140">
            <v>7.2394999999999996</v>
          </cell>
        </row>
        <row r="141">
          <cell r="B141" t="str">
            <v>R11448</v>
          </cell>
          <cell r="C141" t="str">
            <v>BD</v>
          </cell>
          <cell r="D141" t="str">
            <v>3M51R11448BD</v>
          </cell>
          <cell r="E141" t="str">
            <v>Insul Asy Floor Transm Cvr Prt Snd I5</v>
          </cell>
          <cell r="F141">
            <v>114</v>
          </cell>
          <cell r="G141" t="str">
            <v>C</v>
          </cell>
          <cell r="I141">
            <v>7.5694999999999997</v>
          </cell>
          <cell r="K141">
            <v>7.4195000000000002</v>
          </cell>
          <cell r="M141">
            <v>7.2954999999999997</v>
          </cell>
        </row>
        <row r="145">
          <cell r="B145" t="str">
            <v>A31148</v>
          </cell>
          <cell r="C145" t="str">
            <v>AAW</v>
          </cell>
          <cell r="D145" t="str">
            <v>4M51A31148AAW</v>
          </cell>
          <cell r="E145" t="str">
            <v>Panel Bodyside Trim Rear RH (3/5 Dr)</v>
          </cell>
          <cell r="F145">
            <v>115</v>
          </cell>
          <cell r="G145" t="str">
            <v>U</v>
          </cell>
          <cell r="I145">
            <v>6.2031999999999998</v>
          </cell>
          <cell r="K145">
            <v>6.3440000000000003</v>
          </cell>
          <cell r="M145">
            <v>7.9580000000000002</v>
          </cell>
        </row>
        <row r="146">
          <cell r="B146" t="str">
            <v>A31149</v>
          </cell>
          <cell r="C146" t="str">
            <v>AAW</v>
          </cell>
          <cell r="D146" t="str">
            <v>4M51A31149AAW</v>
          </cell>
          <cell r="E146" t="str">
            <v>Panel Bodyside Trim Rear LH (3/5 Dr)</v>
          </cell>
          <cell r="F146">
            <v>116</v>
          </cell>
          <cell r="G146" t="str">
            <v>U</v>
          </cell>
          <cell r="I146">
            <v>6.2031999999999998</v>
          </cell>
          <cell r="K146">
            <v>6.3440000000000003</v>
          </cell>
          <cell r="M146">
            <v>7.4109999999999996</v>
          </cell>
        </row>
        <row r="147">
          <cell r="B147" t="str">
            <v>F31148</v>
          </cell>
          <cell r="C147" t="str">
            <v>AAW</v>
          </cell>
          <cell r="D147" t="str">
            <v>4M51F31148AAW</v>
          </cell>
          <cell r="E147" t="str">
            <v>Panel Bodyside Trim RR RH (4dr)</v>
          </cell>
          <cell r="F147">
            <v>117</v>
          </cell>
          <cell r="G147" t="str">
            <v>U</v>
          </cell>
          <cell r="I147">
            <v>6.0536000000000003</v>
          </cell>
          <cell r="M147">
            <v>5.9695999999999998</v>
          </cell>
        </row>
        <row r="148">
          <cell r="B148" t="str">
            <v>F31149</v>
          </cell>
          <cell r="C148" t="str">
            <v>AAW</v>
          </cell>
          <cell r="D148" t="str">
            <v>4M51F31149AAW</v>
          </cell>
          <cell r="E148" t="str">
            <v>Panel Bodyside Trim RR LH (4dr)</v>
          </cell>
          <cell r="F148">
            <v>118</v>
          </cell>
          <cell r="G148" t="str">
            <v>U</v>
          </cell>
          <cell r="I148">
            <v>6.0536000000000003</v>
          </cell>
          <cell r="M148">
            <v>5.9695999999999998</v>
          </cell>
        </row>
        <row r="149">
          <cell r="B149" t="str">
            <v>N31148</v>
          </cell>
          <cell r="C149" t="str">
            <v>AAW</v>
          </cell>
          <cell r="D149" t="str">
            <v>4M51N31148AAW</v>
          </cell>
          <cell r="E149" t="str">
            <v>Panel Bodyside Trim RR RH (Wgn)</v>
          </cell>
          <cell r="F149">
            <v>119</v>
          </cell>
          <cell r="G149" t="str">
            <v>U</v>
          </cell>
          <cell r="I149">
            <v>10.534000000000001</v>
          </cell>
          <cell r="K149">
            <v>10.477499999999999</v>
          </cell>
          <cell r="M149">
            <v>10.477499999999999</v>
          </cell>
        </row>
        <row r="150">
          <cell r="B150" t="str">
            <v>N31149</v>
          </cell>
          <cell r="C150" t="str">
            <v>AAW</v>
          </cell>
          <cell r="D150" t="str">
            <v>4M51N31149AAW</v>
          </cell>
          <cell r="E150" t="str">
            <v>Panel Bodyside Trim RR LH (Wgn)</v>
          </cell>
          <cell r="F150">
            <v>120</v>
          </cell>
          <cell r="G150" t="str">
            <v>U</v>
          </cell>
          <cell r="I150">
            <v>12.696899999999999</v>
          </cell>
          <cell r="K150">
            <v>12.6287</v>
          </cell>
          <cell r="M150">
            <v>12.6287</v>
          </cell>
        </row>
        <row r="151">
          <cell r="B151" t="str">
            <v>R13065</v>
          </cell>
          <cell r="C151" t="str">
            <v>ACW</v>
          </cell>
          <cell r="D151" t="str">
            <v>3M51R13065ACW</v>
          </cell>
          <cell r="E151" t="str">
            <v>Carpet Asy-Aux Floor Rear MFV</v>
          </cell>
          <cell r="F151">
            <v>121</v>
          </cell>
          <cell r="G151" t="str">
            <v>U</v>
          </cell>
          <cell r="I151">
            <v>12.196899999999999</v>
          </cell>
          <cell r="K151">
            <v>12.3344</v>
          </cell>
          <cell r="M151">
            <v>11.711399999999999</v>
          </cell>
        </row>
        <row r="152">
          <cell r="B152" t="str">
            <v>A13065</v>
          </cell>
          <cell r="C152" t="str">
            <v>AAW</v>
          </cell>
          <cell r="D152" t="str">
            <v>4M51A13065AAW</v>
          </cell>
          <cell r="E152" t="str">
            <v>Carpet Asy-Aux Floor Rear 3/5dr Mini</v>
          </cell>
          <cell r="F152">
            <v>122</v>
          </cell>
          <cell r="G152" t="str">
            <v>U</v>
          </cell>
          <cell r="I152">
            <v>11.0436</v>
          </cell>
          <cell r="K152">
            <v>11.2944</v>
          </cell>
          <cell r="M152">
            <v>11.2944</v>
          </cell>
        </row>
        <row r="153">
          <cell r="B153" t="str">
            <v>A13065</v>
          </cell>
          <cell r="C153" t="str">
            <v>BAW</v>
          </cell>
          <cell r="D153" t="str">
            <v>4M51A13065BAW</v>
          </cell>
          <cell r="E153" t="str">
            <v>Carpet Asy-Aux Floor Rear 3/5dr Full</v>
          </cell>
          <cell r="F153">
            <v>123</v>
          </cell>
          <cell r="G153" t="str">
            <v>U</v>
          </cell>
          <cell r="M153">
            <v>11.2944</v>
          </cell>
        </row>
        <row r="154">
          <cell r="B154" t="str">
            <v>N13065</v>
          </cell>
          <cell r="C154" t="str">
            <v>AAW</v>
          </cell>
          <cell r="D154" t="str">
            <v>4M51N13065AAW</v>
          </cell>
          <cell r="E154" t="str">
            <v>Carpet Asy Aux Floor Rear Wgn</v>
          </cell>
          <cell r="F154">
            <v>124</v>
          </cell>
          <cell r="G154" t="str">
            <v>U</v>
          </cell>
          <cell r="I154">
            <v>13.760199999999999</v>
          </cell>
          <cell r="K154">
            <v>13.760199999999999</v>
          </cell>
          <cell r="M154">
            <v>13.760199999999999</v>
          </cell>
        </row>
        <row r="155">
          <cell r="B155" t="str">
            <v>F40706</v>
          </cell>
          <cell r="C155" t="str">
            <v>AA</v>
          </cell>
          <cell r="D155" t="str">
            <v>4M51F40706AA</v>
          </cell>
          <cell r="E155" t="str">
            <v>Decklid Trim Cvr</v>
          </cell>
          <cell r="F155">
            <v>125</v>
          </cell>
          <cell r="G155" t="str">
            <v>U</v>
          </cell>
          <cell r="I155">
            <v>3.7439</v>
          </cell>
          <cell r="M155">
            <v>3.6920000000000002</v>
          </cell>
        </row>
        <row r="156">
          <cell r="B156" t="str">
            <v>A11168</v>
          </cell>
          <cell r="C156" t="str">
            <v>AA</v>
          </cell>
          <cell r="D156" t="str">
            <v>4M51A11168AA</v>
          </cell>
          <cell r="E156" t="str">
            <v>Insulator Lugg Comp't Floor  RH</v>
          </cell>
          <cell r="F156">
            <v>126</v>
          </cell>
          <cell r="G156" t="str">
            <v>U</v>
          </cell>
          <cell r="M156">
            <v>4.2080000000000002</v>
          </cell>
        </row>
        <row r="157">
          <cell r="B157" t="str">
            <v>A11169</v>
          </cell>
          <cell r="C157" t="str">
            <v>AA</v>
          </cell>
          <cell r="D157" t="str">
            <v>4M51A11169AA</v>
          </cell>
          <cell r="E157" t="str">
            <v>Insulator Lugg Comp't Floor  LH</v>
          </cell>
          <cell r="F157">
            <v>127</v>
          </cell>
          <cell r="G157" t="str">
            <v>U</v>
          </cell>
          <cell r="M157">
            <v>4.3209999999999997</v>
          </cell>
        </row>
        <row r="158">
          <cell r="B158" t="str">
            <v>1K302</v>
          </cell>
          <cell r="C158" t="str">
            <v>AA</v>
          </cell>
          <cell r="D158" t="str">
            <v>4M511K302AA</v>
          </cell>
          <cell r="E158" t="str">
            <v>Pad Spare Wheel Insulator</v>
          </cell>
          <cell r="F158">
            <v>128</v>
          </cell>
          <cell r="G158" t="str">
            <v>U</v>
          </cell>
          <cell r="M158">
            <v>1.6519999999999999</v>
          </cell>
        </row>
        <row r="162">
          <cell r="B162" t="str">
            <v>N11578</v>
          </cell>
          <cell r="C162" t="str">
            <v>AA</v>
          </cell>
          <cell r="D162" t="str">
            <v>4M51N11578AA</v>
          </cell>
          <cell r="E162" t="str">
            <v>Panel Asy Aux Flr RR (Wgn)</v>
          </cell>
          <cell r="F162">
            <v>129</v>
          </cell>
          <cell r="G162" t="str">
            <v>U</v>
          </cell>
          <cell r="I162">
            <v>20.305800000000001</v>
          </cell>
          <cell r="K162">
            <v>20.1968</v>
          </cell>
          <cell r="M162">
            <v>20.1968</v>
          </cell>
        </row>
      </sheetData>
      <sheetData sheetId="2" refreshError="1"/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&amp; Values"/>
      <sheetName val="Coldrolled"/>
      <sheetName val="Hotrolled"/>
      <sheetName val="Hot-Dipped"/>
      <sheetName val="Elo-Zinc Coated"/>
      <sheetName val="T E P Prices"/>
      <sheetName val="Exchange"/>
      <sheetName val="Variance"/>
      <sheetName val="Ref Base"/>
      <sheetName val="Variable"/>
      <sheetName val="Fix &amp; None Var"/>
      <sheetName val="Module1"/>
      <sheetName val="Galvannealed"/>
      <sheetName val="Prices C214_C30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2">
          <cell r="B12" t="str">
            <v>2B</v>
          </cell>
          <cell r="C12" t="str">
            <v>DEM</v>
          </cell>
          <cell r="D12">
            <v>1</v>
          </cell>
        </row>
        <row r="13">
          <cell r="B13" t="str">
            <v>3B</v>
          </cell>
          <cell r="C13" t="str">
            <v>DEM</v>
          </cell>
          <cell r="D13">
            <v>1</v>
          </cell>
        </row>
        <row r="14">
          <cell r="B14" t="str">
            <v>1K</v>
          </cell>
          <cell r="C14" t="str">
            <v>DEM</v>
          </cell>
          <cell r="D14">
            <v>1</v>
          </cell>
        </row>
        <row r="15">
          <cell r="B15" t="str">
            <v>V</v>
          </cell>
          <cell r="C15" t="str">
            <v>ESP</v>
          </cell>
          <cell r="D15">
            <v>1.1754799999999999E-2</v>
          </cell>
        </row>
        <row r="16">
          <cell r="B16" t="str">
            <v>HC</v>
          </cell>
          <cell r="C16" t="str">
            <v>GBP</v>
          </cell>
          <cell r="D16">
            <v>3.1520779999999999</v>
          </cell>
        </row>
        <row r="17">
          <cell r="B17" t="str">
            <v>HD</v>
          </cell>
          <cell r="C17" t="str">
            <v>GBP</v>
          </cell>
          <cell r="D17">
            <v>3.1520779999999999</v>
          </cell>
        </row>
        <row r="18">
          <cell r="B18" t="str">
            <v>HF</v>
          </cell>
          <cell r="C18" t="str">
            <v>GBP</v>
          </cell>
          <cell r="D18">
            <v>3.1520779999999999</v>
          </cell>
        </row>
        <row r="19">
          <cell r="B19" t="str">
            <v>HFG</v>
          </cell>
          <cell r="C19" t="str">
            <v>GBP</v>
          </cell>
          <cell r="D19">
            <v>3.1520779999999999</v>
          </cell>
        </row>
        <row r="20">
          <cell r="B20" t="str">
            <v xml:space="preserve"> </v>
          </cell>
          <cell r="C20" t="str">
            <v>DEM</v>
          </cell>
          <cell r="D20">
            <v>1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27432" tIns="2286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27432" tIns="2286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lxie5@ford.com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117" Type="http://schemas.openxmlformats.org/officeDocument/2006/relationships/ctrlProp" Target="../ctrlProps/ctrlProp3.xml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84" Type="http://schemas.openxmlformats.org/officeDocument/2006/relationships/printerSettings" Target="../printerSettings/printerSettings84.bin"/><Relationship Id="rId89" Type="http://schemas.openxmlformats.org/officeDocument/2006/relationships/printerSettings" Target="../printerSettings/printerSettings89.bin"/><Relationship Id="rId112" Type="http://schemas.openxmlformats.org/officeDocument/2006/relationships/printerSettings" Target="../printerSettings/printerSettings112.bin"/><Relationship Id="rId16" Type="http://schemas.openxmlformats.org/officeDocument/2006/relationships/printerSettings" Target="../printerSettings/printerSettings16.bin"/><Relationship Id="rId107" Type="http://schemas.openxmlformats.org/officeDocument/2006/relationships/printerSettings" Target="../printerSettings/printerSettings107.bin"/><Relationship Id="rId11" Type="http://schemas.openxmlformats.org/officeDocument/2006/relationships/printerSettings" Target="../printerSettings/printerSettings11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74" Type="http://schemas.openxmlformats.org/officeDocument/2006/relationships/printerSettings" Target="../printerSettings/printerSettings74.bin"/><Relationship Id="rId79" Type="http://schemas.openxmlformats.org/officeDocument/2006/relationships/printerSettings" Target="../printerSettings/printerSettings79.bin"/><Relationship Id="rId102" Type="http://schemas.openxmlformats.org/officeDocument/2006/relationships/printerSettings" Target="../printerSettings/printerSettings102.bin"/><Relationship Id="rId123" Type="http://schemas.openxmlformats.org/officeDocument/2006/relationships/comments" Target="../comments1.xml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82" Type="http://schemas.openxmlformats.org/officeDocument/2006/relationships/printerSettings" Target="../printerSettings/printerSettings82.bin"/><Relationship Id="rId90" Type="http://schemas.openxmlformats.org/officeDocument/2006/relationships/printerSettings" Target="../printerSettings/printerSettings90.bin"/><Relationship Id="rId95" Type="http://schemas.openxmlformats.org/officeDocument/2006/relationships/printerSettings" Target="../printerSettings/printerSettings95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printerSettings" Target="../printerSettings/printerSettings77.bin"/><Relationship Id="rId100" Type="http://schemas.openxmlformats.org/officeDocument/2006/relationships/printerSettings" Target="../printerSettings/printerSettings100.bin"/><Relationship Id="rId105" Type="http://schemas.openxmlformats.org/officeDocument/2006/relationships/printerSettings" Target="../printerSettings/printerSettings105.bin"/><Relationship Id="rId113" Type="http://schemas.openxmlformats.org/officeDocument/2006/relationships/drawing" Target="../drawings/drawing1.xml"/><Relationship Id="rId118" Type="http://schemas.openxmlformats.org/officeDocument/2006/relationships/ctrlProp" Target="../ctrlProps/ctrlProp4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80" Type="http://schemas.openxmlformats.org/officeDocument/2006/relationships/printerSettings" Target="../printerSettings/printerSettings80.bin"/><Relationship Id="rId85" Type="http://schemas.openxmlformats.org/officeDocument/2006/relationships/printerSettings" Target="../printerSettings/printerSettings85.bin"/><Relationship Id="rId93" Type="http://schemas.openxmlformats.org/officeDocument/2006/relationships/printerSettings" Target="../printerSettings/printerSettings93.bin"/><Relationship Id="rId98" Type="http://schemas.openxmlformats.org/officeDocument/2006/relationships/printerSettings" Target="../printerSettings/printerSettings98.bin"/><Relationship Id="rId121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103" Type="http://schemas.openxmlformats.org/officeDocument/2006/relationships/printerSettings" Target="../printerSettings/printerSettings103.bin"/><Relationship Id="rId108" Type="http://schemas.openxmlformats.org/officeDocument/2006/relationships/printerSettings" Target="../printerSettings/printerSettings108.bin"/><Relationship Id="rId116" Type="http://schemas.openxmlformats.org/officeDocument/2006/relationships/ctrlProp" Target="../ctrlProps/ctrlProp2.xml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83" Type="http://schemas.openxmlformats.org/officeDocument/2006/relationships/printerSettings" Target="../printerSettings/printerSettings83.bin"/><Relationship Id="rId88" Type="http://schemas.openxmlformats.org/officeDocument/2006/relationships/printerSettings" Target="../printerSettings/printerSettings88.bin"/><Relationship Id="rId91" Type="http://schemas.openxmlformats.org/officeDocument/2006/relationships/printerSettings" Target="../printerSettings/printerSettings91.bin"/><Relationship Id="rId96" Type="http://schemas.openxmlformats.org/officeDocument/2006/relationships/printerSettings" Target="../printerSettings/printerSettings96.bin"/><Relationship Id="rId111" Type="http://schemas.openxmlformats.org/officeDocument/2006/relationships/printerSettings" Target="../printerSettings/printerSettings111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6" Type="http://schemas.openxmlformats.org/officeDocument/2006/relationships/printerSettings" Target="../printerSettings/printerSettings106.bin"/><Relationship Id="rId114" Type="http://schemas.openxmlformats.org/officeDocument/2006/relationships/vmlDrawing" Target="../drawings/vmlDrawing1.vml"/><Relationship Id="rId119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78" Type="http://schemas.openxmlformats.org/officeDocument/2006/relationships/printerSettings" Target="../printerSettings/printerSettings78.bin"/><Relationship Id="rId81" Type="http://schemas.openxmlformats.org/officeDocument/2006/relationships/printerSettings" Target="../printerSettings/printerSettings81.bin"/><Relationship Id="rId86" Type="http://schemas.openxmlformats.org/officeDocument/2006/relationships/printerSettings" Target="../printerSettings/printerSettings86.bin"/><Relationship Id="rId94" Type="http://schemas.openxmlformats.org/officeDocument/2006/relationships/printerSettings" Target="../printerSettings/printerSettings94.bin"/><Relationship Id="rId99" Type="http://schemas.openxmlformats.org/officeDocument/2006/relationships/printerSettings" Target="../printerSettings/printerSettings99.bin"/><Relationship Id="rId101" Type="http://schemas.openxmlformats.org/officeDocument/2006/relationships/printerSettings" Target="../printerSettings/printerSettings101.bin"/><Relationship Id="rId122" Type="http://schemas.openxmlformats.org/officeDocument/2006/relationships/ctrlProp" Target="../ctrlProps/ctrlProp8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109" Type="http://schemas.openxmlformats.org/officeDocument/2006/relationships/printerSettings" Target="../printerSettings/printerSettings10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97" Type="http://schemas.openxmlformats.org/officeDocument/2006/relationships/printerSettings" Target="../printerSettings/printerSettings97.bin"/><Relationship Id="rId104" Type="http://schemas.openxmlformats.org/officeDocument/2006/relationships/printerSettings" Target="../printerSettings/printerSettings104.bin"/><Relationship Id="rId120" Type="http://schemas.openxmlformats.org/officeDocument/2006/relationships/ctrlProp" Target="../ctrlProps/ctrlProp6.xml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92" Type="http://schemas.openxmlformats.org/officeDocument/2006/relationships/printerSettings" Target="../printerSettings/printerSettings92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Relationship Id="rId24" Type="http://schemas.openxmlformats.org/officeDocument/2006/relationships/printerSettings" Target="../printerSettings/printerSettings24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66" Type="http://schemas.openxmlformats.org/officeDocument/2006/relationships/printerSettings" Target="../printerSettings/printerSettings66.bin"/><Relationship Id="rId87" Type="http://schemas.openxmlformats.org/officeDocument/2006/relationships/printerSettings" Target="../printerSettings/printerSettings87.bin"/><Relationship Id="rId110" Type="http://schemas.openxmlformats.org/officeDocument/2006/relationships/printerSettings" Target="../printerSettings/printerSettings110.bin"/><Relationship Id="rId115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2:I50"/>
  <sheetViews>
    <sheetView showGridLines="0" showZeros="0" topLeftCell="B1" workbookViewId="0">
      <selection activeCell="L16" sqref="L16"/>
    </sheetView>
  </sheetViews>
  <sheetFormatPr defaultColWidth="9.109375" defaultRowHeight="12"/>
  <cols>
    <col min="1" max="2" width="9.109375" style="177"/>
    <col min="3" max="3" width="11" style="177" customWidth="1"/>
    <col min="4" max="4" width="23.88671875" style="177" customWidth="1"/>
    <col min="5" max="5" width="12.44140625" style="177" customWidth="1"/>
    <col min="6" max="6" width="21.88671875" style="177" customWidth="1"/>
    <col min="7" max="7" width="3.88671875" style="177" customWidth="1"/>
    <col min="8" max="8" width="20.33203125" style="177" bestFit="1" customWidth="1"/>
    <col min="9" max="9" width="28.33203125" style="177" bestFit="1" customWidth="1"/>
    <col min="10" max="16384" width="9.109375" style="177"/>
  </cols>
  <sheetData>
    <row r="2" spans="3:9">
      <c r="C2" s="180" t="s">
        <v>187</v>
      </c>
    </row>
    <row r="3" spans="3:9" ht="13.2">
      <c r="C3" s="181" t="s">
        <v>185</v>
      </c>
      <c r="D3" s="223" t="s">
        <v>973</v>
      </c>
      <c r="E3" s="181" t="s">
        <v>186</v>
      </c>
      <c r="F3" s="223"/>
      <c r="H3" s="181" t="s">
        <v>188</v>
      </c>
      <c r="I3" s="177" t="s">
        <v>1191</v>
      </c>
    </row>
    <row r="4" spans="3:9">
      <c r="D4" s="178"/>
      <c r="F4" s="178"/>
      <c r="H4" s="181" t="s">
        <v>189</v>
      </c>
      <c r="I4" s="177" t="s">
        <v>1190</v>
      </c>
    </row>
    <row r="5" spans="3:9">
      <c r="D5" s="178"/>
      <c r="F5" s="178"/>
      <c r="H5" s="181" t="s">
        <v>190</v>
      </c>
      <c r="I5" s="177" t="s">
        <v>191</v>
      </c>
    </row>
    <row r="6" spans="3:9">
      <c r="D6" s="178"/>
      <c r="F6" s="178"/>
      <c r="H6" s="181" t="s">
        <v>192</v>
      </c>
      <c r="I6" s="177" t="s">
        <v>1192</v>
      </c>
    </row>
    <row r="7" spans="3:9">
      <c r="D7" s="178"/>
      <c r="F7" s="178"/>
    </row>
    <row r="8" spans="3:9">
      <c r="D8" s="178"/>
      <c r="F8" s="178"/>
      <c r="H8" s="181" t="s">
        <v>193</v>
      </c>
      <c r="I8" s="177" t="s">
        <v>195</v>
      </c>
    </row>
    <row r="9" spans="3:9">
      <c r="D9" s="178"/>
      <c r="F9" s="178"/>
      <c r="H9" s="181" t="s">
        <v>194</v>
      </c>
      <c r="I9" s="177" t="s">
        <v>1193</v>
      </c>
    </row>
    <row r="10" spans="3:9" ht="13.2">
      <c r="D10" s="223"/>
      <c r="F10" s="178"/>
      <c r="H10" s="181"/>
    </row>
    <row r="11" spans="3:9">
      <c r="D11" s="179"/>
      <c r="F11" s="179"/>
      <c r="H11" s="181"/>
    </row>
    <row r="12" spans="3:9">
      <c r="D12" s="179"/>
      <c r="F12" s="179"/>
    </row>
    <row r="13" spans="3:9">
      <c r="D13" s="179"/>
      <c r="F13" s="179"/>
    </row>
    <row r="14" spans="3:9">
      <c r="D14" s="179"/>
      <c r="F14" s="179"/>
    </row>
    <row r="15" spans="3:9">
      <c r="D15" s="179"/>
      <c r="F15" s="179"/>
      <c r="H15" s="177" t="s">
        <v>246</v>
      </c>
    </row>
    <row r="16" spans="3:9">
      <c r="D16" s="179"/>
      <c r="F16" s="179"/>
    </row>
    <row r="17" spans="4:9">
      <c r="D17" s="179"/>
      <c r="F17" s="179"/>
      <c r="H17" s="178"/>
      <c r="I17" s="178"/>
    </row>
    <row r="18" spans="4:9">
      <c r="D18" s="179"/>
      <c r="F18" s="179"/>
      <c r="H18" s="178"/>
      <c r="I18" s="178"/>
    </row>
    <row r="19" spans="4:9">
      <c r="D19" s="179"/>
      <c r="F19" s="179"/>
      <c r="H19" s="178"/>
      <c r="I19" s="178"/>
    </row>
    <row r="20" spans="4:9">
      <c r="D20" s="179"/>
      <c r="F20" s="179"/>
      <c r="H20" s="178"/>
      <c r="I20" s="178"/>
    </row>
    <row r="21" spans="4:9">
      <c r="D21" s="179"/>
      <c r="F21" s="179"/>
      <c r="H21" s="178"/>
      <c r="I21" s="178"/>
    </row>
    <row r="22" spans="4:9">
      <c r="D22" s="179"/>
      <c r="F22" s="179"/>
      <c r="H22" s="178"/>
      <c r="I22" s="178"/>
    </row>
    <row r="23" spans="4:9">
      <c r="D23" s="179"/>
      <c r="F23" s="179"/>
      <c r="H23" s="178"/>
      <c r="I23" s="178"/>
    </row>
    <row r="24" spans="4:9">
      <c r="D24" s="179"/>
      <c r="F24" s="179"/>
      <c r="I24" s="178"/>
    </row>
    <row r="25" spans="4:9">
      <c r="D25" s="179"/>
      <c r="F25" s="179"/>
    </row>
    <row r="26" spans="4:9">
      <c r="D26" s="179"/>
      <c r="F26" s="179"/>
    </row>
    <row r="27" spans="4:9">
      <c r="D27" s="179"/>
      <c r="F27" s="179"/>
    </row>
    <row r="28" spans="4:9">
      <c r="D28" s="179"/>
      <c r="F28" s="179"/>
    </row>
    <row r="29" spans="4:9">
      <c r="D29" s="179"/>
      <c r="F29" s="179"/>
    </row>
    <row r="30" spans="4:9">
      <c r="D30" s="179"/>
      <c r="F30" s="179"/>
    </row>
    <row r="31" spans="4:9">
      <c r="D31" s="179"/>
      <c r="F31" s="179"/>
    </row>
    <row r="32" spans="4:9">
      <c r="D32" s="179"/>
      <c r="F32" s="179"/>
    </row>
    <row r="33" spans="4:6">
      <c r="D33" s="179"/>
      <c r="F33" s="179"/>
    </row>
    <row r="34" spans="4:6">
      <c r="D34" s="179"/>
      <c r="F34" s="179"/>
    </row>
    <row r="35" spans="4:6">
      <c r="D35" s="179"/>
      <c r="F35" s="179"/>
    </row>
    <row r="36" spans="4:6">
      <c r="D36" s="179"/>
      <c r="F36" s="179"/>
    </row>
    <row r="37" spans="4:6">
      <c r="D37" s="179"/>
      <c r="F37" s="179"/>
    </row>
    <row r="38" spans="4:6">
      <c r="D38" s="179"/>
      <c r="F38" s="179"/>
    </row>
    <row r="39" spans="4:6">
      <c r="D39" s="179"/>
      <c r="F39" s="179"/>
    </row>
    <row r="40" spans="4:6">
      <c r="D40" s="179"/>
      <c r="F40" s="179"/>
    </row>
    <row r="41" spans="4:6">
      <c r="D41" s="179"/>
      <c r="F41" s="179"/>
    </row>
    <row r="42" spans="4:6">
      <c r="D42" s="179"/>
      <c r="F42" s="179"/>
    </row>
    <row r="43" spans="4:6">
      <c r="D43" s="179"/>
      <c r="F43" s="179"/>
    </row>
    <row r="44" spans="4:6">
      <c r="D44" s="179"/>
      <c r="F44" s="179"/>
    </row>
    <row r="45" spans="4:6">
      <c r="D45" s="179"/>
      <c r="F45" s="179"/>
    </row>
    <row r="46" spans="4:6">
      <c r="D46" s="179"/>
      <c r="F46" s="179"/>
    </row>
    <row r="47" spans="4:6">
      <c r="D47" s="179"/>
      <c r="F47" s="179"/>
    </row>
    <row r="48" spans="4:6">
      <c r="D48" s="179"/>
      <c r="F48" s="179"/>
    </row>
    <row r="49" spans="4:6">
      <c r="D49" s="179"/>
      <c r="F49" s="179"/>
    </row>
    <row r="50" spans="4:6">
      <c r="D50" s="179"/>
      <c r="F50" s="179"/>
    </row>
  </sheetData>
  <phoneticPr fontId="52" type="noConversion"/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F659"/>
  <sheetViews>
    <sheetView tabSelected="1" topLeftCell="F130" zoomScale="85" zoomScaleNormal="85" zoomScaleSheetLayoutView="85" workbookViewId="0">
      <selection activeCell="S145" sqref="S145"/>
    </sheetView>
  </sheetViews>
  <sheetFormatPr defaultColWidth="9.109375" defaultRowHeight="13.2" outlineLevelCol="1"/>
  <cols>
    <col min="1" max="1" width="10" style="3" customWidth="1"/>
    <col min="2" max="2" width="12.44140625" style="3" customWidth="1"/>
    <col min="3" max="3" width="26.5546875" style="3" customWidth="1"/>
    <col min="4" max="4" width="9.33203125" style="3" customWidth="1"/>
    <col min="5" max="5" width="8.6640625" style="3" customWidth="1"/>
    <col min="6" max="6" width="14.5546875" style="3" customWidth="1"/>
    <col min="7" max="7" width="13.5546875" style="3" customWidth="1"/>
    <col min="8" max="8" width="14.88671875" style="3" customWidth="1"/>
    <col min="9" max="9" width="14" style="5" customWidth="1"/>
    <col min="10" max="13" width="12.44140625" style="3" hidden="1" customWidth="1" outlineLevel="1"/>
    <col min="14" max="14" width="18.6640625" style="54" hidden="1" customWidth="1" outlineLevel="1"/>
    <col min="15" max="15" width="17.44140625" style="3" customWidth="1" collapsed="1"/>
    <col min="16" max="16" width="17.33203125" style="3" customWidth="1"/>
    <col min="17" max="17" width="14.33203125" style="59" customWidth="1"/>
    <col min="18" max="18" width="26.88671875" style="3" customWidth="1"/>
    <col min="19" max="19" width="13.109375" style="7" customWidth="1" outlineLevel="1"/>
    <col min="20" max="20" width="12" style="4" customWidth="1" outlineLevel="1"/>
    <col min="21" max="21" width="11.109375" style="4" customWidth="1" outlineLevel="1"/>
    <col min="22" max="22" width="9.6640625" style="61" customWidth="1" outlineLevel="1"/>
    <col min="23" max="23" width="14.109375" style="4" customWidth="1"/>
    <col min="24" max="24" width="13.5546875" style="4" customWidth="1"/>
    <col min="25" max="25" width="13" style="4" customWidth="1"/>
    <col min="26" max="26" width="16.44140625" style="54" customWidth="1"/>
    <col min="27" max="27" width="18.109375" style="3" customWidth="1"/>
    <col min="28" max="28" width="21.6640625" style="3" customWidth="1"/>
    <col min="29" max="29" width="15.5546875" style="3" customWidth="1" outlineLevel="1"/>
    <col min="30" max="30" width="10.33203125" style="3" customWidth="1" outlineLevel="1"/>
    <col min="31" max="31" width="13.44140625" style="3" customWidth="1" outlineLevel="1"/>
    <col min="32" max="32" width="10" style="3" customWidth="1" outlineLevel="1"/>
    <col min="33" max="33" width="11.44140625" style="3" customWidth="1" outlineLevel="1"/>
    <col min="34" max="34" width="10" style="3" customWidth="1" outlineLevel="1"/>
    <col min="35" max="81" width="9.109375" style="3"/>
    <col min="82" max="82" width="17.109375" style="3" bestFit="1" customWidth="1"/>
    <col min="83" max="16384" width="9.109375" style="3"/>
  </cols>
  <sheetData>
    <row r="1" spans="1:84" s="1" customFormat="1" ht="30.75" customHeight="1">
      <c r="A1" s="377" t="s">
        <v>1195</v>
      </c>
      <c r="B1" s="378"/>
      <c r="C1" s="378"/>
      <c r="D1" s="378"/>
      <c r="E1" s="378"/>
      <c r="F1" s="379"/>
      <c r="G1" s="33" t="s">
        <v>268</v>
      </c>
      <c r="H1" s="33" t="s">
        <v>47</v>
      </c>
      <c r="I1" s="42" t="s">
        <v>269</v>
      </c>
      <c r="J1" s="66">
        <f>COUNTIF(J5:J850,"Y")</f>
        <v>0</v>
      </c>
      <c r="K1" s="66">
        <f>COUNTIF(K5:K850,"Y")</f>
        <v>0</v>
      </c>
      <c r="L1" s="66">
        <f>COUNTIF(H5:H850,"Y")</f>
        <v>226</v>
      </c>
      <c r="M1" s="67">
        <f>(L1-J1)/L1</f>
        <v>1</v>
      </c>
      <c r="N1" s="67">
        <f>(L1-K1)/L1</f>
        <v>1</v>
      </c>
      <c r="O1" s="47"/>
      <c r="P1" s="48"/>
      <c r="Q1" s="57"/>
      <c r="R1" s="22"/>
      <c r="S1" s="55">
        <v>43175</v>
      </c>
      <c r="T1" s="135">
        <f>S1+7</f>
        <v>43182</v>
      </c>
      <c r="U1" s="136">
        <f>T1+7</f>
        <v>43189</v>
      </c>
      <c r="V1" s="60"/>
      <c r="W1" s="28"/>
      <c r="X1" s="138"/>
      <c r="Y1" s="26"/>
      <c r="Z1" s="26"/>
      <c r="AA1" s="26"/>
      <c r="AB1" s="165"/>
      <c r="AC1" s="27"/>
      <c r="BK1" s="1">
        <v>1</v>
      </c>
      <c r="CD1" s="137"/>
      <c r="CE1" s="137" t="s">
        <v>72</v>
      </c>
      <c r="CF1" s="137" t="s">
        <v>75</v>
      </c>
    </row>
    <row r="2" spans="1:84" s="1" customFormat="1" ht="27.75" customHeight="1">
      <c r="A2" s="380"/>
      <c r="B2" s="381"/>
      <c r="C2" s="381"/>
      <c r="D2" s="381"/>
      <c r="E2" s="381"/>
      <c r="F2" s="382"/>
      <c r="G2" s="18">
        <v>43278</v>
      </c>
      <c r="H2" s="43">
        <v>43299</v>
      </c>
      <c r="I2" s="43">
        <v>43390</v>
      </c>
      <c r="J2" s="383"/>
      <c r="K2" s="383"/>
      <c r="L2" s="383"/>
      <c r="M2" s="383"/>
      <c r="N2" s="384"/>
      <c r="O2" s="389" t="s">
        <v>26</v>
      </c>
      <c r="P2" s="390"/>
      <c r="Q2" s="391"/>
      <c r="R2" s="392"/>
      <c r="S2" s="385" t="s">
        <v>59</v>
      </c>
      <c r="T2" s="385"/>
      <c r="U2" s="385"/>
      <c r="V2" s="386"/>
      <c r="W2" s="387" t="s">
        <v>60</v>
      </c>
      <c r="X2" s="388"/>
      <c r="Y2" s="388"/>
      <c r="Z2" s="388"/>
      <c r="AA2" s="375" t="s">
        <v>27</v>
      </c>
      <c r="AB2" s="376"/>
      <c r="AC2" s="27"/>
      <c r="CD2" s="137" t="s">
        <v>73</v>
      </c>
      <c r="CE2" s="137">
        <v>1</v>
      </c>
      <c r="CF2" s="137">
        <v>20</v>
      </c>
    </row>
    <row r="3" spans="1:84" s="2" customFormat="1" ht="55.5" customHeight="1" thickBot="1">
      <c r="A3" s="87" t="s">
        <v>20</v>
      </c>
      <c r="B3" s="204" t="s">
        <v>52</v>
      </c>
      <c r="C3" s="204" t="s">
        <v>29</v>
      </c>
      <c r="D3" s="204" t="s">
        <v>21</v>
      </c>
      <c r="E3" s="204" t="s">
        <v>1574</v>
      </c>
      <c r="F3" s="204" t="s">
        <v>11</v>
      </c>
      <c r="G3" s="204" t="s">
        <v>12</v>
      </c>
      <c r="H3" s="205" t="s">
        <v>23</v>
      </c>
      <c r="I3" s="206" t="s">
        <v>24</v>
      </c>
      <c r="J3" s="23" t="s">
        <v>48</v>
      </c>
      <c r="K3" s="23" t="s">
        <v>49</v>
      </c>
      <c r="L3" s="23" t="s">
        <v>19</v>
      </c>
      <c r="M3" s="52" t="s">
        <v>46</v>
      </c>
      <c r="N3" s="24" t="s">
        <v>30</v>
      </c>
      <c r="O3" s="89" t="s">
        <v>16</v>
      </c>
      <c r="P3" s="90" t="s">
        <v>17</v>
      </c>
      <c r="Q3" s="91" t="s">
        <v>45</v>
      </c>
      <c r="R3" s="92" t="s">
        <v>1</v>
      </c>
      <c r="S3" s="93" t="s">
        <v>67</v>
      </c>
      <c r="T3" s="93" t="s">
        <v>54</v>
      </c>
      <c r="U3" s="93" t="s">
        <v>18</v>
      </c>
      <c r="V3" s="94" t="s">
        <v>1572</v>
      </c>
      <c r="W3" s="95" t="s">
        <v>68</v>
      </c>
      <c r="X3" s="41" t="s">
        <v>28</v>
      </c>
      <c r="Y3" s="41" t="s">
        <v>22</v>
      </c>
      <c r="Z3" s="45" t="s">
        <v>32</v>
      </c>
      <c r="AA3" s="213" t="s">
        <v>25</v>
      </c>
      <c r="AB3" s="214" t="s">
        <v>33</v>
      </c>
      <c r="AC3" s="215" t="s">
        <v>2</v>
      </c>
      <c r="AD3" s="2" t="s">
        <v>4</v>
      </c>
      <c r="AE3" s="2" t="s">
        <v>3</v>
      </c>
      <c r="AF3" s="2" t="s">
        <v>14</v>
      </c>
      <c r="AG3" s="216" t="s">
        <v>5</v>
      </c>
      <c r="AH3" s="2" t="s">
        <v>15</v>
      </c>
      <c r="CD3" s="137" t="s">
        <v>74</v>
      </c>
      <c r="CE3" s="137">
        <v>2</v>
      </c>
      <c r="CF3" s="137">
        <v>24</v>
      </c>
    </row>
    <row r="4" spans="1:84" s="2" customFormat="1" ht="17.25" customHeight="1">
      <c r="A4" s="125">
        <f t="shared" ref="A4:AI4" si="0">SUBTOTAL(3,A5:A484)</f>
        <v>446</v>
      </c>
      <c r="B4" s="207">
        <f t="shared" si="0"/>
        <v>298</v>
      </c>
      <c r="C4" s="207">
        <f t="shared" si="0"/>
        <v>331</v>
      </c>
      <c r="D4" s="207">
        <f t="shared" si="0"/>
        <v>446</v>
      </c>
      <c r="E4" s="207">
        <f t="shared" si="0"/>
        <v>445</v>
      </c>
      <c r="F4" s="207">
        <f t="shared" si="0"/>
        <v>446</v>
      </c>
      <c r="G4" s="207">
        <f t="shared" si="0"/>
        <v>445</v>
      </c>
      <c r="H4" s="207">
        <f t="shared" si="0"/>
        <v>331</v>
      </c>
      <c r="I4" s="207">
        <f t="shared" si="0"/>
        <v>308</v>
      </c>
      <c r="J4" s="125">
        <f t="shared" si="0"/>
        <v>115</v>
      </c>
      <c r="K4" s="125">
        <f t="shared" si="0"/>
        <v>1</v>
      </c>
      <c r="L4" s="125">
        <f t="shared" si="0"/>
        <v>115</v>
      </c>
      <c r="M4" s="125">
        <f t="shared" si="0"/>
        <v>114</v>
      </c>
      <c r="N4" s="125">
        <f t="shared" si="0"/>
        <v>114</v>
      </c>
      <c r="O4" s="125">
        <f t="shared" si="0"/>
        <v>445</v>
      </c>
      <c r="P4" s="125">
        <f t="shared" si="0"/>
        <v>332</v>
      </c>
      <c r="Q4" s="125">
        <f t="shared" si="0"/>
        <v>332</v>
      </c>
      <c r="R4" s="125">
        <f t="shared" si="0"/>
        <v>193</v>
      </c>
      <c r="S4" s="125">
        <f t="shared" si="0"/>
        <v>446</v>
      </c>
      <c r="T4" s="125">
        <f t="shared" si="0"/>
        <v>446</v>
      </c>
      <c r="U4" s="125">
        <f t="shared" si="0"/>
        <v>124</v>
      </c>
      <c r="V4" s="125">
        <f t="shared" si="0"/>
        <v>160</v>
      </c>
      <c r="W4" s="125">
        <f t="shared" si="0"/>
        <v>446</v>
      </c>
      <c r="X4" s="125">
        <f t="shared" si="0"/>
        <v>446</v>
      </c>
      <c r="Y4" s="125">
        <f t="shared" si="0"/>
        <v>2</v>
      </c>
      <c r="Z4" s="125">
        <f t="shared" si="0"/>
        <v>12</v>
      </c>
      <c r="AA4" s="207">
        <f t="shared" si="0"/>
        <v>46</v>
      </c>
      <c r="AB4" s="207">
        <f t="shared" si="0"/>
        <v>0</v>
      </c>
      <c r="AC4" s="207">
        <f t="shared" si="0"/>
        <v>0</v>
      </c>
      <c r="AD4" s="207">
        <f t="shared" si="0"/>
        <v>0</v>
      </c>
      <c r="AE4" s="207">
        <f t="shared" si="0"/>
        <v>0</v>
      </c>
      <c r="AF4" s="207">
        <f t="shared" si="0"/>
        <v>0</v>
      </c>
      <c r="AG4" s="207">
        <f t="shared" si="0"/>
        <v>0</v>
      </c>
      <c r="AH4" s="207">
        <f t="shared" si="0"/>
        <v>0</v>
      </c>
      <c r="AI4" s="207">
        <f t="shared" si="0"/>
        <v>0</v>
      </c>
      <c r="CD4" s="137" t="s">
        <v>76</v>
      </c>
      <c r="CE4" s="137">
        <v>1</v>
      </c>
      <c r="CF4" s="137">
        <f>VLOOKUP(CE4,CE2:CF3,2,FALSE)</f>
        <v>20</v>
      </c>
    </row>
    <row r="5" spans="1:84" ht="18" customHeight="1">
      <c r="A5" s="139" t="s">
        <v>77</v>
      </c>
      <c r="B5" s="21" t="s">
        <v>271</v>
      </c>
      <c r="C5" s="230" t="s">
        <v>272</v>
      </c>
      <c r="D5" s="21" t="s">
        <v>231</v>
      </c>
      <c r="E5" s="231" t="s">
        <v>273</v>
      </c>
      <c r="F5" s="232" t="s">
        <v>274</v>
      </c>
      <c r="G5" s="231" t="s">
        <v>275</v>
      </c>
      <c r="H5" s="19" t="s">
        <v>61</v>
      </c>
      <c r="I5" s="209">
        <v>4</v>
      </c>
      <c r="J5" s="65"/>
      <c r="K5" s="65"/>
      <c r="L5" s="65"/>
      <c r="M5" s="21"/>
      <c r="N5" s="21"/>
      <c r="O5" s="233" t="s">
        <v>276</v>
      </c>
      <c r="P5" s="234" t="s">
        <v>277</v>
      </c>
      <c r="Q5" s="34" t="s">
        <v>278</v>
      </c>
      <c r="R5" s="235" t="s">
        <v>279</v>
      </c>
      <c r="S5" s="25">
        <v>43192</v>
      </c>
      <c r="T5" s="25">
        <v>43192</v>
      </c>
      <c r="U5" s="25"/>
      <c r="V5" s="236"/>
      <c r="W5" s="25">
        <v>43224</v>
      </c>
      <c r="X5" s="25">
        <v>43224</v>
      </c>
      <c r="Y5" s="25"/>
      <c r="Z5" s="237"/>
      <c r="AA5" s="25" t="s">
        <v>280</v>
      </c>
      <c r="AB5" s="19"/>
      <c r="AH5" s="6"/>
    </row>
    <row r="6" spans="1:84" ht="18" customHeight="1">
      <c r="A6" s="139" t="s">
        <v>78</v>
      </c>
      <c r="B6" s="21" t="s">
        <v>271</v>
      </c>
      <c r="C6" s="230" t="s">
        <v>281</v>
      </c>
      <c r="D6" s="21" t="s">
        <v>231</v>
      </c>
      <c r="E6" s="231" t="s">
        <v>282</v>
      </c>
      <c r="F6" s="232" t="s">
        <v>283</v>
      </c>
      <c r="G6" s="231" t="s">
        <v>248</v>
      </c>
      <c r="H6" s="19" t="s">
        <v>61</v>
      </c>
      <c r="I6" s="209">
        <v>6</v>
      </c>
      <c r="J6" s="65"/>
      <c r="K6" s="65"/>
      <c r="L6" s="65"/>
      <c r="M6" s="15"/>
      <c r="N6" s="15"/>
      <c r="O6" s="238" t="s">
        <v>284</v>
      </c>
      <c r="P6" s="234" t="s">
        <v>285</v>
      </c>
      <c r="Q6" s="34" t="s">
        <v>278</v>
      </c>
      <c r="R6" s="239" t="s">
        <v>286</v>
      </c>
      <c r="S6" s="25">
        <v>43174</v>
      </c>
      <c r="T6" s="25">
        <v>43174</v>
      </c>
      <c r="U6" s="25"/>
      <c r="V6" s="236"/>
      <c r="W6" s="25">
        <v>43224</v>
      </c>
      <c r="X6" s="25">
        <v>43224</v>
      </c>
      <c r="Y6" s="25"/>
      <c r="Z6" s="237"/>
      <c r="AA6" s="25" t="s">
        <v>280</v>
      </c>
      <c r="AD6" s="4"/>
      <c r="AE6" s="4"/>
      <c r="AH6" s="6"/>
    </row>
    <row r="7" spans="1:84" ht="18" customHeight="1">
      <c r="A7" s="139" t="s">
        <v>79</v>
      </c>
      <c r="B7" s="15" t="s">
        <v>287</v>
      </c>
      <c r="C7" s="230" t="s">
        <v>288</v>
      </c>
      <c r="D7" s="21" t="s">
        <v>231</v>
      </c>
      <c r="E7" s="240" t="s">
        <v>289</v>
      </c>
      <c r="F7" s="241" t="s">
        <v>290</v>
      </c>
      <c r="G7" s="240" t="s">
        <v>13</v>
      </c>
      <c r="H7" s="19" t="s">
        <v>61</v>
      </c>
      <c r="I7" s="30">
        <v>8</v>
      </c>
      <c r="J7" s="65"/>
      <c r="K7" s="65"/>
      <c r="L7" s="65"/>
      <c r="M7" s="15"/>
      <c r="N7" s="15"/>
      <c r="O7" s="242" t="s">
        <v>291</v>
      </c>
      <c r="P7" s="231" t="s">
        <v>292</v>
      </c>
      <c r="Q7" s="34" t="s">
        <v>278</v>
      </c>
      <c r="R7" s="239" t="s">
        <v>293</v>
      </c>
      <c r="S7" s="25">
        <v>43160</v>
      </c>
      <c r="T7" s="25">
        <v>43160</v>
      </c>
      <c r="U7" s="25">
        <v>43160</v>
      </c>
      <c r="W7" s="25">
        <v>43224</v>
      </c>
      <c r="X7" s="25">
        <v>43224</v>
      </c>
      <c r="AA7" s="25" t="s">
        <v>280</v>
      </c>
      <c r="AD7" s="4"/>
      <c r="AE7" s="4"/>
      <c r="AH7" s="6"/>
    </row>
    <row r="8" spans="1:84" ht="18" customHeight="1">
      <c r="A8" s="139" t="s">
        <v>80</v>
      </c>
      <c r="B8" s="15" t="s">
        <v>287</v>
      </c>
      <c r="C8" s="230" t="s">
        <v>288</v>
      </c>
      <c r="D8" s="21" t="s">
        <v>231</v>
      </c>
      <c r="E8" s="240" t="s">
        <v>289</v>
      </c>
      <c r="F8" s="241" t="s">
        <v>294</v>
      </c>
      <c r="G8" s="243" t="s">
        <v>13</v>
      </c>
      <c r="H8" s="19" t="s">
        <v>232</v>
      </c>
      <c r="I8" s="30">
        <v>8</v>
      </c>
      <c r="J8" s="65"/>
      <c r="K8" s="65"/>
      <c r="L8" s="65"/>
      <c r="M8" s="15"/>
      <c r="N8" s="15"/>
      <c r="O8" s="242" t="s">
        <v>291</v>
      </c>
      <c r="P8" s="231" t="s">
        <v>295</v>
      </c>
      <c r="Q8" s="34" t="s">
        <v>278</v>
      </c>
      <c r="R8" s="239" t="s">
        <v>293</v>
      </c>
      <c r="S8" s="25">
        <v>43160</v>
      </c>
      <c r="T8" s="25">
        <v>43160</v>
      </c>
      <c r="U8" s="25">
        <v>43160</v>
      </c>
      <c r="W8" s="25">
        <v>43224</v>
      </c>
      <c r="X8" s="25">
        <v>43224</v>
      </c>
      <c r="AA8" s="25" t="s">
        <v>280</v>
      </c>
      <c r="AH8" s="6"/>
    </row>
    <row r="9" spans="1:84" ht="18" customHeight="1">
      <c r="A9" s="139" t="s">
        <v>81</v>
      </c>
      <c r="B9" s="15" t="s">
        <v>296</v>
      </c>
      <c r="C9" s="46" t="s">
        <v>297</v>
      </c>
      <c r="D9" s="21" t="s">
        <v>231</v>
      </c>
      <c r="E9" s="240" t="s">
        <v>298</v>
      </c>
      <c r="F9" s="240" t="s">
        <v>299</v>
      </c>
      <c r="G9" s="243" t="s">
        <v>300</v>
      </c>
      <c r="H9" s="19" t="s">
        <v>61</v>
      </c>
      <c r="I9" s="30">
        <v>6</v>
      </c>
      <c r="J9" s="65"/>
      <c r="K9" s="65"/>
      <c r="L9" s="65"/>
      <c r="M9" s="15"/>
      <c r="N9" s="15"/>
      <c r="O9" s="243" t="s">
        <v>301</v>
      </c>
      <c r="P9" s="244" t="s">
        <v>302</v>
      </c>
      <c r="Q9" s="35" t="s">
        <v>1571</v>
      </c>
      <c r="R9" s="35" t="s">
        <v>303</v>
      </c>
      <c r="S9" s="25">
        <v>43174</v>
      </c>
      <c r="T9" s="25">
        <v>43174</v>
      </c>
      <c r="U9" s="25"/>
      <c r="W9" s="25">
        <v>43224</v>
      </c>
      <c r="X9" s="25">
        <v>43224</v>
      </c>
      <c r="AA9" s="25" t="s">
        <v>280</v>
      </c>
      <c r="AD9" s="4"/>
      <c r="AE9" s="4"/>
      <c r="AH9" s="6"/>
    </row>
    <row r="10" spans="1:84" ht="18" customHeight="1">
      <c r="A10" s="139" t="s">
        <v>82</v>
      </c>
      <c r="B10" s="15" t="s">
        <v>296</v>
      </c>
      <c r="C10" s="46" t="s">
        <v>297</v>
      </c>
      <c r="D10" s="21" t="s">
        <v>231</v>
      </c>
      <c r="E10" s="240" t="s">
        <v>289</v>
      </c>
      <c r="F10" s="240" t="s">
        <v>304</v>
      </c>
      <c r="G10" s="243" t="s">
        <v>65</v>
      </c>
      <c r="H10" s="19" t="s">
        <v>61</v>
      </c>
      <c r="I10" s="30">
        <v>6</v>
      </c>
      <c r="J10" s="65"/>
      <c r="K10" s="65"/>
      <c r="L10" s="65"/>
      <c r="M10" s="15"/>
      <c r="N10" s="15"/>
      <c r="O10" s="243" t="s">
        <v>301</v>
      </c>
      <c r="P10" s="244" t="s">
        <v>302</v>
      </c>
      <c r="Q10" s="35" t="s">
        <v>1571</v>
      </c>
      <c r="R10" s="35" t="s">
        <v>305</v>
      </c>
      <c r="S10" s="25">
        <v>43174</v>
      </c>
      <c r="T10" s="25">
        <v>43174</v>
      </c>
      <c r="U10" s="25"/>
      <c r="W10" s="25">
        <v>43224</v>
      </c>
      <c r="X10" s="25">
        <v>43224</v>
      </c>
      <c r="AA10" s="25" t="s">
        <v>280</v>
      </c>
      <c r="AH10" s="6"/>
    </row>
    <row r="11" spans="1:84" ht="18" customHeight="1">
      <c r="A11" s="139" t="s">
        <v>83</v>
      </c>
      <c r="B11" s="15" t="s">
        <v>306</v>
      </c>
      <c r="C11" s="46" t="s">
        <v>307</v>
      </c>
      <c r="D11" s="21" t="s">
        <v>231</v>
      </c>
      <c r="E11" s="21" t="s">
        <v>308</v>
      </c>
      <c r="F11" s="21" t="s">
        <v>309</v>
      </c>
      <c r="G11" s="21" t="s">
        <v>229</v>
      </c>
      <c r="H11" s="19" t="s">
        <v>61</v>
      </c>
      <c r="I11" s="30">
        <v>6</v>
      </c>
      <c r="J11" s="65"/>
      <c r="K11" s="65"/>
      <c r="L11" s="65"/>
      <c r="M11" s="15"/>
      <c r="N11" s="15"/>
      <c r="O11" s="21" t="s">
        <v>310</v>
      </c>
      <c r="P11" s="21" t="s">
        <v>311</v>
      </c>
      <c r="Q11" s="21" t="s">
        <v>1203</v>
      </c>
      <c r="R11" s="21" t="s">
        <v>312</v>
      </c>
      <c r="S11" s="25">
        <v>43174</v>
      </c>
      <c r="T11" s="25">
        <v>43174</v>
      </c>
      <c r="U11" s="25"/>
      <c r="W11" s="25">
        <v>43224</v>
      </c>
      <c r="X11" s="25">
        <v>43224</v>
      </c>
      <c r="AA11" s="25" t="s">
        <v>280</v>
      </c>
      <c r="AD11" s="4"/>
      <c r="AE11" s="4"/>
      <c r="AH11" s="6"/>
    </row>
    <row r="12" spans="1:84" ht="18" customHeight="1">
      <c r="A12" s="139" t="s">
        <v>84</v>
      </c>
      <c r="B12" s="15" t="s">
        <v>296</v>
      </c>
      <c r="C12" s="46" t="s">
        <v>297</v>
      </c>
      <c r="D12" s="21" t="s">
        <v>231</v>
      </c>
      <c r="E12" s="21" t="s">
        <v>313</v>
      </c>
      <c r="F12" s="21" t="s">
        <v>314</v>
      </c>
      <c r="G12" s="21" t="s">
        <v>237</v>
      </c>
      <c r="H12" s="19" t="s">
        <v>61</v>
      </c>
      <c r="I12" s="5">
        <v>6</v>
      </c>
      <c r="J12" s="65"/>
      <c r="K12" s="65"/>
      <c r="L12" s="65"/>
      <c r="M12" s="15"/>
      <c r="N12" s="15"/>
      <c r="O12" s="21" t="s">
        <v>315</v>
      </c>
      <c r="P12" s="21" t="s">
        <v>316</v>
      </c>
      <c r="Q12" s="21" t="s">
        <v>1203</v>
      </c>
      <c r="R12" s="21" t="s">
        <v>303</v>
      </c>
      <c r="S12" s="25">
        <v>43174</v>
      </c>
      <c r="T12" s="25">
        <v>43174</v>
      </c>
      <c r="U12" s="25"/>
      <c r="W12" s="25">
        <v>43224</v>
      </c>
      <c r="X12" s="25">
        <v>43224</v>
      </c>
      <c r="AA12" s="25" t="s">
        <v>280</v>
      </c>
      <c r="AH12" s="6"/>
    </row>
    <row r="13" spans="1:84" ht="18" customHeight="1">
      <c r="A13" s="139" t="s">
        <v>85</v>
      </c>
      <c r="B13" s="15" t="s">
        <v>317</v>
      </c>
      <c r="C13" s="46" t="s">
        <v>307</v>
      </c>
      <c r="D13" s="21" t="s">
        <v>231</v>
      </c>
      <c r="E13" s="21" t="s">
        <v>313</v>
      </c>
      <c r="F13" s="21" t="s">
        <v>318</v>
      </c>
      <c r="G13" s="21" t="s">
        <v>319</v>
      </c>
      <c r="H13" s="19" t="s">
        <v>61</v>
      </c>
      <c r="I13" s="5">
        <v>8</v>
      </c>
      <c r="J13" s="65"/>
      <c r="K13" s="65"/>
      <c r="L13" s="65"/>
      <c r="M13" s="15"/>
      <c r="N13" s="15"/>
      <c r="O13" s="21" t="s">
        <v>320</v>
      </c>
      <c r="P13" s="21" t="s">
        <v>321</v>
      </c>
      <c r="Q13" s="21" t="s">
        <v>1203</v>
      </c>
      <c r="R13" s="21" t="s">
        <v>312</v>
      </c>
      <c r="S13" s="25">
        <v>43160</v>
      </c>
      <c r="T13" s="25">
        <v>43220</v>
      </c>
      <c r="U13" s="25"/>
      <c r="V13" s="311" t="s">
        <v>1460</v>
      </c>
      <c r="W13" s="25">
        <v>43224</v>
      </c>
      <c r="X13" s="25">
        <v>43230</v>
      </c>
      <c r="AA13" s="25" t="s">
        <v>280</v>
      </c>
      <c r="AH13" s="6"/>
    </row>
    <row r="14" spans="1:84" ht="18" customHeight="1">
      <c r="A14" s="139" t="s">
        <v>86</v>
      </c>
      <c r="B14" s="15" t="s">
        <v>306</v>
      </c>
      <c r="C14" s="46" t="s">
        <v>307</v>
      </c>
      <c r="D14" s="21" t="s">
        <v>231</v>
      </c>
      <c r="E14" s="21" t="s">
        <v>313</v>
      </c>
      <c r="F14" s="21" t="s">
        <v>318</v>
      </c>
      <c r="G14" s="21" t="s">
        <v>322</v>
      </c>
      <c r="H14" s="19" t="s">
        <v>61</v>
      </c>
      <c r="I14" s="5">
        <v>8</v>
      </c>
      <c r="J14" s="65"/>
      <c r="K14" s="65"/>
      <c r="L14" s="65"/>
      <c r="M14" s="15"/>
      <c r="N14" s="15"/>
      <c r="O14" s="21" t="s">
        <v>320</v>
      </c>
      <c r="P14" s="21" t="s">
        <v>323</v>
      </c>
      <c r="Q14" s="21" t="s">
        <v>1203</v>
      </c>
      <c r="R14" s="21" t="s">
        <v>324</v>
      </c>
      <c r="S14" s="25">
        <v>43160</v>
      </c>
      <c r="T14" s="25">
        <v>43221</v>
      </c>
      <c r="U14" s="25"/>
      <c r="V14" s="311" t="s">
        <v>1460</v>
      </c>
      <c r="W14" s="25">
        <v>43224</v>
      </c>
      <c r="X14" s="25">
        <v>43230</v>
      </c>
      <c r="AA14" s="25" t="s">
        <v>280</v>
      </c>
      <c r="AD14" s="4"/>
      <c r="AE14" s="4"/>
      <c r="AH14" s="6"/>
    </row>
    <row r="15" spans="1:84" ht="18" customHeight="1">
      <c r="A15" s="139" t="s">
        <v>87</v>
      </c>
      <c r="B15" s="15" t="s">
        <v>306</v>
      </c>
      <c r="C15" s="46" t="s">
        <v>307</v>
      </c>
      <c r="D15" s="21" t="s">
        <v>231</v>
      </c>
      <c r="E15" s="21" t="s">
        <v>313</v>
      </c>
      <c r="F15" s="21" t="s">
        <v>325</v>
      </c>
      <c r="G15" s="21" t="s">
        <v>319</v>
      </c>
      <c r="H15" s="19" t="s">
        <v>61</v>
      </c>
      <c r="I15" s="5">
        <v>8</v>
      </c>
      <c r="J15" s="65"/>
      <c r="K15" s="65"/>
      <c r="L15" s="65"/>
      <c r="M15" s="15"/>
      <c r="N15" s="15"/>
      <c r="O15" s="21" t="s">
        <v>320</v>
      </c>
      <c r="P15" s="21" t="s">
        <v>326</v>
      </c>
      <c r="Q15" s="21" t="s">
        <v>1203</v>
      </c>
      <c r="R15" s="21" t="s">
        <v>312</v>
      </c>
      <c r="S15" s="25">
        <v>43160</v>
      </c>
      <c r="T15" s="25">
        <v>43222</v>
      </c>
      <c r="U15" s="25"/>
      <c r="V15" s="311" t="s">
        <v>1460</v>
      </c>
      <c r="W15" s="25">
        <v>43224</v>
      </c>
      <c r="X15" s="25">
        <v>43230</v>
      </c>
      <c r="AA15" s="25" t="s">
        <v>280</v>
      </c>
      <c r="AD15" s="4"/>
      <c r="AE15" s="4"/>
      <c r="AH15" s="6"/>
    </row>
    <row r="16" spans="1:84" ht="18" customHeight="1">
      <c r="A16" s="139" t="s">
        <v>88</v>
      </c>
      <c r="B16" s="15" t="s">
        <v>306</v>
      </c>
      <c r="C16" s="46" t="s">
        <v>307</v>
      </c>
      <c r="D16" s="21" t="s">
        <v>231</v>
      </c>
      <c r="E16" s="21" t="s">
        <v>313</v>
      </c>
      <c r="F16" s="21" t="s">
        <v>325</v>
      </c>
      <c r="G16" s="21" t="s">
        <v>322</v>
      </c>
      <c r="H16" s="19" t="s">
        <v>61</v>
      </c>
      <c r="I16" s="5">
        <v>8</v>
      </c>
      <c r="J16" s="65"/>
      <c r="K16" s="65"/>
      <c r="L16" s="65"/>
      <c r="M16" s="15"/>
      <c r="N16" s="15"/>
      <c r="O16" s="310" t="s">
        <v>1210</v>
      </c>
      <c r="P16" s="21" t="s">
        <v>323</v>
      </c>
      <c r="Q16" s="21" t="s">
        <v>1203</v>
      </c>
      <c r="R16" s="21" t="s">
        <v>312</v>
      </c>
      <c r="S16" s="25">
        <v>43160</v>
      </c>
      <c r="T16" s="25">
        <v>43223</v>
      </c>
      <c r="U16" s="25"/>
      <c r="V16" s="311" t="s">
        <v>1460</v>
      </c>
      <c r="W16" s="25">
        <v>43224</v>
      </c>
      <c r="X16" s="25">
        <v>43230</v>
      </c>
      <c r="AA16" s="25" t="s">
        <v>280</v>
      </c>
      <c r="AH16" s="6"/>
    </row>
    <row r="17" spans="1:34" ht="18" customHeight="1">
      <c r="A17" s="139" t="s">
        <v>89</v>
      </c>
      <c r="B17" s="15" t="s">
        <v>327</v>
      </c>
      <c r="C17" s="15" t="s">
        <v>328</v>
      </c>
      <c r="D17" s="21" t="s">
        <v>231</v>
      </c>
      <c r="E17" s="21" t="s">
        <v>329</v>
      </c>
      <c r="F17" s="21" t="s">
        <v>330</v>
      </c>
      <c r="G17" s="21" t="s">
        <v>229</v>
      </c>
      <c r="H17" s="19" t="s">
        <v>61</v>
      </c>
      <c r="I17" s="5">
        <v>6</v>
      </c>
      <c r="J17" s="65"/>
      <c r="K17" s="65"/>
      <c r="L17" s="65"/>
      <c r="M17" s="15"/>
      <c r="N17" s="15"/>
      <c r="O17" s="21" t="s">
        <v>331</v>
      </c>
      <c r="P17" s="21" t="s">
        <v>332</v>
      </c>
      <c r="Q17" s="21" t="s">
        <v>1203</v>
      </c>
      <c r="R17" s="21" t="s">
        <v>333</v>
      </c>
      <c r="S17" s="25">
        <v>43174</v>
      </c>
      <c r="T17" s="25">
        <v>43174</v>
      </c>
      <c r="U17" s="25"/>
      <c r="W17" s="25">
        <v>43224</v>
      </c>
      <c r="X17" s="25">
        <v>43224</v>
      </c>
      <c r="AA17" s="25" t="s">
        <v>334</v>
      </c>
      <c r="AD17" s="4"/>
      <c r="AE17" s="4"/>
      <c r="AH17" s="6"/>
    </row>
    <row r="18" spans="1:34" ht="18" customHeight="1">
      <c r="A18" s="139" t="s">
        <v>90</v>
      </c>
      <c r="B18" s="15" t="s">
        <v>327</v>
      </c>
      <c r="C18" s="15" t="s">
        <v>328</v>
      </c>
      <c r="D18" s="21" t="s">
        <v>231</v>
      </c>
      <c r="E18" s="21" t="s">
        <v>329</v>
      </c>
      <c r="F18" s="21" t="s">
        <v>335</v>
      </c>
      <c r="G18" s="21" t="s">
        <v>229</v>
      </c>
      <c r="H18" s="19" t="s">
        <v>61</v>
      </c>
      <c r="I18" s="5">
        <v>6</v>
      </c>
      <c r="J18" s="65"/>
      <c r="K18" s="65"/>
      <c r="L18" s="65"/>
      <c r="M18" s="15"/>
      <c r="N18" s="15"/>
      <c r="O18" s="21" t="s">
        <v>336</v>
      </c>
      <c r="P18" s="21" t="s">
        <v>332</v>
      </c>
      <c r="Q18" s="21" t="s">
        <v>1203</v>
      </c>
      <c r="R18" s="21" t="s">
        <v>333</v>
      </c>
      <c r="S18" s="25">
        <v>43174</v>
      </c>
      <c r="T18" s="25">
        <v>43174</v>
      </c>
      <c r="U18" s="25"/>
      <c r="W18" s="25">
        <v>43224</v>
      </c>
      <c r="X18" s="25">
        <v>43224</v>
      </c>
      <c r="AA18" s="25" t="s">
        <v>280</v>
      </c>
      <c r="AD18" s="4"/>
      <c r="AE18" s="4"/>
      <c r="AH18" s="6"/>
    </row>
    <row r="19" spans="1:34" ht="18" customHeight="1">
      <c r="A19" s="139" t="s">
        <v>91</v>
      </c>
      <c r="B19" s="15" t="s">
        <v>327</v>
      </c>
      <c r="C19" s="15" t="s">
        <v>328</v>
      </c>
      <c r="D19" s="21" t="s">
        <v>231</v>
      </c>
      <c r="E19" s="21" t="s">
        <v>313</v>
      </c>
      <c r="F19" s="21" t="s">
        <v>337</v>
      </c>
      <c r="G19" s="21" t="s">
        <v>229</v>
      </c>
      <c r="H19" s="19" t="s">
        <v>61</v>
      </c>
      <c r="I19" s="5">
        <v>6</v>
      </c>
      <c r="J19" s="65"/>
      <c r="K19" s="65"/>
      <c r="L19" s="65"/>
      <c r="M19" s="15"/>
      <c r="N19" s="15"/>
      <c r="O19" s="21" t="s">
        <v>338</v>
      </c>
      <c r="P19" s="21" t="s">
        <v>339</v>
      </c>
      <c r="Q19" s="21" t="s">
        <v>1203</v>
      </c>
      <c r="R19" s="21" t="s">
        <v>333</v>
      </c>
      <c r="S19" s="25">
        <v>43174</v>
      </c>
      <c r="T19" s="25">
        <v>43174</v>
      </c>
      <c r="U19" s="25"/>
      <c r="W19" s="25">
        <v>43224</v>
      </c>
      <c r="X19" s="25">
        <v>43224</v>
      </c>
      <c r="AA19" s="25" t="s">
        <v>280</v>
      </c>
      <c r="AH19" s="6"/>
    </row>
    <row r="20" spans="1:34" ht="18" customHeight="1">
      <c r="A20" s="139" t="s">
        <v>92</v>
      </c>
      <c r="B20" s="21" t="s">
        <v>340</v>
      </c>
      <c r="C20" s="230" t="s">
        <v>341</v>
      </c>
      <c r="D20" s="21" t="s">
        <v>231</v>
      </c>
      <c r="E20" s="233" t="s">
        <v>282</v>
      </c>
      <c r="F20" s="245" t="s">
        <v>342</v>
      </c>
      <c r="G20" s="233" t="s">
        <v>6</v>
      </c>
      <c r="H20" s="19" t="s">
        <v>61</v>
      </c>
      <c r="I20" s="209">
        <v>4</v>
      </c>
      <c r="J20" s="65"/>
      <c r="K20" s="65"/>
      <c r="L20" s="65"/>
      <c r="M20" s="21"/>
      <c r="N20" s="21"/>
      <c r="O20" s="242" t="s">
        <v>343</v>
      </c>
      <c r="P20" s="234" t="s">
        <v>344</v>
      </c>
      <c r="Q20" s="34" t="s">
        <v>345</v>
      </c>
      <c r="R20" s="235" t="s">
        <v>233</v>
      </c>
      <c r="S20" s="25">
        <v>43164</v>
      </c>
      <c r="T20" s="25">
        <v>43228</v>
      </c>
      <c r="U20" s="25"/>
      <c r="V20" s="326" t="s">
        <v>1463</v>
      </c>
      <c r="W20" s="25">
        <v>43191</v>
      </c>
      <c r="X20" s="25">
        <v>43255</v>
      </c>
      <c r="Y20" s="25"/>
      <c r="Z20" s="237"/>
      <c r="AA20" s="25" t="s">
        <v>346</v>
      </c>
      <c r="AH20" s="6"/>
    </row>
    <row r="21" spans="1:34" ht="18" customHeight="1">
      <c r="A21" s="139" t="s">
        <v>93</v>
      </c>
      <c r="B21" s="21" t="s">
        <v>340</v>
      </c>
      <c r="C21" s="230" t="s">
        <v>341</v>
      </c>
      <c r="D21" s="21" t="s">
        <v>231</v>
      </c>
      <c r="E21" s="233" t="s">
        <v>347</v>
      </c>
      <c r="F21" s="245" t="s">
        <v>348</v>
      </c>
      <c r="G21" s="233" t="s">
        <v>6</v>
      </c>
      <c r="H21" s="19" t="s">
        <v>61</v>
      </c>
      <c r="I21" s="209">
        <v>4</v>
      </c>
      <c r="J21" s="65"/>
      <c r="K21" s="65"/>
      <c r="L21" s="65"/>
      <c r="M21" s="15"/>
      <c r="N21" s="15"/>
      <c r="O21" s="242" t="s">
        <v>349</v>
      </c>
      <c r="P21" s="234" t="s">
        <v>350</v>
      </c>
      <c r="Q21" s="34" t="s">
        <v>345</v>
      </c>
      <c r="R21" s="235" t="s">
        <v>233</v>
      </c>
      <c r="S21" s="25">
        <v>43164</v>
      </c>
      <c r="T21" s="25">
        <v>43228</v>
      </c>
      <c r="U21" s="25"/>
      <c r="V21" s="326" t="s">
        <v>1463</v>
      </c>
      <c r="W21" s="25">
        <v>43191</v>
      </c>
      <c r="X21" s="25">
        <v>43255</v>
      </c>
      <c r="Y21" s="25"/>
      <c r="Z21" s="237"/>
      <c r="AA21" s="25" t="s">
        <v>346</v>
      </c>
      <c r="AD21" s="4"/>
      <c r="AE21" s="4"/>
      <c r="AH21" s="6"/>
    </row>
    <row r="22" spans="1:34" ht="18" customHeight="1">
      <c r="A22" s="139" t="s">
        <v>94</v>
      </c>
      <c r="B22" s="21" t="s">
        <v>340</v>
      </c>
      <c r="C22" s="230" t="s">
        <v>341</v>
      </c>
      <c r="D22" s="21" t="s">
        <v>231</v>
      </c>
      <c r="E22" s="233" t="s">
        <v>282</v>
      </c>
      <c r="F22" s="245" t="s">
        <v>351</v>
      </c>
      <c r="G22" s="233" t="s">
        <v>352</v>
      </c>
      <c r="H22" s="19" t="s">
        <v>61</v>
      </c>
      <c r="I22" s="209">
        <v>4</v>
      </c>
      <c r="J22" s="65"/>
      <c r="K22" s="65"/>
      <c r="L22" s="65"/>
      <c r="M22" s="15"/>
      <c r="N22" s="15"/>
      <c r="O22" s="238" t="s">
        <v>353</v>
      </c>
      <c r="P22" s="234" t="s">
        <v>354</v>
      </c>
      <c r="Q22" s="34" t="s">
        <v>345</v>
      </c>
      <c r="R22" s="235" t="s">
        <v>233</v>
      </c>
      <c r="S22" s="25">
        <v>43164</v>
      </c>
      <c r="T22" s="25">
        <v>43228</v>
      </c>
      <c r="U22" s="25"/>
      <c r="V22" s="326" t="s">
        <v>1463</v>
      </c>
      <c r="W22" s="25">
        <v>43191</v>
      </c>
      <c r="X22" s="25">
        <v>43255</v>
      </c>
      <c r="Y22" s="25"/>
      <c r="Z22" s="237"/>
      <c r="AA22" s="25" t="s">
        <v>346</v>
      </c>
      <c r="AH22" s="6"/>
    </row>
    <row r="23" spans="1:34" ht="18" customHeight="1">
      <c r="A23" s="139" t="s">
        <v>95</v>
      </c>
      <c r="B23" s="21" t="s">
        <v>340</v>
      </c>
      <c r="C23" s="230" t="s">
        <v>341</v>
      </c>
      <c r="D23" s="21" t="s">
        <v>231</v>
      </c>
      <c r="E23" s="233" t="s">
        <v>282</v>
      </c>
      <c r="F23" s="245" t="s">
        <v>355</v>
      </c>
      <c r="G23" s="233" t="s">
        <v>352</v>
      </c>
      <c r="H23" s="19" t="s">
        <v>61</v>
      </c>
      <c r="I23" s="209">
        <v>4</v>
      </c>
      <c r="J23" s="65"/>
      <c r="K23" s="65"/>
      <c r="L23" s="65"/>
      <c r="M23" s="15"/>
      <c r="N23" s="15"/>
      <c r="O23" s="242" t="s">
        <v>356</v>
      </c>
      <c r="P23" s="234" t="s">
        <v>354</v>
      </c>
      <c r="Q23" s="34" t="s">
        <v>345</v>
      </c>
      <c r="R23" s="235" t="s">
        <v>233</v>
      </c>
      <c r="S23" s="25">
        <v>43164</v>
      </c>
      <c r="T23" s="25">
        <v>43228</v>
      </c>
      <c r="U23" s="25"/>
      <c r="V23" s="326" t="s">
        <v>1463</v>
      </c>
      <c r="W23" s="25">
        <v>43191</v>
      </c>
      <c r="X23" s="25">
        <v>43255</v>
      </c>
      <c r="Y23" s="25"/>
      <c r="Z23" s="237"/>
      <c r="AA23" s="25" t="s">
        <v>346</v>
      </c>
      <c r="AH23" s="6"/>
    </row>
    <row r="24" spans="1:34" ht="18" customHeight="1">
      <c r="A24" s="139" t="s">
        <v>96</v>
      </c>
      <c r="B24" s="21" t="s">
        <v>340</v>
      </c>
      <c r="C24" s="230" t="s">
        <v>341</v>
      </c>
      <c r="D24" s="21" t="s">
        <v>231</v>
      </c>
      <c r="E24" s="233" t="s">
        <v>357</v>
      </c>
      <c r="F24" s="245" t="s">
        <v>358</v>
      </c>
      <c r="G24" s="233" t="s">
        <v>359</v>
      </c>
      <c r="H24" s="19" t="s">
        <v>61</v>
      </c>
      <c r="I24" s="209">
        <v>4</v>
      </c>
      <c r="J24" s="65"/>
      <c r="K24" s="65"/>
      <c r="L24" s="65"/>
      <c r="M24" s="15"/>
      <c r="N24" s="15"/>
      <c r="O24" s="238" t="s">
        <v>360</v>
      </c>
      <c r="P24" s="234" t="s">
        <v>361</v>
      </c>
      <c r="Q24" s="34" t="s">
        <v>345</v>
      </c>
      <c r="R24" s="235" t="s">
        <v>233</v>
      </c>
      <c r="S24" s="25">
        <v>43164</v>
      </c>
      <c r="T24" s="25">
        <v>43228</v>
      </c>
      <c r="U24" s="25"/>
      <c r="V24" s="326" t="s">
        <v>1463</v>
      </c>
      <c r="W24" s="25">
        <v>43191</v>
      </c>
      <c r="X24" s="25">
        <v>43255</v>
      </c>
      <c r="Y24" s="25"/>
      <c r="Z24" s="237"/>
      <c r="AA24" s="25" t="s">
        <v>346</v>
      </c>
      <c r="AD24" s="4"/>
      <c r="AE24" s="4"/>
      <c r="AH24" s="6"/>
    </row>
    <row r="25" spans="1:34" ht="18" customHeight="1">
      <c r="A25" s="139" t="s">
        <v>1112</v>
      </c>
      <c r="B25" s="15" t="s">
        <v>512</v>
      </c>
      <c r="C25" s="46" t="s">
        <v>513</v>
      </c>
      <c r="D25" s="21" t="s">
        <v>234</v>
      </c>
      <c r="E25" s="15" t="s">
        <v>514</v>
      </c>
      <c r="F25" s="15" t="s">
        <v>515</v>
      </c>
      <c r="G25" s="15" t="s">
        <v>516</v>
      </c>
      <c r="H25" s="19" t="s">
        <v>61</v>
      </c>
      <c r="I25" s="30">
        <v>12</v>
      </c>
      <c r="J25" s="126"/>
      <c r="K25" s="126"/>
      <c r="L25" s="110"/>
      <c r="M25" s="110"/>
      <c r="N25" s="110"/>
      <c r="O25" s="49" t="s">
        <v>517</v>
      </c>
      <c r="P25" s="35" t="s">
        <v>518</v>
      </c>
      <c r="Q25" s="35" t="s">
        <v>519</v>
      </c>
      <c r="R25" s="35" t="s">
        <v>520</v>
      </c>
      <c r="S25" s="25">
        <v>43252</v>
      </c>
      <c r="T25" s="25">
        <v>43252</v>
      </c>
      <c r="U25" s="25"/>
      <c r="W25" s="25">
        <f>S25+(I25*7)</f>
        <v>43336</v>
      </c>
      <c r="X25" s="25">
        <v>43336</v>
      </c>
      <c r="Y25" s="107"/>
      <c r="Z25" s="107"/>
      <c r="AA25" s="25"/>
    </row>
    <row r="26" spans="1:34" ht="18" customHeight="1">
      <c r="A26" s="139" t="s">
        <v>1113</v>
      </c>
      <c r="B26" s="15" t="s">
        <v>512</v>
      </c>
      <c r="C26" s="46" t="s">
        <v>513</v>
      </c>
      <c r="D26" s="21" t="s">
        <v>234</v>
      </c>
      <c r="E26" s="15" t="s">
        <v>514</v>
      </c>
      <c r="F26" s="15" t="s">
        <v>515</v>
      </c>
      <c r="G26" s="15" t="s">
        <v>521</v>
      </c>
      <c r="H26" s="19" t="s">
        <v>61</v>
      </c>
      <c r="I26" s="30">
        <v>12</v>
      </c>
      <c r="J26" s="126"/>
      <c r="K26" s="126"/>
      <c r="L26" s="110"/>
      <c r="M26" s="110"/>
      <c r="N26" s="110"/>
      <c r="O26" s="49" t="s">
        <v>517</v>
      </c>
      <c r="P26" s="35" t="s">
        <v>518</v>
      </c>
      <c r="Q26" s="35" t="s">
        <v>519</v>
      </c>
      <c r="R26" s="35" t="s">
        <v>520</v>
      </c>
      <c r="S26" s="25">
        <v>43252</v>
      </c>
      <c r="T26" s="25">
        <v>43252</v>
      </c>
      <c r="U26" s="25"/>
      <c r="W26" s="25">
        <f t="shared" ref="W26:W50" si="1">S26+(I26*7)</f>
        <v>43336</v>
      </c>
      <c r="X26" s="25">
        <v>43336</v>
      </c>
      <c r="Y26" s="107"/>
      <c r="Z26" s="107"/>
      <c r="AA26" s="25"/>
      <c r="AD26" s="4"/>
      <c r="AE26" s="4"/>
      <c r="AF26" s="4"/>
    </row>
    <row r="27" spans="1:34" ht="18" customHeight="1">
      <c r="A27" s="139" t="s">
        <v>1114</v>
      </c>
      <c r="B27" s="15" t="s">
        <v>512</v>
      </c>
      <c r="C27" s="46" t="s">
        <v>513</v>
      </c>
      <c r="D27" s="21" t="s">
        <v>234</v>
      </c>
      <c r="E27" s="15" t="s">
        <v>514</v>
      </c>
      <c r="F27" s="15" t="s">
        <v>515</v>
      </c>
      <c r="G27" s="15" t="s">
        <v>522</v>
      </c>
      <c r="H27" s="19" t="s">
        <v>61</v>
      </c>
      <c r="I27" s="30">
        <v>12</v>
      </c>
      <c r="J27" s="126"/>
      <c r="K27" s="126"/>
      <c r="L27" s="110"/>
      <c r="M27" s="110"/>
      <c r="N27" s="110"/>
      <c r="O27" s="49" t="s">
        <v>517</v>
      </c>
      <c r="P27" s="35" t="s">
        <v>518</v>
      </c>
      <c r="Q27" s="35" t="s">
        <v>519</v>
      </c>
      <c r="R27" s="35" t="s">
        <v>520</v>
      </c>
      <c r="S27" s="25">
        <v>43252</v>
      </c>
      <c r="T27" s="25">
        <v>43252</v>
      </c>
      <c r="U27" s="25"/>
      <c r="W27" s="25">
        <f t="shared" si="1"/>
        <v>43336</v>
      </c>
      <c r="X27" s="25">
        <v>43336</v>
      </c>
      <c r="Y27" s="107"/>
      <c r="Z27" s="107"/>
      <c r="AA27" s="25"/>
      <c r="AD27" s="4"/>
      <c r="AE27" s="4"/>
      <c r="AF27" s="4"/>
    </row>
    <row r="28" spans="1:34" ht="18" customHeight="1">
      <c r="A28" s="139" t="s">
        <v>1115</v>
      </c>
      <c r="B28" s="15" t="s">
        <v>523</v>
      </c>
      <c r="C28" s="46" t="s">
        <v>524</v>
      </c>
      <c r="D28" s="21" t="s">
        <v>234</v>
      </c>
      <c r="E28" s="15" t="s">
        <v>514</v>
      </c>
      <c r="F28" s="15" t="s">
        <v>525</v>
      </c>
      <c r="G28" s="15" t="s">
        <v>526</v>
      </c>
      <c r="H28" s="19" t="s">
        <v>61</v>
      </c>
      <c r="I28" s="30">
        <v>12</v>
      </c>
      <c r="J28" s="126"/>
      <c r="K28" s="126"/>
      <c r="L28" s="110"/>
      <c r="M28" s="110"/>
      <c r="N28" s="110"/>
      <c r="O28" s="49" t="s">
        <v>527</v>
      </c>
      <c r="P28" s="35" t="s">
        <v>528</v>
      </c>
      <c r="Q28" s="35" t="s">
        <v>529</v>
      </c>
      <c r="R28" s="35" t="s">
        <v>530</v>
      </c>
      <c r="S28" s="25">
        <v>43101</v>
      </c>
      <c r="T28" s="25">
        <v>43131</v>
      </c>
      <c r="U28" s="25">
        <v>43131</v>
      </c>
      <c r="W28" s="25">
        <f t="shared" si="1"/>
        <v>43185</v>
      </c>
      <c r="X28" s="25">
        <v>43185</v>
      </c>
      <c r="Y28" s="107"/>
      <c r="Z28" s="107"/>
      <c r="AA28" s="25"/>
    </row>
    <row r="29" spans="1:34" ht="18" customHeight="1">
      <c r="A29" s="139" t="s">
        <v>1116</v>
      </c>
      <c r="B29" s="15" t="s">
        <v>523</v>
      </c>
      <c r="C29" s="46" t="s">
        <v>524</v>
      </c>
      <c r="D29" s="21" t="s">
        <v>234</v>
      </c>
      <c r="E29" s="15" t="s">
        <v>514</v>
      </c>
      <c r="F29" s="15" t="s">
        <v>525</v>
      </c>
      <c r="G29" s="15" t="s">
        <v>531</v>
      </c>
      <c r="H29" s="19" t="s">
        <v>61</v>
      </c>
      <c r="I29" s="30">
        <v>12</v>
      </c>
      <c r="J29" s="126"/>
      <c r="K29" s="126"/>
      <c r="L29" s="110"/>
      <c r="M29" s="110"/>
      <c r="N29" s="110"/>
      <c r="O29" s="49" t="s">
        <v>527</v>
      </c>
      <c r="P29" s="35" t="s">
        <v>528</v>
      </c>
      <c r="Q29" s="35" t="s">
        <v>529</v>
      </c>
      <c r="R29" s="35" t="s">
        <v>530</v>
      </c>
      <c r="S29" s="25">
        <v>43101</v>
      </c>
      <c r="T29" s="25">
        <v>43131</v>
      </c>
      <c r="U29" s="25">
        <v>43131</v>
      </c>
      <c r="W29" s="25">
        <f t="shared" si="1"/>
        <v>43185</v>
      </c>
      <c r="X29" s="25">
        <v>43185</v>
      </c>
      <c r="Y29" s="107"/>
      <c r="Z29" s="107"/>
      <c r="AA29" s="25"/>
      <c r="AH29" s="6"/>
    </row>
    <row r="30" spans="1:34" ht="18" customHeight="1">
      <c r="A30" s="139" t="s">
        <v>1117</v>
      </c>
      <c r="B30" s="15" t="s">
        <v>532</v>
      </c>
      <c r="C30" s="46" t="s">
        <v>533</v>
      </c>
      <c r="D30" s="21" t="s">
        <v>234</v>
      </c>
      <c r="E30" s="15" t="s">
        <v>514</v>
      </c>
      <c r="F30" s="15" t="s">
        <v>534</v>
      </c>
      <c r="G30" s="15" t="s">
        <v>516</v>
      </c>
      <c r="H30" s="19" t="s">
        <v>61</v>
      </c>
      <c r="I30" s="30">
        <v>12</v>
      </c>
      <c r="J30" s="126"/>
      <c r="K30" s="126"/>
      <c r="L30" s="110"/>
      <c r="M30" s="110"/>
      <c r="N30" s="110"/>
      <c r="O30" s="49" t="s">
        <v>535</v>
      </c>
      <c r="P30" s="35" t="s">
        <v>536</v>
      </c>
      <c r="Q30" s="35" t="s">
        <v>519</v>
      </c>
      <c r="R30" s="35" t="s">
        <v>520</v>
      </c>
      <c r="S30" s="25">
        <v>43252</v>
      </c>
      <c r="T30" s="25">
        <v>43252</v>
      </c>
      <c r="W30" s="25">
        <f t="shared" si="1"/>
        <v>43336</v>
      </c>
      <c r="X30" s="25">
        <v>43336</v>
      </c>
      <c r="Y30" s="107"/>
      <c r="Z30" s="107"/>
      <c r="AA30" s="25"/>
      <c r="AH30" s="6"/>
    </row>
    <row r="31" spans="1:34" ht="18" customHeight="1">
      <c r="A31" s="139" t="s">
        <v>1118</v>
      </c>
      <c r="B31" s="15" t="s">
        <v>532</v>
      </c>
      <c r="C31" s="46" t="s">
        <v>533</v>
      </c>
      <c r="D31" s="21" t="s">
        <v>234</v>
      </c>
      <c r="E31" s="15" t="s">
        <v>514</v>
      </c>
      <c r="F31" s="15" t="s">
        <v>534</v>
      </c>
      <c r="G31" s="15" t="s">
        <v>521</v>
      </c>
      <c r="H31" s="19" t="s">
        <v>61</v>
      </c>
      <c r="I31" s="30">
        <v>12</v>
      </c>
      <c r="J31" s="126"/>
      <c r="K31" s="126"/>
      <c r="L31" s="110"/>
      <c r="M31" s="110"/>
      <c r="N31" s="110"/>
      <c r="O31" s="49" t="s">
        <v>535</v>
      </c>
      <c r="P31" s="35" t="s">
        <v>536</v>
      </c>
      <c r="Q31" s="35" t="s">
        <v>519</v>
      </c>
      <c r="R31" s="35" t="s">
        <v>520</v>
      </c>
      <c r="S31" s="25">
        <v>43252</v>
      </c>
      <c r="T31" s="25">
        <v>43252</v>
      </c>
      <c r="W31" s="25">
        <f t="shared" si="1"/>
        <v>43336</v>
      </c>
      <c r="X31" s="25">
        <v>43336</v>
      </c>
      <c r="Y31" s="107"/>
      <c r="Z31" s="107"/>
      <c r="AA31" s="25"/>
      <c r="AH31" s="6"/>
    </row>
    <row r="32" spans="1:34" ht="18" customHeight="1">
      <c r="A32" s="139" t="s">
        <v>1119</v>
      </c>
      <c r="B32" s="15" t="s">
        <v>532</v>
      </c>
      <c r="C32" s="46" t="s">
        <v>533</v>
      </c>
      <c r="D32" s="21" t="s">
        <v>234</v>
      </c>
      <c r="E32" s="15" t="s">
        <v>514</v>
      </c>
      <c r="F32" s="15" t="s">
        <v>534</v>
      </c>
      <c r="G32" s="15" t="s">
        <v>522</v>
      </c>
      <c r="H32" s="19" t="s">
        <v>61</v>
      </c>
      <c r="I32" s="30">
        <v>12</v>
      </c>
      <c r="J32" s="126"/>
      <c r="K32" s="126"/>
      <c r="L32" s="110"/>
      <c r="M32" s="110"/>
      <c r="N32" s="110"/>
      <c r="O32" s="49" t="s">
        <v>535</v>
      </c>
      <c r="P32" s="35" t="s">
        <v>536</v>
      </c>
      <c r="Q32" s="35" t="s">
        <v>519</v>
      </c>
      <c r="R32" s="35" t="s">
        <v>520</v>
      </c>
      <c r="S32" s="25">
        <v>43252</v>
      </c>
      <c r="T32" s="25">
        <v>43252</v>
      </c>
      <c r="W32" s="25">
        <f t="shared" si="1"/>
        <v>43336</v>
      </c>
      <c r="X32" s="25">
        <v>43336</v>
      </c>
      <c r="Y32" s="107"/>
      <c r="Z32" s="107"/>
      <c r="AA32" s="25"/>
      <c r="AH32" s="6"/>
    </row>
    <row r="33" spans="1:34" ht="18" customHeight="1">
      <c r="A33" s="139" t="s">
        <v>1120</v>
      </c>
      <c r="B33" s="15" t="s">
        <v>532</v>
      </c>
      <c r="C33" s="46" t="s">
        <v>533</v>
      </c>
      <c r="D33" s="21" t="s">
        <v>234</v>
      </c>
      <c r="E33" s="15" t="s">
        <v>514</v>
      </c>
      <c r="F33" s="15" t="s">
        <v>534</v>
      </c>
      <c r="G33" s="15" t="s">
        <v>537</v>
      </c>
      <c r="H33" s="19" t="s">
        <v>61</v>
      </c>
      <c r="I33" s="30">
        <v>12</v>
      </c>
      <c r="J33" s="126"/>
      <c r="K33" s="126"/>
      <c r="L33" s="110"/>
      <c r="M33" s="110"/>
      <c r="N33" s="110"/>
      <c r="O33" s="49" t="s">
        <v>535</v>
      </c>
      <c r="P33" s="35" t="s">
        <v>536</v>
      </c>
      <c r="Q33" s="35" t="s">
        <v>519</v>
      </c>
      <c r="R33" s="35" t="s">
        <v>520</v>
      </c>
      <c r="S33" s="25">
        <v>43252</v>
      </c>
      <c r="T33" s="25">
        <v>43252</v>
      </c>
      <c r="W33" s="25">
        <f t="shared" si="1"/>
        <v>43336</v>
      </c>
      <c r="X33" s="25">
        <v>43336</v>
      </c>
      <c r="Y33" s="107"/>
      <c r="Z33" s="107"/>
      <c r="AA33" s="25"/>
      <c r="AH33" s="6"/>
    </row>
    <row r="34" spans="1:34" ht="18" customHeight="1">
      <c r="A34" s="139" t="s">
        <v>1121</v>
      </c>
      <c r="B34" s="15" t="s">
        <v>532</v>
      </c>
      <c r="C34" s="46" t="s">
        <v>533</v>
      </c>
      <c r="D34" s="21" t="s">
        <v>234</v>
      </c>
      <c r="E34" s="15" t="s">
        <v>514</v>
      </c>
      <c r="F34" s="15" t="s">
        <v>534</v>
      </c>
      <c r="G34" s="15" t="s">
        <v>538</v>
      </c>
      <c r="H34" s="19" t="s">
        <v>61</v>
      </c>
      <c r="I34" s="30">
        <v>12</v>
      </c>
      <c r="J34" s="126"/>
      <c r="K34" s="126"/>
      <c r="L34" s="110"/>
      <c r="M34" s="110"/>
      <c r="N34" s="110"/>
      <c r="O34" s="49" t="s">
        <v>535</v>
      </c>
      <c r="P34" s="35" t="s">
        <v>536</v>
      </c>
      <c r="Q34" s="35" t="s">
        <v>519</v>
      </c>
      <c r="R34" s="35" t="s">
        <v>520</v>
      </c>
      <c r="S34" s="25">
        <v>43252</v>
      </c>
      <c r="T34" s="25">
        <v>43252</v>
      </c>
      <c r="W34" s="25">
        <f t="shared" si="1"/>
        <v>43336</v>
      </c>
      <c r="X34" s="25">
        <v>43336</v>
      </c>
      <c r="Y34" s="107"/>
      <c r="Z34" s="107"/>
      <c r="AA34" s="25"/>
      <c r="AH34" s="6"/>
    </row>
    <row r="35" spans="1:34" ht="18" customHeight="1">
      <c r="A35" s="139" t="s">
        <v>1122</v>
      </c>
      <c r="B35" s="15" t="s">
        <v>539</v>
      </c>
      <c r="C35" s="46" t="s">
        <v>540</v>
      </c>
      <c r="D35" s="21" t="s">
        <v>234</v>
      </c>
      <c r="E35" s="15" t="s">
        <v>514</v>
      </c>
      <c r="F35" s="15" t="s">
        <v>541</v>
      </c>
      <c r="G35" s="15" t="s">
        <v>531</v>
      </c>
      <c r="H35" s="19" t="s">
        <v>61</v>
      </c>
      <c r="I35" s="30">
        <v>12</v>
      </c>
      <c r="J35" s="126"/>
      <c r="K35" s="126"/>
      <c r="L35" s="110"/>
      <c r="M35" s="110"/>
      <c r="N35" s="110"/>
      <c r="O35" s="49" t="s">
        <v>542</v>
      </c>
      <c r="P35" s="35" t="s">
        <v>543</v>
      </c>
      <c r="Q35" s="35" t="s">
        <v>529</v>
      </c>
      <c r="R35" s="35" t="s">
        <v>530</v>
      </c>
      <c r="S35" s="25">
        <v>43101</v>
      </c>
      <c r="T35" s="25">
        <v>43131</v>
      </c>
      <c r="U35" s="25">
        <v>43131</v>
      </c>
      <c r="W35" s="25">
        <f t="shared" si="1"/>
        <v>43185</v>
      </c>
      <c r="X35" s="25">
        <v>43185</v>
      </c>
      <c r="Y35" s="107"/>
      <c r="Z35" s="107"/>
      <c r="AA35" s="25"/>
      <c r="AH35" s="6"/>
    </row>
    <row r="36" spans="1:34" ht="18" customHeight="1">
      <c r="A36" s="139" t="s">
        <v>1123</v>
      </c>
      <c r="B36" s="15" t="s">
        <v>539</v>
      </c>
      <c r="C36" s="46" t="s">
        <v>524</v>
      </c>
      <c r="D36" s="21" t="s">
        <v>234</v>
      </c>
      <c r="E36" s="15" t="s">
        <v>514</v>
      </c>
      <c r="F36" s="15" t="s">
        <v>525</v>
      </c>
      <c r="G36" s="15" t="s">
        <v>526</v>
      </c>
      <c r="H36" s="19" t="s">
        <v>61</v>
      </c>
      <c r="I36" s="30">
        <v>12</v>
      </c>
      <c r="J36" s="126"/>
      <c r="K36" s="126"/>
      <c r="L36" s="110"/>
      <c r="M36" s="110"/>
      <c r="N36" s="110"/>
      <c r="O36" s="49" t="s">
        <v>542</v>
      </c>
      <c r="P36" s="35" t="s">
        <v>543</v>
      </c>
      <c r="Q36" s="35" t="s">
        <v>529</v>
      </c>
      <c r="R36" s="35" t="s">
        <v>530</v>
      </c>
      <c r="S36" s="25">
        <v>43101</v>
      </c>
      <c r="T36" s="25">
        <v>43131</v>
      </c>
      <c r="U36" s="25">
        <v>43131</v>
      </c>
      <c r="W36" s="25">
        <f t="shared" si="1"/>
        <v>43185</v>
      </c>
      <c r="X36" s="25">
        <v>43185</v>
      </c>
      <c r="Y36" s="107"/>
      <c r="Z36" s="107"/>
      <c r="AA36" s="25"/>
      <c r="AH36" s="6"/>
    </row>
    <row r="37" spans="1:34" ht="18" customHeight="1">
      <c r="A37" s="139" t="s">
        <v>1124</v>
      </c>
      <c r="B37" s="15" t="s">
        <v>539</v>
      </c>
      <c r="C37" s="46" t="s">
        <v>524</v>
      </c>
      <c r="D37" s="21" t="s">
        <v>234</v>
      </c>
      <c r="E37" s="15" t="s">
        <v>514</v>
      </c>
      <c r="F37" s="15" t="s">
        <v>525</v>
      </c>
      <c r="G37" s="15" t="s">
        <v>531</v>
      </c>
      <c r="H37" s="19" t="s">
        <v>61</v>
      </c>
      <c r="I37" s="30">
        <v>12</v>
      </c>
      <c r="J37" s="126"/>
      <c r="K37" s="126"/>
      <c r="L37" s="110"/>
      <c r="M37" s="110"/>
      <c r="N37" s="127"/>
      <c r="O37" s="49" t="s">
        <v>542</v>
      </c>
      <c r="P37" s="35" t="s">
        <v>543</v>
      </c>
      <c r="Q37" s="35" t="s">
        <v>529</v>
      </c>
      <c r="R37" s="35" t="s">
        <v>530</v>
      </c>
      <c r="S37" s="25">
        <v>43101</v>
      </c>
      <c r="T37" s="25">
        <v>43131</v>
      </c>
      <c r="U37" s="25">
        <v>43131</v>
      </c>
      <c r="W37" s="25">
        <f t="shared" si="1"/>
        <v>43185</v>
      </c>
      <c r="X37" s="25">
        <v>43185</v>
      </c>
      <c r="Y37" s="107"/>
      <c r="Z37" s="107"/>
      <c r="AA37" s="25"/>
      <c r="AH37" s="6"/>
    </row>
    <row r="38" spans="1:34" ht="18" customHeight="1">
      <c r="A38" s="139" t="s">
        <v>1125</v>
      </c>
      <c r="B38" s="15" t="s">
        <v>539</v>
      </c>
      <c r="C38" s="46" t="s">
        <v>540</v>
      </c>
      <c r="D38" s="21" t="s">
        <v>234</v>
      </c>
      <c r="E38" s="15" t="s">
        <v>514</v>
      </c>
      <c r="F38" s="15" t="s">
        <v>541</v>
      </c>
      <c r="G38" s="15" t="s">
        <v>526</v>
      </c>
      <c r="H38" s="19" t="s">
        <v>61</v>
      </c>
      <c r="I38" s="30">
        <v>12</v>
      </c>
      <c r="J38" s="126"/>
      <c r="K38" s="126"/>
      <c r="L38" s="110"/>
      <c r="M38" s="110"/>
      <c r="N38" s="110"/>
      <c r="O38" s="49" t="s">
        <v>542</v>
      </c>
      <c r="P38" s="35" t="s">
        <v>543</v>
      </c>
      <c r="Q38" s="35" t="s">
        <v>529</v>
      </c>
      <c r="R38" s="35" t="s">
        <v>530</v>
      </c>
      <c r="S38" s="25">
        <v>43101</v>
      </c>
      <c r="T38" s="25">
        <v>43131</v>
      </c>
      <c r="U38" s="25">
        <v>43131</v>
      </c>
      <c r="W38" s="25">
        <f t="shared" si="1"/>
        <v>43185</v>
      </c>
      <c r="X38" s="25">
        <v>43185</v>
      </c>
      <c r="Y38" s="107"/>
      <c r="Z38" s="107"/>
      <c r="AA38" s="25"/>
      <c r="AD38" s="4"/>
      <c r="AE38" s="4"/>
      <c r="AH38" s="6"/>
    </row>
    <row r="39" spans="1:34" ht="18" customHeight="1">
      <c r="A39" s="139" t="s">
        <v>1126</v>
      </c>
      <c r="B39" s="15" t="s">
        <v>544</v>
      </c>
      <c r="C39" s="56" t="s">
        <v>545</v>
      </c>
      <c r="D39" s="21" t="s">
        <v>234</v>
      </c>
      <c r="E39" s="15" t="s">
        <v>514</v>
      </c>
      <c r="F39" s="15" t="s">
        <v>546</v>
      </c>
      <c r="G39" s="15" t="s">
        <v>516</v>
      </c>
      <c r="H39" s="19" t="s">
        <v>61</v>
      </c>
      <c r="I39" s="30">
        <v>12</v>
      </c>
      <c r="J39" s="126"/>
      <c r="K39" s="126"/>
      <c r="L39" s="110"/>
      <c r="M39" s="110"/>
      <c r="N39" s="127"/>
      <c r="O39" s="49" t="s">
        <v>547</v>
      </c>
      <c r="P39" s="35" t="s">
        <v>548</v>
      </c>
      <c r="Q39" s="35" t="s">
        <v>519</v>
      </c>
      <c r="R39" s="35" t="s">
        <v>549</v>
      </c>
      <c r="S39" s="25">
        <v>43252</v>
      </c>
      <c r="T39" s="25">
        <v>43252</v>
      </c>
      <c r="W39" s="25">
        <f t="shared" si="1"/>
        <v>43336</v>
      </c>
      <c r="X39" s="25">
        <v>43336</v>
      </c>
      <c r="Y39" s="107"/>
      <c r="Z39" s="107"/>
      <c r="AA39" s="25"/>
      <c r="AD39" s="4"/>
      <c r="AE39" s="4"/>
      <c r="AH39" s="6"/>
    </row>
    <row r="40" spans="1:34" ht="18" customHeight="1">
      <c r="A40" s="139" t="s">
        <v>1127</v>
      </c>
      <c r="B40" s="15" t="s">
        <v>544</v>
      </c>
      <c r="C40" s="56" t="s">
        <v>545</v>
      </c>
      <c r="D40" s="21" t="s">
        <v>234</v>
      </c>
      <c r="E40" s="15" t="s">
        <v>514</v>
      </c>
      <c r="F40" s="15" t="s">
        <v>546</v>
      </c>
      <c r="G40" s="15" t="s">
        <v>521</v>
      </c>
      <c r="H40" s="19" t="s">
        <v>61</v>
      </c>
      <c r="I40" s="30">
        <v>12</v>
      </c>
      <c r="J40" s="126"/>
      <c r="K40" s="126"/>
      <c r="L40" s="110"/>
      <c r="M40" s="110"/>
      <c r="N40" s="110"/>
      <c r="O40" s="49" t="s">
        <v>547</v>
      </c>
      <c r="P40" s="35" t="s">
        <v>548</v>
      </c>
      <c r="Q40" s="35" t="s">
        <v>519</v>
      </c>
      <c r="R40" s="35" t="s">
        <v>549</v>
      </c>
      <c r="S40" s="25">
        <v>43252</v>
      </c>
      <c r="T40" s="25">
        <v>43252</v>
      </c>
      <c r="W40" s="25">
        <f t="shared" si="1"/>
        <v>43336</v>
      </c>
      <c r="X40" s="25">
        <v>43336</v>
      </c>
      <c r="Y40" s="107"/>
      <c r="Z40" s="107"/>
      <c r="AA40" s="25"/>
    </row>
    <row r="41" spans="1:34" ht="18" customHeight="1">
      <c r="A41" s="139" t="s">
        <v>1128</v>
      </c>
      <c r="B41" s="15" t="s">
        <v>544</v>
      </c>
      <c r="C41" s="46" t="s">
        <v>545</v>
      </c>
      <c r="D41" s="21" t="s">
        <v>234</v>
      </c>
      <c r="E41" s="15" t="s">
        <v>514</v>
      </c>
      <c r="F41" s="15" t="s">
        <v>546</v>
      </c>
      <c r="G41" s="15" t="s">
        <v>537</v>
      </c>
      <c r="H41" s="19" t="s">
        <v>61</v>
      </c>
      <c r="I41" s="30">
        <v>12</v>
      </c>
      <c r="J41" s="126"/>
      <c r="K41" s="126"/>
      <c r="L41" s="110"/>
      <c r="M41" s="110"/>
      <c r="N41" s="110"/>
      <c r="O41" s="49" t="s">
        <v>547</v>
      </c>
      <c r="P41" s="35" t="s">
        <v>548</v>
      </c>
      <c r="Q41" s="35" t="s">
        <v>519</v>
      </c>
      <c r="R41" s="35" t="s">
        <v>549</v>
      </c>
      <c r="S41" s="25">
        <v>43252</v>
      </c>
      <c r="T41" s="25">
        <v>43252</v>
      </c>
      <c r="V41" s="54"/>
      <c r="W41" s="25">
        <f t="shared" si="1"/>
        <v>43336</v>
      </c>
      <c r="X41" s="25">
        <v>43336</v>
      </c>
      <c r="Y41" s="107"/>
      <c r="Z41" s="107"/>
      <c r="AA41" s="25"/>
      <c r="AH41" s="6"/>
    </row>
    <row r="42" spans="1:34" ht="18" customHeight="1">
      <c r="A42" s="139" t="s">
        <v>1129</v>
      </c>
      <c r="B42" s="15" t="s">
        <v>544</v>
      </c>
      <c r="C42" s="46" t="s">
        <v>545</v>
      </c>
      <c r="D42" s="21" t="s">
        <v>234</v>
      </c>
      <c r="E42" s="15" t="s">
        <v>514</v>
      </c>
      <c r="F42" s="15" t="s">
        <v>546</v>
      </c>
      <c r="G42" s="15" t="s">
        <v>538</v>
      </c>
      <c r="H42" s="19" t="s">
        <v>61</v>
      </c>
      <c r="I42" s="30">
        <v>12</v>
      </c>
      <c r="J42" s="126"/>
      <c r="K42" s="126"/>
      <c r="L42" s="110"/>
      <c r="M42" s="110"/>
      <c r="N42" s="127"/>
      <c r="O42" s="49" t="s">
        <v>547</v>
      </c>
      <c r="P42" s="35" t="s">
        <v>548</v>
      </c>
      <c r="Q42" s="35" t="s">
        <v>519</v>
      </c>
      <c r="R42" s="35" t="s">
        <v>549</v>
      </c>
      <c r="S42" s="25">
        <v>43252</v>
      </c>
      <c r="T42" s="25">
        <v>43252</v>
      </c>
      <c r="V42" s="54"/>
      <c r="W42" s="25">
        <f t="shared" si="1"/>
        <v>43336</v>
      </c>
      <c r="X42" s="25">
        <v>43336</v>
      </c>
      <c r="Y42" s="107"/>
      <c r="Z42" s="107"/>
      <c r="AA42" s="25"/>
      <c r="AH42" s="6"/>
    </row>
    <row r="43" spans="1:34" ht="18" customHeight="1">
      <c r="A43" s="139" t="s">
        <v>1130</v>
      </c>
      <c r="B43" s="15" t="s">
        <v>544</v>
      </c>
      <c r="C43" s="46" t="s">
        <v>550</v>
      </c>
      <c r="D43" s="21" t="s">
        <v>234</v>
      </c>
      <c r="E43" s="15" t="s">
        <v>514</v>
      </c>
      <c r="F43" s="15" t="s">
        <v>57</v>
      </c>
      <c r="G43" s="15" t="s">
        <v>516</v>
      </c>
      <c r="H43" s="19" t="s">
        <v>61</v>
      </c>
      <c r="I43" s="30">
        <v>12</v>
      </c>
      <c r="J43" s="126"/>
      <c r="K43" s="126"/>
      <c r="L43" s="110"/>
      <c r="M43" s="110"/>
      <c r="N43" s="127"/>
      <c r="O43" s="49" t="s">
        <v>551</v>
      </c>
      <c r="P43" s="35" t="s">
        <v>552</v>
      </c>
      <c r="Q43" s="35" t="s">
        <v>519</v>
      </c>
      <c r="R43" s="35" t="s">
        <v>549</v>
      </c>
      <c r="S43" s="25">
        <v>43252</v>
      </c>
      <c r="T43" s="25">
        <v>43252</v>
      </c>
      <c r="V43" s="54"/>
      <c r="W43" s="25">
        <f t="shared" si="1"/>
        <v>43336</v>
      </c>
      <c r="X43" s="25">
        <v>43336</v>
      </c>
      <c r="Y43" s="107"/>
      <c r="Z43" s="107"/>
      <c r="AA43" s="25"/>
      <c r="AH43" s="6"/>
    </row>
    <row r="44" spans="1:34" ht="18" customHeight="1">
      <c r="A44" s="139" t="s">
        <v>1131</v>
      </c>
      <c r="B44" s="15" t="s">
        <v>544</v>
      </c>
      <c r="C44" s="46" t="s">
        <v>550</v>
      </c>
      <c r="D44" s="21" t="s">
        <v>234</v>
      </c>
      <c r="E44" s="15" t="s">
        <v>514</v>
      </c>
      <c r="F44" s="15" t="s">
        <v>57</v>
      </c>
      <c r="G44" s="15" t="s">
        <v>521</v>
      </c>
      <c r="H44" s="19" t="s">
        <v>61</v>
      </c>
      <c r="I44" s="30">
        <v>12</v>
      </c>
      <c r="J44" s="126"/>
      <c r="K44" s="126"/>
      <c r="L44" s="110"/>
      <c r="M44" s="110"/>
      <c r="N44" s="127"/>
      <c r="O44" s="49" t="s">
        <v>551</v>
      </c>
      <c r="P44" s="35" t="s">
        <v>552</v>
      </c>
      <c r="Q44" s="35" t="s">
        <v>519</v>
      </c>
      <c r="R44" s="35" t="s">
        <v>549</v>
      </c>
      <c r="S44" s="25">
        <v>43252</v>
      </c>
      <c r="T44" s="25">
        <v>43252</v>
      </c>
      <c r="V44" s="54"/>
      <c r="W44" s="25">
        <f t="shared" si="1"/>
        <v>43336</v>
      </c>
      <c r="X44" s="25">
        <v>43336</v>
      </c>
      <c r="Y44" s="107"/>
      <c r="Z44" s="107"/>
      <c r="AA44" s="25"/>
      <c r="AB44" s="17"/>
      <c r="AD44" s="4"/>
      <c r="AE44" s="4"/>
      <c r="AH44" s="6"/>
    </row>
    <row r="45" spans="1:34" ht="18" customHeight="1">
      <c r="A45" s="139" t="s">
        <v>1132</v>
      </c>
      <c r="B45" s="15" t="s">
        <v>544</v>
      </c>
      <c r="C45" s="46" t="s">
        <v>550</v>
      </c>
      <c r="D45" s="21" t="s">
        <v>234</v>
      </c>
      <c r="E45" s="15" t="s">
        <v>514</v>
      </c>
      <c r="F45" s="15" t="s">
        <v>57</v>
      </c>
      <c r="G45" s="15" t="s">
        <v>537</v>
      </c>
      <c r="H45" s="19" t="s">
        <v>61</v>
      </c>
      <c r="I45" s="30">
        <v>12</v>
      </c>
      <c r="J45" s="126"/>
      <c r="K45" s="126"/>
      <c r="L45" s="110"/>
      <c r="M45" s="110"/>
      <c r="N45" s="127"/>
      <c r="O45" s="49" t="s">
        <v>551</v>
      </c>
      <c r="P45" s="35" t="s">
        <v>552</v>
      </c>
      <c r="Q45" s="35" t="s">
        <v>519</v>
      </c>
      <c r="R45" s="35" t="s">
        <v>549</v>
      </c>
      <c r="S45" s="25">
        <v>43252</v>
      </c>
      <c r="T45" s="25">
        <v>43252</v>
      </c>
      <c r="V45" s="54"/>
      <c r="W45" s="25">
        <f t="shared" si="1"/>
        <v>43336</v>
      </c>
      <c r="X45" s="25">
        <v>43336</v>
      </c>
      <c r="Y45" s="107"/>
      <c r="Z45" s="107"/>
      <c r="AA45" s="25"/>
      <c r="AB45" s="10"/>
      <c r="AD45" s="4"/>
      <c r="AE45" s="4"/>
      <c r="AH45" s="6"/>
    </row>
    <row r="46" spans="1:34" ht="18" customHeight="1">
      <c r="A46" s="139" t="s">
        <v>1133</v>
      </c>
      <c r="B46" s="15" t="s">
        <v>544</v>
      </c>
      <c r="C46" s="46" t="s">
        <v>550</v>
      </c>
      <c r="D46" s="21" t="s">
        <v>234</v>
      </c>
      <c r="E46" s="15" t="s">
        <v>514</v>
      </c>
      <c r="F46" s="15" t="s">
        <v>57</v>
      </c>
      <c r="G46" s="15" t="s">
        <v>538</v>
      </c>
      <c r="H46" s="19" t="s">
        <v>61</v>
      </c>
      <c r="I46" s="30">
        <v>12</v>
      </c>
      <c r="J46" s="126"/>
      <c r="K46" s="126"/>
      <c r="L46" s="110"/>
      <c r="M46" s="110"/>
      <c r="N46" s="127"/>
      <c r="O46" s="49" t="s">
        <v>551</v>
      </c>
      <c r="P46" s="35" t="s">
        <v>552</v>
      </c>
      <c r="Q46" s="35" t="s">
        <v>519</v>
      </c>
      <c r="R46" s="35" t="s">
        <v>549</v>
      </c>
      <c r="S46" s="25">
        <v>43252</v>
      </c>
      <c r="T46" s="25">
        <v>43252</v>
      </c>
      <c r="V46" s="54"/>
      <c r="W46" s="25">
        <f t="shared" si="1"/>
        <v>43336</v>
      </c>
      <c r="X46" s="25">
        <v>43336</v>
      </c>
      <c r="Y46" s="107"/>
      <c r="Z46" s="107"/>
      <c r="AA46" s="25"/>
      <c r="AH46" s="6"/>
    </row>
    <row r="47" spans="1:34" ht="18" customHeight="1">
      <c r="A47" s="139" t="s">
        <v>1134</v>
      </c>
      <c r="B47" s="15" t="s">
        <v>553</v>
      </c>
      <c r="C47" s="56" t="s">
        <v>554</v>
      </c>
      <c r="D47" s="21" t="s">
        <v>234</v>
      </c>
      <c r="E47" s="15" t="s">
        <v>514</v>
      </c>
      <c r="F47" s="15" t="s">
        <v>555</v>
      </c>
      <c r="G47" s="15" t="s">
        <v>516</v>
      </c>
      <c r="H47" s="19" t="s">
        <v>61</v>
      </c>
      <c r="I47" s="30">
        <v>12</v>
      </c>
      <c r="J47" s="126"/>
      <c r="K47" s="126"/>
      <c r="L47" s="110"/>
      <c r="M47" s="110"/>
      <c r="N47" s="127"/>
      <c r="O47" s="49" t="s">
        <v>556</v>
      </c>
      <c r="P47" s="35" t="s">
        <v>557</v>
      </c>
      <c r="Q47" s="34" t="s">
        <v>519</v>
      </c>
      <c r="R47" s="35" t="s">
        <v>549</v>
      </c>
      <c r="S47" s="25">
        <v>43252</v>
      </c>
      <c r="T47" s="25">
        <v>43252</v>
      </c>
      <c r="W47" s="25">
        <f t="shared" si="1"/>
        <v>43336</v>
      </c>
      <c r="X47" s="25">
        <v>43336</v>
      </c>
      <c r="Y47" s="107"/>
      <c r="Z47" s="107"/>
      <c r="AA47" s="25"/>
      <c r="AH47" s="6"/>
    </row>
    <row r="48" spans="1:34" ht="18" customHeight="1">
      <c r="A48" s="139" t="s">
        <v>1135</v>
      </c>
      <c r="B48" s="15" t="s">
        <v>553</v>
      </c>
      <c r="C48" s="56" t="s">
        <v>554</v>
      </c>
      <c r="D48" s="21" t="s">
        <v>234</v>
      </c>
      <c r="E48" s="15" t="s">
        <v>514</v>
      </c>
      <c r="F48" s="15" t="s">
        <v>555</v>
      </c>
      <c r="G48" s="15" t="s">
        <v>521</v>
      </c>
      <c r="H48" s="19" t="s">
        <v>61</v>
      </c>
      <c r="I48" s="30">
        <v>12</v>
      </c>
      <c r="J48" s="126"/>
      <c r="K48" s="126"/>
      <c r="L48" s="110"/>
      <c r="M48" s="110"/>
      <c r="N48" s="127"/>
      <c r="O48" s="49" t="s">
        <v>556</v>
      </c>
      <c r="P48" s="35" t="s">
        <v>557</v>
      </c>
      <c r="Q48" s="34" t="s">
        <v>519</v>
      </c>
      <c r="R48" s="35" t="s">
        <v>549</v>
      </c>
      <c r="S48" s="25">
        <v>43252</v>
      </c>
      <c r="T48" s="25">
        <v>43252</v>
      </c>
      <c r="W48" s="25">
        <f t="shared" si="1"/>
        <v>43336</v>
      </c>
      <c r="X48" s="25">
        <v>43336</v>
      </c>
      <c r="Y48" s="107"/>
      <c r="Z48" s="107"/>
      <c r="AA48" s="25"/>
      <c r="AH48" s="6"/>
    </row>
    <row r="49" spans="1:34" ht="18" customHeight="1">
      <c r="A49" s="139" t="s">
        <v>1136</v>
      </c>
      <c r="B49" s="15" t="s">
        <v>553</v>
      </c>
      <c r="C49" s="56" t="s">
        <v>554</v>
      </c>
      <c r="D49" s="21" t="s">
        <v>234</v>
      </c>
      <c r="E49" s="15" t="s">
        <v>514</v>
      </c>
      <c r="F49" s="15" t="s">
        <v>555</v>
      </c>
      <c r="G49" s="15" t="s">
        <v>558</v>
      </c>
      <c r="H49" s="19" t="s">
        <v>61</v>
      </c>
      <c r="I49" s="30">
        <v>12</v>
      </c>
      <c r="J49" s="126"/>
      <c r="K49" s="126"/>
      <c r="L49" s="110"/>
      <c r="M49" s="110"/>
      <c r="N49" s="127"/>
      <c r="O49" s="49" t="s">
        <v>556</v>
      </c>
      <c r="P49" s="35" t="s">
        <v>557</v>
      </c>
      <c r="Q49" s="35" t="s">
        <v>519</v>
      </c>
      <c r="R49" s="35" t="s">
        <v>549</v>
      </c>
      <c r="S49" s="25">
        <v>43252</v>
      </c>
      <c r="T49" s="25">
        <v>43252</v>
      </c>
      <c r="W49" s="25">
        <f t="shared" si="1"/>
        <v>43336</v>
      </c>
      <c r="X49" s="25">
        <v>43336</v>
      </c>
      <c r="Y49" s="107"/>
      <c r="Z49" s="107"/>
      <c r="AA49" s="25"/>
      <c r="AC49" s="10"/>
      <c r="AH49" s="6"/>
    </row>
    <row r="50" spans="1:34" ht="18" customHeight="1">
      <c r="A50" s="139" t="s">
        <v>1137</v>
      </c>
      <c r="B50" s="15" t="s">
        <v>553</v>
      </c>
      <c r="C50" s="56" t="s">
        <v>554</v>
      </c>
      <c r="D50" s="21" t="s">
        <v>234</v>
      </c>
      <c r="E50" s="15" t="s">
        <v>514</v>
      </c>
      <c r="F50" s="15" t="s">
        <v>555</v>
      </c>
      <c r="G50" s="15" t="s">
        <v>559</v>
      </c>
      <c r="H50" s="19" t="s">
        <v>61</v>
      </c>
      <c r="I50" s="30">
        <v>12</v>
      </c>
      <c r="J50" s="126"/>
      <c r="K50" s="126"/>
      <c r="L50" s="110"/>
      <c r="M50" s="110"/>
      <c r="N50" s="127"/>
      <c r="O50" s="49" t="s">
        <v>556</v>
      </c>
      <c r="P50" s="35" t="s">
        <v>557</v>
      </c>
      <c r="Q50" s="35" t="s">
        <v>519</v>
      </c>
      <c r="R50" s="35" t="s">
        <v>549</v>
      </c>
      <c r="S50" s="25">
        <v>43252</v>
      </c>
      <c r="T50" s="25">
        <v>43252</v>
      </c>
      <c r="W50" s="25">
        <f t="shared" si="1"/>
        <v>43336</v>
      </c>
      <c r="X50" s="25">
        <v>43336</v>
      </c>
      <c r="Y50" s="107"/>
      <c r="Z50" s="107"/>
      <c r="AA50" s="25"/>
      <c r="AC50" s="10"/>
      <c r="AH50" s="6"/>
    </row>
    <row r="51" spans="1:34" ht="18" customHeight="1">
      <c r="A51" s="139" t="s">
        <v>1138</v>
      </c>
      <c r="B51" s="15" t="s">
        <v>560</v>
      </c>
      <c r="C51" s="56" t="s">
        <v>561</v>
      </c>
      <c r="D51" s="21" t="s">
        <v>234</v>
      </c>
      <c r="E51" s="15" t="s">
        <v>514</v>
      </c>
      <c r="F51" s="15" t="s">
        <v>56</v>
      </c>
      <c r="G51" s="15" t="s">
        <v>6</v>
      </c>
      <c r="H51" s="3" t="s">
        <v>61</v>
      </c>
      <c r="I51" s="30">
        <v>4</v>
      </c>
      <c r="J51" s="126"/>
      <c r="K51" s="126"/>
      <c r="L51" s="110"/>
      <c r="M51" s="110"/>
      <c r="N51" s="127"/>
      <c r="O51" s="35" t="s">
        <v>1202</v>
      </c>
      <c r="P51" s="35" t="s">
        <v>563</v>
      </c>
      <c r="Q51" s="34" t="s">
        <v>564</v>
      </c>
      <c r="R51" s="35" t="s">
        <v>565</v>
      </c>
      <c r="S51" s="25">
        <v>43070</v>
      </c>
      <c r="T51" s="25">
        <v>43159</v>
      </c>
      <c r="U51" s="4">
        <v>43159</v>
      </c>
      <c r="W51" s="25">
        <f>S51+(I51*7)</f>
        <v>43098</v>
      </c>
      <c r="X51" s="25">
        <v>43205</v>
      </c>
      <c r="Y51" s="107"/>
      <c r="Z51" s="107"/>
      <c r="AA51" s="25"/>
    </row>
    <row r="52" spans="1:34" ht="18" customHeight="1">
      <c r="A52" s="139" t="s">
        <v>1139</v>
      </c>
      <c r="B52" s="15" t="s">
        <v>560</v>
      </c>
      <c r="C52" s="46" t="s">
        <v>561</v>
      </c>
      <c r="D52" s="21" t="s">
        <v>234</v>
      </c>
      <c r="E52" s="15" t="s">
        <v>514</v>
      </c>
      <c r="F52" s="15" t="s">
        <v>56</v>
      </c>
      <c r="G52" s="15" t="s">
        <v>9</v>
      </c>
      <c r="H52" s="3" t="s">
        <v>61</v>
      </c>
      <c r="I52" s="30">
        <v>4</v>
      </c>
      <c r="J52" s="126"/>
      <c r="K52" s="126"/>
      <c r="L52" s="110"/>
      <c r="M52" s="110"/>
      <c r="N52" s="127"/>
      <c r="O52" s="35" t="s">
        <v>562</v>
      </c>
      <c r="P52" s="35" t="s">
        <v>563</v>
      </c>
      <c r="Q52" s="35" t="s">
        <v>564</v>
      </c>
      <c r="R52" s="35" t="s">
        <v>565</v>
      </c>
      <c r="S52" s="25">
        <v>43070</v>
      </c>
      <c r="T52" s="25">
        <v>43159</v>
      </c>
      <c r="U52" s="4">
        <v>43159</v>
      </c>
      <c r="W52" s="25">
        <f>S52+(I52*7)</f>
        <v>43098</v>
      </c>
      <c r="X52" s="25">
        <v>43205</v>
      </c>
      <c r="Y52" s="107"/>
      <c r="Z52" s="107"/>
      <c r="AA52" s="25"/>
    </row>
    <row r="53" spans="1:34" ht="18" customHeight="1">
      <c r="A53" s="139" t="s">
        <v>1140</v>
      </c>
      <c r="B53" s="15" t="s">
        <v>566</v>
      </c>
      <c r="C53" s="46" t="s">
        <v>567</v>
      </c>
      <c r="D53" s="21" t="s">
        <v>234</v>
      </c>
      <c r="E53" s="15" t="s">
        <v>514</v>
      </c>
      <c r="F53" s="15" t="s">
        <v>568</v>
      </c>
      <c r="G53" s="15" t="s">
        <v>569</v>
      </c>
      <c r="H53" s="3" t="s">
        <v>61</v>
      </c>
      <c r="I53" s="30">
        <v>19</v>
      </c>
      <c r="J53" s="126"/>
      <c r="K53" s="126"/>
      <c r="L53" s="110"/>
      <c r="M53" s="110"/>
      <c r="N53" s="127"/>
      <c r="O53" s="49" t="s">
        <v>570</v>
      </c>
      <c r="P53" s="35" t="s">
        <v>571</v>
      </c>
      <c r="Q53" s="35" t="s">
        <v>572</v>
      </c>
      <c r="R53" s="35" t="s">
        <v>573</v>
      </c>
      <c r="S53" s="25">
        <v>43138</v>
      </c>
      <c r="T53" s="25">
        <v>43138</v>
      </c>
      <c r="U53" s="4">
        <v>43138</v>
      </c>
      <c r="W53" s="25">
        <f>S53+(I53*7)</f>
        <v>43271</v>
      </c>
      <c r="X53" s="25">
        <v>43271</v>
      </c>
      <c r="Y53" s="107"/>
      <c r="Z53" s="107"/>
      <c r="AA53" s="25"/>
      <c r="AD53" s="4"/>
      <c r="AE53" s="4"/>
      <c r="AH53" s="6"/>
    </row>
    <row r="54" spans="1:34" ht="18" customHeight="1">
      <c r="A54" s="139" t="s">
        <v>1141</v>
      </c>
      <c r="B54" s="15" t="s">
        <v>566</v>
      </c>
      <c r="C54" s="46" t="s">
        <v>567</v>
      </c>
      <c r="D54" s="21" t="s">
        <v>234</v>
      </c>
      <c r="E54" s="15" t="s">
        <v>514</v>
      </c>
      <c r="F54" s="15" t="s">
        <v>574</v>
      </c>
      <c r="G54" s="15" t="s">
        <v>575</v>
      </c>
      <c r="H54" s="3" t="s">
        <v>61</v>
      </c>
      <c r="I54" s="30">
        <v>19</v>
      </c>
      <c r="J54" s="126"/>
      <c r="K54" s="126"/>
      <c r="L54" s="110"/>
      <c r="M54" s="110"/>
      <c r="N54" s="127"/>
      <c r="O54" s="49" t="s">
        <v>576</v>
      </c>
      <c r="P54" s="35" t="s">
        <v>571</v>
      </c>
      <c r="Q54" s="35" t="s">
        <v>572</v>
      </c>
      <c r="R54" s="35" t="s">
        <v>573</v>
      </c>
      <c r="S54" s="25">
        <v>43138</v>
      </c>
      <c r="T54" s="25">
        <v>43138</v>
      </c>
      <c r="U54" s="4">
        <v>43138</v>
      </c>
      <c r="W54" s="25">
        <f>S54+(I54*7)</f>
        <v>43271</v>
      </c>
      <c r="X54" s="25">
        <v>43271</v>
      </c>
      <c r="Y54" s="107"/>
      <c r="Z54" s="107"/>
      <c r="AA54" s="25"/>
      <c r="AD54" s="4"/>
      <c r="AE54" s="4"/>
      <c r="AH54" s="6"/>
    </row>
    <row r="55" spans="1:34" ht="18" customHeight="1">
      <c r="A55" s="139" t="s">
        <v>1142</v>
      </c>
      <c r="B55" s="21" t="s">
        <v>649</v>
      </c>
      <c r="C55" s="277" t="s">
        <v>650</v>
      </c>
      <c r="D55" s="15" t="s">
        <v>824</v>
      </c>
      <c r="E55" s="21" t="s">
        <v>651</v>
      </c>
      <c r="F55" s="21" t="s">
        <v>652</v>
      </c>
      <c r="G55" s="21" t="s">
        <v>653</v>
      </c>
      <c r="H55" s="19" t="s">
        <v>654</v>
      </c>
      <c r="I55" s="209">
        <v>3</v>
      </c>
      <c r="J55" s="126"/>
      <c r="K55" s="126"/>
      <c r="L55" s="110"/>
      <c r="M55" s="110"/>
      <c r="N55" s="110"/>
      <c r="O55" s="250" t="s">
        <v>650</v>
      </c>
      <c r="P55" s="34" t="s">
        <v>744</v>
      </c>
      <c r="Q55" s="250" t="s">
        <v>745</v>
      </c>
      <c r="R55" s="250" t="s">
        <v>746</v>
      </c>
      <c r="S55" s="25">
        <v>43224</v>
      </c>
      <c r="T55" s="25">
        <v>43224</v>
      </c>
      <c r="U55" s="25"/>
      <c r="V55" s="236"/>
      <c r="W55" s="25">
        <v>43252</v>
      </c>
      <c r="X55" s="107">
        <v>43252</v>
      </c>
      <c r="Y55" s="107"/>
      <c r="Z55" s="107"/>
      <c r="AA55" s="25">
        <v>43261</v>
      </c>
      <c r="AH55" s="6"/>
    </row>
    <row r="56" spans="1:34" ht="18" customHeight="1">
      <c r="A56" s="139" t="s">
        <v>1143</v>
      </c>
      <c r="B56" s="15" t="s">
        <v>655</v>
      </c>
      <c r="C56" s="277" t="s">
        <v>656</v>
      </c>
      <c r="D56" s="15" t="s">
        <v>824</v>
      </c>
      <c r="E56" s="15" t="s">
        <v>651</v>
      </c>
      <c r="F56" s="15" t="s">
        <v>657</v>
      </c>
      <c r="G56" s="15" t="s">
        <v>658</v>
      </c>
      <c r="H56" s="19" t="s">
        <v>654</v>
      </c>
      <c r="I56" s="30">
        <v>12</v>
      </c>
      <c r="J56" s="126"/>
      <c r="K56" s="126"/>
      <c r="L56" s="110"/>
      <c r="M56" s="110"/>
      <c r="N56" s="110"/>
      <c r="O56" s="277" t="s">
        <v>656</v>
      </c>
      <c r="P56" s="35" t="s">
        <v>747</v>
      </c>
      <c r="Q56" s="250" t="s">
        <v>1205</v>
      </c>
      <c r="R56" s="49" t="s">
        <v>748</v>
      </c>
      <c r="S56" s="25">
        <v>43146</v>
      </c>
      <c r="T56" s="25">
        <v>43146</v>
      </c>
      <c r="U56" s="25">
        <v>43146</v>
      </c>
      <c r="V56" s="236"/>
      <c r="W56" s="4">
        <v>43240</v>
      </c>
      <c r="X56" s="107">
        <v>43240</v>
      </c>
      <c r="Y56" s="107"/>
      <c r="Z56" s="107"/>
      <c r="AA56" s="25"/>
      <c r="AH56" s="6"/>
    </row>
    <row r="57" spans="1:34" ht="18" customHeight="1">
      <c r="A57" s="139" t="s">
        <v>1144</v>
      </c>
      <c r="B57" s="15" t="s">
        <v>655</v>
      </c>
      <c r="C57" s="277" t="s">
        <v>659</v>
      </c>
      <c r="D57" s="15" t="s">
        <v>824</v>
      </c>
      <c r="E57" s="21" t="s">
        <v>660</v>
      </c>
      <c r="F57" s="15" t="s">
        <v>661</v>
      </c>
      <c r="G57" s="15" t="s">
        <v>662</v>
      </c>
      <c r="H57" s="19" t="s">
        <v>654</v>
      </c>
      <c r="I57" s="30">
        <v>12</v>
      </c>
      <c r="J57" s="126"/>
      <c r="K57" s="126"/>
      <c r="L57" s="110"/>
      <c r="M57" s="110"/>
      <c r="N57" s="110"/>
      <c r="O57" s="277" t="s">
        <v>659</v>
      </c>
      <c r="P57" s="35" t="s">
        <v>749</v>
      </c>
      <c r="Q57" s="250" t="s">
        <v>1205</v>
      </c>
      <c r="R57" s="49" t="s">
        <v>748</v>
      </c>
      <c r="S57" s="25">
        <v>43146</v>
      </c>
      <c r="T57" s="25">
        <v>43146</v>
      </c>
      <c r="U57" s="25">
        <v>43146</v>
      </c>
      <c r="W57" s="4">
        <v>43240</v>
      </c>
      <c r="X57" s="107">
        <v>43240</v>
      </c>
      <c r="Y57" s="107"/>
      <c r="Z57" s="107"/>
      <c r="AA57" s="25"/>
      <c r="AH57" s="6"/>
    </row>
    <row r="58" spans="1:34" ht="18" customHeight="1">
      <c r="A58" s="139" t="s">
        <v>1145</v>
      </c>
      <c r="B58" s="15" t="s">
        <v>663</v>
      </c>
      <c r="C58" s="277" t="s">
        <v>664</v>
      </c>
      <c r="D58" s="15" t="s">
        <v>824</v>
      </c>
      <c r="E58" s="15" t="s">
        <v>660</v>
      </c>
      <c r="F58" s="15" t="s">
        <v>665</v>
      </c>
      <c r="G58" s="15" t="s">
        <v>662</v>
      </c>
      <c r="H58" s="19" t="s">
        <v>654</v>
      </c>
      <c r="I58" s="30">
        <v>12</v>
      </c>
      <c r="J58" s="126"/>
      <c r="K58" s="126"/>
      <c r="L58" s="110"/>
      <c r="M58" s="110"/>
      <c r="N58" s="110"/>
      <c r="O58" s="277" t="s">
        <v>664</v>
      </c>
      <c r="P58" s="35" t="s">
        <v>750</v>
      </c>
      <c r="Q58" s="250" t="s">
        <v>1205</v>
      </c>
      <c r="R58" s="49" t="s">
        <v>748</v>
      </c>
      <c r="S58" s="25">
        <v>43146</v>
      </c>
      <c r="T58" s="25">
        <v>43146</v>
      </c>
      <c r="U58" s="25">
        <v>43146</v>
      </c>
      <c r="W58" s="4">
        <v>43240</v>
      </c>
      <c r="X58" s="107">
        <v>43240</v>
      </c>
      <c r="Y58" s="107"/>
      <c r="Z58" s="107"/>
      <c r="AA58" s="25"/>
    </row>
    <row r="59" spans="1:34" ht="18" customHeight="1">
      <c r="A59" s="139" t="s">
        <v>1146</v>
      </c>
      <c r="B59" s="15" t="s">
        <v>663</v>
      </c>
      <c r="C59" s="277" t="s">
        <v>666</v>
      </c>
      <c r="D59" s="15" t="s">
        <v>824</v>
      </c>
      <c r="E59" s="21" t="s">
        <v>660</v>
      </c>
      <c r="F59" s="15" t="s">
        <v>667</v>
      </c>
      <c r="G59" s="15" t="s">
        <v>658</v>
      </c>
      <c r="H59" s="19" t="s">
        <v>654</v>
      </c>
      <c r="I59" s="30">
        <v>12</v>
      </c>
      <c r="J59" s="126"/>
      <c r="K59" s="126"/>
      <c r="L59" s="110"/>
      <c r="M59" s="110"/>
      <c r="N59" s="110"/>
      <c r="O59" s="277" t="s">
        <v>666</v>
      </c>
      <c r="P59" s="35" t="s">
        <v>751</v>
      </c>
      <c r="Q59" s="250" t="s">
        <v>1205</v>
      </c>
      <c r="R59" s="49" t="s">
        <v>748</v>
      </c>
      <c r="S59" s="25">
        <v>43146</v>
      </c>
      <c r="T59" s="25">
        <v>43146</v>
      </c>
      <c r="U59" s="25">
        <v>43146</v>
      </c>
      <c r="W59" s="4">
        <v>43240</v>
      </c>
      <c r="X59" s="107">
        <v>43240</v>
      </c>
      <c r="Y59" s="107"/>
      <c r="Z59" s="107"/>
      <c r="AA59" s="25"/>
      <c r="AD59" s="4"/>
      <c r="AE59" s="4"/>
      <c r="AH59" s="6"/>
    </row>
    <row r="60" spans="1:34" ht="18" customHeight="1">
      <c r="A60" s="139" t="s">
        <v>1147</v>
      </c>
      <c r="B60" s="15" t="s">
        <v>663</v>
      </c>
      <c r="C60" s="277" t="s">
        <v>668</v>
      </c>
      <c r="D60" s="15" t="s">
        <v>824</v>
      </c>
      <c r="E60" s="15" t="s">
        <v>660</v>
      </c>
      <c r="F60" s="15" t="s">
        <v>669</v>
      </c>
      <c r="G60" s="15" t="s">
        <v>662</v>
      </c>
      <c r="H60" s="19" t="s">
        <v>654</v>
      </c>
      <c r="I60" s="30">
        <v>12</v>
      </c>
      <c r="J60" s="126"/>
      <c r="K60" s="126"/>
      <c r="L60" s="103"/>
      <c r="M60" s="103"/>
      <c r="N60" s="103"/>
      <c r="O60" s="277" t="s">
        <v>668</v>
      </c>
      <c r="P60" s="35" t="s">
        <v>752</v>
      </c>
      <c r="Q60" s="250" t="s">
        <v>1205</v>
      </c>
      <c r="R60" s="49" t="s">
        <v>748</v>
      </c>
      <c r="S60" s="25">
        <v>43146</v>
      </c>
      <c r="T60" s="25">
        <v>43146</v>
      </c>
      <c r="U60" s="25">
        <v>43146</v>
      </c>
      <c r="W60" s="4">
        <v>43240</v>
      </c>
      <c r="X60" s="107">
        <v>43240</v>
      </c>
      <c r="Y60" s="107"/>
      <c r="Z60" s="107"/>
      <c r="AA60" s="25"/>
      <c r="AB60" s="19"/>
      <c r="AH60" s="6"/>
    </row>
    <row r="61" spans="1:34" ht="18" customHeight="1">
      <c r="A61" s="139" t="s">
        <v>1148</v>
      </c>
      <c r="B61" s="15" t="s">
        <v>663</v>
      </c>
      <c r="C61" s="277" t="s">
        <v>656</v>
      </c>
      <c r="D61" s="15" t="s">
        <v>824</v>
      </c>
      <c r="E61" s="21" t="s">
        <v>660</v>
      </c>
      <c r="F61" s="15" t="s">
        <v>657</v>
      </c>
      <c r="G61" s="15" t="s">
        <v>670</v>
      </c>
      <c r="H61" s="19" t="s">
        <v>654</v>
      </c>
      <c r="I61" s="30">
        <v>12</v>
      </c>
      <c r="J61" s="126"/>
      <c r="K61" s="126"/>
      <c r="L61" s="103"/>
      <c r="M61" s="103"/>
      <c r="N61" s="103"/>
      <c r="O61" s="277" t="s">
        <v>656</v>
      </c>
      <c r="P61" s="35" t="s">
        <v>747</v>
      </c>
      <c r="Q61" s="250" t="s">
        <v>1205</v>
      </c>
      <c r="R61" s="49" t="s">
        <v>748</v>
      </c>
      <c r="S61" s="25">
        <v>43146</v>
      </c>
      <c r="T61" s="25">
        <v>43146</v>
      </c>
      <c r="U61" s="25">
        <v>43146</v>
      </c>
      <c r="W61" s="4">
        <v>43240</v>
      </c>
      <c r="X61" s="107">
        <v>43240</v>
      </c>
      <c r="Y61" s="107"/>
      <c r="Z61" s="107"/>
      <c r="AA61" s="25"/>
      <c r="AB61" s="19"/>
      <c r="AH61" s="6"/>
    </row>
    <row r="62" spans="1:34" ht="18" customHeight="1">
      <c r="A62" s="139" t="s">
        <v>1149</v>
      </c>
      <c r="B62" s="15" t="s">
        <v>663</v>
      </c>
      <c r="C62" s="277" t="s">
        <v>659</v>
      </c>
      <c r="D62" s="15" t="s">
        <v>824</v>
      </c>
      <c r="E62" s="15" t="s">
        <v>660</v>
      </c>
      <c r="F62" s="15" t="s">
        <v>661</v>
      </c>
      <c r="G62" s="15" t="s">
        <v>671</v>
      </c>
      <c r="H62" s="19" t="s">
        <v>654</v>
      </c>
      <c r="I62" s="30">
        <v>12</v>
      </c>
      <c r="J62" s="126"/>
      <c r="K62" s="126"/>
      <c r="L62" s="103"/>
      <c r="M62" s="103"/>
      <c r="N62" s="103"/>
      <c r="O62" s="277" t="s">
        <v>659</v>
      </c>
      <c r="P62" s="35" t="s">
        <v>749</v>
      </c>
      <c r="Q62" s="250" t="s">
        <v>1205</v>
      </c>
      <c r="R62" s="49" t="s">
        <v>748</v>
      </c>
      <c r="S62" s="25">
        <v>43146</v>
      </c>
      <c r="T62" s="25">
        <v>43146</v>
      </c>
      <c r="U62" s="25">
        <v>43146</v>
      </c>
      <c r="W62" s="4">
        <v>43240</v>
      </c>
      <c r="X62" s="107">
        <v>43240</v>
      </c>
      <c r="Y62" s="107"/>
      <c r="Z62" s="107"/>
      <c r="AA62" s="25"/>
      <c r="AB62" s="19"/>
      <c r="AH62" s="6"/>
    </row>
    <row r="63" spans="1:34" ht="18" customHeight="1">
      <c r="A63" s="139" t="s">
        <v>1150</v>
      </c>
      <c r="B63" s="15" t="s">
        <v>663</v>
      </c>
      <c r="C63" s="277" t="s">
        <v>664</v>
      </c>
      <c r="D63" s="15" t="s">
        <v>824</v>
      </c>
      <c r="E63" s="21" t="s">
        <v>660</v>
      </c>
      <c r="F63" s="15" t="s">
        <v>665</v>
      </c>
      <c r="G63" s="15" t="s">
        <v>671</v>
      </c>
      <c r="H63" s="19" t="s">
        <v>654</v>
      </c>
      <c r="I63" s="30">
        <v>12</v>
      </c>
      <c r="J63" s="126"/>
      <c r="K63" s="126"/>
      <c r="L63" s="103"/>
      <c r="M63" s="103"/>
      <c r="N63" s="103"/>
      <c r="O63" s="277" t="s">
        <v>664</v>
      </c>
      <c r="P63" s="35" t="s">
        <v>750</v>
      </c>
      <c r="Q63" s="250" t="s">
        <v>1205</v>
      </c>
      <c r="R63" s="49" t="s">
        <v>748</v>
      </c>
      <c r="S63" s="25">
        <v>43146</v>
      </c>
      <c r="T63" s="4">
        <v>43146</v>
      </c>
      <c r="U63" s="25">
        <v>43146</v>
      </c>
      <c r="W63" s="4">
        <v>43240</v>
      </c>
      <c r="X63" s="107">
        <v>43240</v>
      </c>
      <c r="Y63" s="107"/>
      <c r="Z63" s="107"/>
      <c r="AA63" s="25"/>
      <c r="AB63" s="19"/>
      <c r="AH63" s="6"/>
    </row>
    <row r="64" spans="1:34" ht="18" customHeight="1">
      <c r="A64" s="139" t="s">
        <v>1151</v>
      </c>
      <c r="B64" s="15" t="s">
        <v>663</v>
      </c>
      <c r="C64" s="277" t="s">
        <v>664</v>
      </c>
      <c r="D64" s="15" t="s">
        <v>824</v>
      </c>
      <c r="E64" s="15" t="s">
        <v>660</v>
      </c>
      <c r="F64" s="15" t="s">
        <v>665</v>
      </c>
      <c r="G64" s="15" t="s">
        <v>670</v>
      </c>
      <c r="H64" s="19" t="s">
        <v>654</v>
      </c>
      <c r="I64" s="30">
        <v>12</v>
      </c>
      <c r="J64" s="126"/>
      <c r="K64" s="126"/>
      <c r="L64" s="110"/>
      <c r="M64" s="110"/>
      <c r="N64" s="110"/>
      <c r="O64" s="277" t="s">
        <v>664</v>
      </c>
      <c r="P64" s="35" t="s">
        <v>750</v>
      </c>
      <c r="Q64" s="250" t="s">
        <v>1205</v>
      </c>
      <c r="R64" s="49" t="s">
        <v>748</v>
      </c>
      <c r="S64" s="25">
        <v>43146</v>
      </c>
      <c r="T64" s="4">
        <v>43146</v>
      </c>
      <c r="U64" s="25">
        <v>43146</v>
      </c>
      <c r="W64" s="4">
        <v>43240</v>
      </c>
      <c r="X64" s="107">
        <v>43240</v>
      </c>
      <c r="Y64" s="107"/>
      <c r="Z64" s="107"/>
      <c r="AA64" s="25"/>
      <c r="AD64" s="4"/>
      <c r="AE64" s="4"/>
      <c r="AH64" s="6"/>
    </row>
    <row r="65" spans="1:34" ht="18" customHeight="1">
      <c r="A65" s="139" t="s">
        <v>1152</v>
      </c>
      <c r="B65" s="15" t="s">
        <v>663</v>
      </c>
      <c r="C65" s="277" t="s">
        <v>666</v>
      </c>
      <c r="D65" s="15" t="s">
        <v>824</v>
      </c>
      <c r="E65" s="21" t="s">
        <v>660</v>
      </c>
      <c r="F65" s="15" t="s">
        <v>667</v>
      </c>
      <c r="G65" s="15" t="s">
        <v>671</v>
      </c>
      <c r="H65" s="19" t="s">
        <v>654</v>
      </c>
      <c r="I65" s="30">
        <v>12</v>
      </c>
      <c r="J65" s="126"/>
      <c r="K65" s="126"/>
      <c r="L65" s="110"/>
      <c r="M65" s="110"/>
      <c r="N65" s="110"/>
      <c r="O65" s="277" t="s">
        <v>666</v>
      </c>
      <c r="P65" s="35" t="s">
        <v>751</v>
      </c>
      <c r="Q65" s="250" t="s">
        <v>1205</v>
      </c>
      <c r="R65" s="49" t="s">
        <v>748</v>
      </c>
      <c r="S65" s="25">
        <v>43146</v>
      </c>
      <c r="T65" s="4">
        <v>43146</v>
      </c>
      <c r="U65" s="25">
        <v>43146</v>
      </c>
      <c r="W65" s="4">
        <v>43240</v>
      </c>
      <c r="X65" s="107">
        <v>43240</v>
      </c>
      <c r="Y65" s="107"/>
      <c r="Z65" s="107"/>
      <c r="AA65" s="25"/>
      <c r="AD65" s="4"/>
      <c r="AE65" s="4"/>
      <c r="AH65" s="6"/>
    </row>
    <row r="66" spans="1:34" ht="18" customHeight="1">
      <c r="A66" s="139" t="s">
        <v>1153</v>
      </c>
      <c r="B66" s="15" t="s">
        <v>663</v>
      </c>
      <c r="C66" s="277" t="s">
        <v>666</v>
      </c>
      <c r="D66" s="15" t="s">
        <v>824</v>
      </c>
      <c r="E66" s="15" t="s">
        <v>672</v>
      </c>
      <c r="F66" s="15" t="s">
        <v>673</v>
      </c>
      <c r="G66" s="15" t="s">
        <v>662</v>
      </c>
      <c r="H66" s="19" t="s">
        <v>654</v>
      </c>
      <c r="I66" s="30">
        <v>12</v>
      </c>
      <c r="J66" s="126"/>
      <c r="K66" s="126"/>
      <c r="L66" s="110"/>
      <c r="M66" s="110"/>
      <c r="N66" s="110"/>
      <c r="O66" s="277" t="s">
        <v>666</v>
      </c>
      <c r="P66" s="35" t="s">
        <v>751</v>
      </c>
      <c r="Q66" s="250" t="s">
        <v>1205</v>
      </c>
      <c r="R66" s="49" t="s">
        <v>748</v>
      </c>
      <c r="S66" s="25">
        <v>43146</v>
      </c>
      <c r="T66" s="4">
        <v>43146</v>
      </c>
      <c r="U66" s="25">
        <v>43146</v>
      </c>
      <c r="W66" s="4">
        <v>43240</v>
      </c>
      <c r="X66" s="107">
        <v>43240</v>
      </c>
      <c r="Y66" s="107"/>
      <c r="Z66" s="107"/>
      <c r="AA66" s="25"/>
      <c r="AD66" s="4"/>
      <c r="AE66" s="4"/>
      <c r="AH66" s="6"/>
    </row>
    <row r="67" spans="1:34" ht="18" customHeight="1">
      <c r="A67" s="139" t="s">
        <v>1154</v>
      </c>
      <c r="B67" s="15" t="s">
        <v>674</v>
      </c>
      <c r="C67" s="277" t="s">
        <v>675</v>
      </c>
      <c r="D67" s="15" t="s">
        <v>824</v>
      </c>
      <c r="E67" s="21" t="s">
        <v>651</v>
      </c>
      <c r="F67" s="15" t="s">
        <v>676</v>
      </c>
      <c r="G67" s="15" t="s">
        <v>677</v>
      </c>
      <c r="H67" s="19" t="s">
        <v>654</v>
      </c>
      <c r="I67" s="30">
        <v>9</v>
      </c>
      <c r="J67" s="126"/>
      <c r="K67" s="126"/>
      <c r="L67" s="110"/>
      <c r="M67" s="110"/>
      <c r="N67" s="110"/>
      <c r="O67" s="49" t="s">
        <v>675</v>
      </c>
      <c r="P67" s="35" t="s">
        <v>753</v>
      </c>
      <c r="Q67" s="49" t="s">
        <v>754</v>
      </c>
      <c r="R67" s="49" t="s">
        <v>755</v>
      </c>
      <c r="S67" s="25">
        <v>43197</v>
      </c>
      <c r="T67" s="4">
        <v>43197</v>
      </c>
      <c r="W67" s="4">
        <v>43281</v>
      </c>
      <c r="X67" s="107">
        <v>43281</v>
      </c>
      <c r="Y67" s="107"/>
      <c r="Z67" s="107"/>
      <c r="AA67" s="25"/>
      <c r="AD67" s="4"/>
      <c r="AE67" s="4"/>
      <c r="AH67" s="6"/>
    </row>
    <row r="68" spans="1:34" ht="18" customHeight="1">
      <c r="A68" s="139" t="s">
        <v>1365</v>
      </c>
      <c r="B68" s="15" t="s">
        <v>678</v>
      </c>
      <c r="C68" s="277" t="s">
        <v>679</v>
      </c>
      <c r="D68" s="15" t="s">
        <v>824</v>
      </c>
      <c r="E68" s="15" t="s">
        <v>680</v>
      </c>
      <c r="F68" s="15" t="s">
        <v>681</v>
      </c>
      <c r="G68" s="15" t="s">
        <v>682</v>
      </c>
      <c r="H68" s="19" t="s">
        <v>654</v>
      </c>
      <c r="I68" s="30">
        <v>11</v>
      </c>
      <c r="J68" s="105"/>
      <c r="K68" s="105"/>
      <c r="L68" s="105"/>
      <c r="M68" s="105"/>
      <c r="N68" s="105"/>
      <c r="O68" s="49" t="s">
        <v>679</v>
      </c>
      <c r="P68" s="35" t="s">
        <v>756</v>
      </c>
      <c r="Q68" s="35" t="s">
        <v>757</v>
      </c>
      <c r="R68" s="49" t="s">
        <v>758</v>
      </c>
      <c r="S68" s="25">
        <v>43153</v>
      </c>
      <c r="T68" s="4">
        <v>43153</v>
      </c>
      <c r="U68" s="4">
        <v>43153</v>
      </c>
      <c r="W68" s="4">
        <v>43231</v>
      </c>
      <c r="X68" s="107">
        <v>43241</v>
      </c>
      <c r="Y68" s="107"/>
      <c r="Z68" s="107"/>
      <c r="AA68" s="25"/>
      <c r="AB68" s="19"/>
      <c r="AC68" s="19"/>
      <c r="AD68" s="19"/>
      <c r="AE68" s="19"/>
      <c r="AF68" s="19"/>
      <c r="AG68" s="19"/>
      <c r="AH68" s="19"/>
    </row>
    <row r="69" spans="1:34" ht="18" customHeight="1">
      <c r="A69" s="139" t="s">
        <v>1155</v>
      </c>
      <c r="B69" s="15" t="s">
        <v>683</v>
      </c>
      <c r="C69" s="46" t="s">
        <v>684</v>
      </c>
      <c r="D69" s="15" t="s">
        <v>824</v>
      </c>
      <c r="E69" s="15" t="s">
        <v>685</v>
      </c>
      <c r="F69" s="15" t="s">
        <v>686</v>
      </c>
      <c r="G69" s="15" t="s">
        <v>6</v>
      </c>
      <c r="H69" s="19" t="s">
        <v>58</v>
      </c>
      <c r="I69" s="30">
        <v>7</v>
      </c>
      <c r="J69" s="105"/>
      <c r="K69" s="105"/>
      <c r="L69" s="105"/>
      <c r="M69" s="105"/>
      <c r="N69" s="105"/>
      <c r="O69" s="35" t="s">
        <v>684</v>
      </c>
      <c r="P69" s="35" t="s">
        <v>759</v>
      </c>
      <c r="Q69" s="35" t="s">
        <v>760</v>
      </c>
      <c r="R69" s="35" t="s">
        <v>761</v>
      </c>
      <c r="S69" s="25">
        <v>43172</v>
      </c>
      <c r="T69" s="4">
        <v>43172</v>
      </c>
      <c r="W69" s="4">
        <v>43220</v>
      </c>
      <c r="X69" s="107">
        <v>43220</v>
      </c>
      <c r="Y69" s="107"/>
      <c r="Z69" s="107"/>
      <c r="AA69" s="25"/>
      <c r="AB69" s="19"/>
      <c r="AC69" s="19"/>
      <c r="AD69" s="19"/>
      <c r="AE69" s="19"/>
      <c r="AF69" s="19"/>
      <c r="AG69" s="19"/>
      <c r="AH69" s="19"/>
    </row>
    <row r="70" spans="1:34" ht="18" customHeight="1">
      <c r="A70" s="139" t="s">
        <v>1156</v>
      </c>
      <c r="B70" s="15" t="s">
        <v>683</v>
      </c>
      <c r="C70" s="46" t="s">
        <v>687</v>
      </c>
      <c r="D70" s="15" t="s">
        <v>824</v>
      </c>
      <c r="E70" s="15" t="s">
        <v>685</v>
      </c>
      <c r="F70" s="15" t="s">
        <v>688</v>
      </c>
      <c r="G70" s="15" t="s">
        <v>689</v>
      </c>
      <c r="H70" s="19" t="s">
        <v>58</v>
      </c>
      <c r="I70" s="30">
        <v>7</v>
      </c>
      <c r="J70" s="105"/>
      <c r="K70" s="105"/>
      <c r="L70" s="105"/>
      <c r="M70" s="105"/>
      <c r="N70" s="105"/>
      <c r="O70" s="35" t="s">
        <v>687</v>
      </c>
      <c r="P70" s="35" t="s">
        <v>762</v>
      </c>
      <c r="Q70" s="35" t="s">
        <v>760</v>
      </c>
      <c r="R70" s="35" t="s">
        <v>761</v>
      </c>
      <c r="S70" s="25">
        <v>43172</v>
      </c>
      <c r="T70" s="4">
        <v>43172</v>
      </c>
      <c r="W70" s="4">
        <v>43220</v>
      </c>
      <c r="X70" s="107">
        <v>43220</v>
      </c>
      <c r="Y70" s="107"/>
      <c r="Z70" s="107"/>
      <c r="AA70" s="25"/>
      <c r="AB70" s="19"/>
      <c r="AC70" s="19"/>
      <c r="AD70" s="19"/>
      <c r="AE70" s="19"/>
      <c r="AF70" s="19"/>
      <c r="AG70" s="19"/>
      <c r="AH70" s="19"/>
    </row>
    <row r="71" spans="1:34" ht="18" customHeight="1">
      <c r="A71" s="139" t="s">
        <v>1157</v>
      </c>
      <c r="B71" s="15" t="s">
        <v>690</v>
      </c>
      <c r="C71" s="277" t="s">
        <v>691</v>
      </c>
      <c r="D71" s="15" t="s">
        <v>824</v>
      </c>
      <c r="E71" s="15" t="s">
        <v>692</v>
      </c>
      <c r="F71" s="15" t="s">
        <v>693</v>
      </c>
      <c r="G71" s="15" t="s">
        <v>653</v>
      </c>
      <c r="H71" s="19" t="s">
        <v>654</v>
      </c>
      <c r="I71" s="30">
        <v>15</v>
      </c>
      <c r="J71" s="105"/>
      <c r="K71" s="105"/>
      <c r="L71" s="105"/>
      <c r="M71" s="105"/>
      <c r="N71" s="105"/>
      <c r="O71" s="49" t="s">
        <v>691</v>
      </c>
      <c r="P71" s="35" t="s">
        <v>763</v>
      </c>
      <c r="Q71" s="35" t="s">
        <v>764</v>
      </c>
      <c r="R71" s="49" t="s">
        <v>765</v>
      </c>
      <c r="S71" s="25">
        <v>43095</v>
      </c>
      <c r="T71" s="4">
        <v>43095</v>
      </c>
      <c r="U71" s="4">
        <v>43095</v>
      </c>
      <c r="W71" s="4">
        <v>43200</v>
      </c>
      <c r="X71" s="107">
        <v>43200</v>
      </c>
      <c r="Y71" s="107"/>
      <c r="Z71" s="107"/>
      <c r="AA71" s="25">
        <v>43220</v>
      </c>
      <c r="AB71" s="19"/>
      <c r="AC71" s="19"/>
      <c r="AD71" s="19"/>
      <c r="AE71" s="19"/>
      <c r="AF71" s="19"/>
      <c r="AG71" s="19"/>
      <c r="AH71" s="19"/>
    </row>
    <row r="72" spans="1:34" ht="18" customHeight="1">
      <c r="A72" s="139" t="s">
        <v>1158</v>
      </c>
      <c r="B72" s="15" t="s">
        <v>694</v>
      </c>
      <c r="C72" s="277" t="s">
        <v>695</v>
      </c>
      <c r="D72" s="15" t="s">
        <v>824</v>
      </c>
      <c r="E72" s="15" t="s">
        <v>696</v>
      </c>
      <c r="F72" s="15" t="s">
        <v>697</v>
      </c>
      <c r="G72" s="15" t="s">
        <v>698</v>
      </c>
      <c r="H72" s="19" t="s">
        <v>654</v>
      </c>
      <c r="I72" s="30">
        <v>4</v>
      </c>
      <c r="J72" s="105"/>
      <c r="K72" s="105"/>
      <c r="L72" s="105"/>
      <c r="M72" s="105"/>
      <c r="N72" s="105"/>
      <c r="O72" s="35" t="s">
        <v>766</v>
      </c>
      <c r="P72" s="35" t="s">
        <v>767</v>
      </c>
      <c r="Q72" s="49" t="s">
        <v>768</v>
      </c>
      <c r="R72" s="35" t="s">
        <v>769</v>
      </c>
      <c r="S72" s="25">
        <v>43213</v>
      </c>
      <c r="T72" s="4">
        <v>43213</v>
      </c>
      <c r="W72" s="4">
        <v>43259</v>
      </c>
      <c r="X72" s="107">
        <v>43259</v>
      </c>
      <c r="Y72" s="107"/>
      <c r="Z72" s="107"/>
      <c r="AA72" s="25">
        <v>43280</v>
      </c>
      <c r="AB72" s="19"/>
      <c r="AC72" s="19"/>
      <c r="AD72" s="19"/>
      <c r="AE72" s="19"/>
      <c r="AF72" s="19"/>
      <c r="AG72" s="19"/>
      <c r="AH72" s="19"/>
    </row>
    <row r="73" spans="1:34" ht="18" customHeight="1">
      <c r="A73" s="139" t="s">
        <v>1159</v>
      </c>
      <c r="B73" s="15" t="s">
        <v>699</v>
      </c>
      <c r="C73" s="277" t="s">
        <v>700</v>
      </c>
      <c r="D73" s="15" t="s">
        <v>824</v>
      </c>
      <c r="E73" s="278" t="s">
        <v>701</v>
      </c>
      <c r="F73" s="278" t="s">
        <v>702</v>
      </c>
      <c r="G73" s="210" t="s">
        <v>703</v>
      </c>
      <c r="H73" s="210" t="s">
        <v>654</v>
      </c>
      <c r="I73" s="31">
        <v>16</v>
      </c>
      <c r="J73" s="105"/>
      <c r="K73" s="105"/>
      <c r="L73" s="105"/>
      <c r="M73" s="105"/>
      <c r="N73" s="105"/>
      <c r="O73" s="49" t="s">
        <v>700</v>
      </c>
      <c r="P73" s="35" t="s">
        <v>770</v>
      </c>
      <c r="Q73" s="49" t="s">
        <v>771</v>
      </c>
      <c r="R73" s="49" t="s">
        <v>772</v>
      </c>
      <c r="S73" s="25">
        <v>43143</v>
      </c>
      <c r="T73" s="4">
        <v>43171</v>
      </c>
      <c r="V73" s="311" t="s">
        <v>1212</v>
      </c>
      <c r="W73" s="4">
        <v>43259</v>
      </c>
      <c r="X73" s="107">
        <v>43277</v>
      </c>
      <c r="Y73" s="107"/>
      <c r="Z73" s="107"/>
      <c r="AA73" s="25">
        <v>43271</v>
      </c>
      <c r="AB73" s="19"/>
      <c r="AC73" s="19"/>
      <c r="AD73" s="19"/>
      <c r="AE73" s="19"/>
      <c r="AF73" s="19"/>
      <c r="AG73" s="19"/>
      <c r="AH73" s="19"/>
    </row>
    <row r="74" spans="1:34" ht="18" customHeight="1">
      <c r="A74" s="139" t="s">
        <v>1160</v>
      </c>
      <c r="B74" s="15" t="s">
        <v>699</v>
      </c>
      <c r="C74" s="277" t="s">
        <v>700</v>
      </c>
      <c r="D74" s="15" t="s">
        <v>824</v>
      </c>
      <c r="E74" s="278" t="s">
        <v>701</v>
      </c>
      <c r="F74" s="278" t="s">
        <v>702</v>
      </c>
      <c r="G74" s="210" t="s">
        <v>704</v>
      </c>
      <c r="H74" s="210" t="s">
        <v>654</v>
      </c>
      <c r="I74" s="31">
        <v>16</v>
      </c>
      <c r="J74" s="105"/>
      <c r="K74" s="105"/>
      <c r="L74" s="105"/>
      <c r="M74" s="105"/>
      <c r="N74" s="105"/>
      <c r="O74" s="49" t="s">
        <v>700</v>
      </c>
      <c r="P74" s="35" t="s">
        <v>770</v>
      </c>
      <c r="Q74" s="49" t="s">
        <v>771</v>
      </c>
      <c r="R74" s="49" t="s">
        <v>772</v>
      </c>
      <c r="S74" s="25">
        <v>43143</v>
      </c>
      <c r="T74" s="4">
        <v>43171</v>
      </c>
      <c r="V74" s="311" t="s">
        <v>1212</v>
      </c>
      <c r="W74" s="4">
        <v>43259</v>
      </c>
      <c r="X74" s="107">
        <v>43277</v>
      </c>
      <c r="Y74" s="107"/>
      <c r="Z74" s="107"/>
      <c r="AA74" s="25">
        <v>43271</v>
      </c>
      <c r="AB74" s="19"/>
      <c r="AC74" s="19"/>
      <c r="AD74" s="19"/>
      <c r="AE74" s="19"/>
      <c r="AF74" s="19"/>
      <c r="AG74" s="19"/>
      <c r="AH74" s="19"/>
    </row>
    <row r="75" spans="1:34" ht="18" customHeight="1">
      <c r="A75" s="139" t="s">
        <v>1161</v>
      </c>
      <c r="B75" s="15" t="s">
        <v>705</v>
      </c>
      <c r="C75" s="277" t="s">
        <v>700</v>
      </c>
      <c r="D75" s="15" t="s">
        <v>824</v>
      </c>
      <c r="E75" s="278" t="s">
        <v>701</v>
      </c>
      <c r="F75" s="278" t="s">
        <v>706</v>
      </c>
      <c r="G75" s="210" t="s">
        <v>707</v>
      </c>
      <c r="H75" s="210" t="s">
        <v>654</v>
      </c>
      <c r="I75" s="31">
        <v>16</v>
      </c>
      <c r="J75" s="105"/>
      <c r="K75" s="105"/>
      <c r="L75" s="105"/>
      <c r="M75" s="105"/>
      <c r="N75" s="105"/>
      <c r="O75" s="49" t="s">
        <v>700</v>
      </c>
      <c r="P75" s="35" t="s">
        <v>770</v>
      </c>
      <c r="Q75" s="49" t="s">
        <v>773</v>
      </c>
      <c r="R75" s="49" t="s">
        <v>772</v>
      </c>
      <c r="S75" s="25">
        <v>43143</v>
      </c>
      <c r="T75" s="4">
        <v>43171</v>
      </c>
      <c r="V75" s="311" t="s">
        <v>1212</v>
      </c>
      <c r="W75" s="4">
        <v>43259</v>
      </c>
      <c r="X75" s="107">
        <v>43277</v>
      </c>
      <c r="Y75" s="107"/>
      <c r="Z75" s="107"/>
      <c r="AA75" s="25">
        <v>43271</v>
      </c>
      <c r="AB75" s="19"/>
      <c r="AC75" s="19"/>
      <c r="AD75" s="19"/>
      <c r="AE75" s="19"/>
      <c r="AF75" s="19"/>
      <c r="AG75" s="19"/>
      <c r="AH75" s="19"/>
    </row>
    <row r="76" spans="1:34" ht="18" customHeight="1">
      <c r="A76" s="139" t="s">
        <v>1162</v>
      </c>
      <c r="B76" s="15" t="s">
        <v>705</v>
      </c>
      <c r="C76" s="277" t="s">
        <v>700</v>
      </c>
      <c r="D76" s="15" t="s">
        <v>824</v>
      </c>
      <c r="E76" s="278" t="s">
        <v>701</v>
      </c>
      <c r="F76" s="278" t="s">
        <v>708</v>
      </c>
      <c r="G76" s="210" t="s">
        <v>709</v>
      </c>
      <c r="H76" s="210" t="s">
        <v>654</v>
      </c>
      <c r="I76" s="31">
        <v>16</v>
      </c>
      <c r="J76" s="105"/>
      <c r="K76" s="105"/>
      <c r="L76" s="105"/>
      <c r="M76" s="105"/>
      <c r="N76" s="105"/>
      <c r="O76" s="49" t="s">
        <v>700</v>
      </c>
      <c r="P76" s="35" t="s">
        <v>770</v>
      </c>
      <c r="Q76" s="49" t="s">
        <v>773</v>
      </c>
      <c r="R76" s="49" t="s">
        <v>772</v>
      </c>
      <c r="S76" s="25">
        <v>43143</v>
      </c>
      <c r="T76" s="4">
        <v>43171</v>
      </c>
      <c r="V76" s="311" t="s">
        <v>1212</v>
      </c>
      <c r="W76" s="4">
        <v>43259</v>
      </c>
      <c r="X76" s="107">
        <v>43277</v>
      </c>
      <c r="Y76" s="107"/>
      <c r="Z76" s="107"/>
      <c r="AA76" s="25">
        <v>43271</v>
      </c>
      <c r="AB76" s="19"/>
      <c r="AC76" s="19"/>
      <c r="AD76" s="19"/>
      <c r="AE76" s="19"/>
      <c r="AF76" s="19"/>
      <c r="AG76" s="19"/>
      <c r="AH76" s="19"/>
    </row>
    <row r="77" spans="1:34" ht="18" customHeight="1">
      <c r="A77" s="139" t="s">
        <v>1163</v>
      </c>
      <c r="B77" s="15" t="s">
        <v>705</v>
      </c>
      <c r="C77" s="277" t="s">
        <v>700</v>
      </c>
      <c r="D77" s="15" t="s">
        <v>824</v>
      </c>
      <c r="E77" s="278" t="s">
        <v>701</v>
      </c>
      <c r="F77" s="278" t="s">
        <v>710</v>
      </c>
      <c r="G77" s="278" t="s">
        <v>711</v>
      </c>
      <c r="H77" s="210" t="s">
        <v>654</v>
      </c>
      <c r="I77" s="31">
        <v>16</v>
      </c>
      <c r="J77" s="105"/>
      <c r="K77" s="105"/>
      <c r="L77" s="105"/>
      <c r="M77" s="105"/>
      <c r="N77" s="105"/>
      <c r="O77" s="49" t="s">
        <v>700</v>
      </c>
      <c r="P77" s="35" t="s">
        <v>770</v>
      </c>
      <c r="Q77" s="49" t="s">
        <v>773</v>
      </c>
      <c r="R77" s="49" t="s">
        <v>772</v>
      </c>
      <c r="S77" s="25">
        <v>43143</v>
      </c>
      <c r="T77" s="4">
        <v>43171</v>
      </c>
      <c r="V77" s="311" t="s">
        <v>1212</v>
      </c>
      <c r="W77" s="4">
        <v>43259</v>
      </c>
      <c r="X77" s="107">
        <v>43277</v>
      </c>
      <c r="Y77" s="107"/>
      <c r="Z77" s="107"/>
      <c r="AA77" s="25">
        <v>43271</v>
      </c>
      <c r="AB77" s="19"/>
      <c r="AC77" s="19"/>
      <c r="AD77" s="19"/>
      <c r="AE77" s="19"/>
      <c r="AF77" s="19"/>
      <c r="AG77" s="19"/>
      <c r="AH77" s="19"/>
    </row>
    <row r="78" spans="1:34" ht="18" customHeight="1">
      <c r="A78" s="139" t="s">
        <v>1164</v>
      </c>
      <c r="B78" s="15" t="s">
        <v>705</v>
      </c>
      <c r="C78" s="277" t="s">
        <v>700</v>
      </c>
      <c r="D78" s="15" t="s">
        <v>824</v>
      </c>
      <c r="E78" s="278" t="s">
        <v>701</v>
      </c>
      <c r="F78" s="278" t="s">
        <v>712</v>
      </c>
      <c r="G78" s="210" t="s">
        <v>713</v>
      </c>
      <c r="H78" s="210" t="s">
        <v>654</v>
      </c>
      <c r="I78" s="31">
        <v>16</v>
      </c>
      <c r="J78" s="105"/>
      <c r="K78" s="105"/>
      <c r="L78" s="105"/>
      <c r="M78" s="105"/>
      <c r="N78" s="105"/>
      <c r="O78" s="49" t="s">
        <v>700</v>
      </c>
      <c r="P78" s="35" t="s">
        <v>770</v>
      </c>
      <c r="Q78" s="49" t="s">
        <v>773</v>
      </c>
      <c r="R78" s="49" t="s">
        <v>772</v>
      </c>
      <c r="S78" s="25">
        <v>43143</v>
      </c>
      <c r="T78" s="4">
        <v>43171</v>
      </c>
      <c r="V78" s="311" t="s">
        <v>1212</v>
      </c>
      <c r="W78" s="4">
        <v>43259</v>
      </c>
      <c r="X78" s="107">
        <v>43277</v>
      </c>
      <c r="Y78" s="107"/>
      <c r="Z78" s="107"/>
      <c r="AA78" s="25">
        <v>43271</v>
      </c>
      <c r="AB78" s="19"/>
      <c r="AC78" s="19"/>
      <c r="AD78" s="19"/>
      <c r="AE78" s="19"/>
      <c r="AF78" s="19"/>
      <c r="AG78" s="19"/>
      <c r="AH78" s="19"/>
    </row>
    <row r="79" spans="1:34" ht="18" customHeight="1">
      <c r="A79" s="139" t="s">
        <v>1165</v>
      </c>
      <c r="B79" s="15" t="s">
        <v>705</v>
      </c>
      <c r="C79" s="277" t="s">
        <v>700</v>
      </c>
      <c r="D79" s="15" t="s">
        <v>824</v>
      </c>
      <c r="E79" s="278" t="s">
        <v>701</v>
      </c>
      <c r="F79" s="278" t="s">
        <v>714</v>
      </c>
      <c r="G79" s="210" t="s">
        <v>715</v>
      </c>
      <c r="H79" s="210" t="s">
        <v>654</v>
      </c>
      <c r="I79" s="31">
        <v>16</v>
      </c>
      <c r="J79" s="105"/>
      <c r="K79" s="105"/>
      <c r="L79" s="105"/>
      <c r="M79" s="105"/>
      <c r="N79" s="105"/>
      <c r="O79" s="49" t="s">
        <v>700</v>
      </c>
      <c r="P79" s="35" t="s">
        <v>770</v>
      </c>
      <c r="Q79" s="49" t="s">
        <v>773</v>
      </c>
      <c r="R79" s="49" t="s">
        <v>772</v>
      </c>
      <c r="S79" s="25">
        <v>43143</v>
      </c>
      <c r="T79" s="4">
        <v>43171</v>
      </c>
      <c r="V79" s="311" t="s">
        <v>1212</v>
      </c>
      <c r="W79" s="4">
        <v>43259</v>
      </c>
      <c r="X79" s="107">
        <v>43277</v>
      </c>
      <c r="Y79" s="107"/>
      <c r="Z79" s="107"/>
      <c r="AA79" s="25">
        <v>43271</v>
      </c>
      <c r="AB79" s="19"/>
      <c r="AC79" s="19"/>
      <c r="AD79" s="19"/>
      <c r="AE79" s="19"/>
      <c r="AF79" s="19"/>
      <c r="AG79" s="19"/>
      <c r="AH79" s="19"/>
    </row>
    <row r="80" spans="1:34" ht="18" customHeight="1">
      <c r="A80" s="139" t="s">
        <v>1166</v>
      </c>
      <c r="B80" s="15" t="s">
        <v>705</v>
      </c>
      <c r="C80" s="277" t="s">
        <v>700</v>
      </c>
      <c r="D80" s="15" t="s">
        <v>824</v>
      </c>
      <c r="E80" s="278" t="s">
        <v>701</v>
      </c>
      <c r="F80" s="278" t="s">
        <v>716</v>
      </c>
      <c r="G80" s="210" t="s">
        <v>717</v>
      </c>
      <c r="H80" s="210" t="s">
        <v>654</v>
      </c>
      <c r="I80" s="31">
        <v>16</v>
      </c>
      <c r="J80" s="105"/>
      <c r="K80" s="105"/>
      <c r="L80" s="105"/>
      <c r="M80" s="105"/>
      <c r="N80" s="105"/>
      <c r="O80" s="49" t="s">
        <v>700</v>
      </c>
      <c r="P80" s="35" t="s">
        <v>770</v>
      </c>
      <c r="Q80" s="49" t="s">
        <v>773</v>
      </c>
      <c r="R80" s="49" t="s">
        <v>772</v>
      </c>
      <c r="S80" s="25">
        <v>43143</v>
      </c>
      <c r="T80" s="4">
        <v>43171</v>
      </c>
      <c r="V80" s="311" t="s">
        <v>1212</v>
      </c>
      <c r="W80" s="4">
        <v>43259</v>
      </c>
      <c r="X80" s="107">
        <v>43277</v>
      </c>
      <c r="Y80" s="107"/>
      <c r="Z80" s="107"/>
      <c r="AA80" s="25">
        <v>43271</v>
      </c>
      <c r="AB80" s="19"/>
      <c r="AC80" s="19"/>
      <c r="AD80" s="19"/>
      <c r="AE80" s="19"/>
      <c r="AF80" s="19"/>
      <c r="AG80" s="19"/>
      <c r="AH80" s="19"/>
    </row>
    <row r="81" spans="1:34" ht="18" customHeight="1">
      <c r="A81" s="139" t="s">
        <v>1167</v>
      </c>
      <c r="B81" s="15" t="s">
        <v>705</v>
      </c>
      <c r="C81" s="277" t="s">
        <v>700</v>
      </c>
      <c r="D81" s="15" t="s">
        <v>824</v>
      </c>
      <c r="E81" s="278" t="s">
        <v>701</v>
      </c>
      <c r="F81" s="278" t="s">
        <v>718</v>
      </c>
      <c r="G81" s="210" t="s">
        <v>719</v>
      </c>
      <c r="H81" s="210" t="s">
        <v>654</v>
      </c>
      <c r="I81" s="31">
        <v>16</v>
      </c>
      <c r="J81" s="105"/>
      <c r="K81" s="105"/>
      <c r="L81" s="105"/>
      <c r="M81" s="105"/>
      <c r="N81" s="105"/>
      <c r="O81" s="49" t="s">
        <v>700</v>
      </c>
      <c r="P81" s="35" t="s">
        <v>770</v>
      </c>
      <c r="Q81" s="49" t="s">
        <v>773</v>
      </c>
      <c r="R81" s="49" t="s">
        <v>772</v>
      </c>
      <c r="S81" s="25">
        <v>43143</v>
      </c>
      <c r="T81" s="4">
        <v>43171</v>
      </c>
      <c r="V81" s="311" t="s">
        <v>1212</v>
      </c>
      <c r="W81" s="4">
        <v>43259</v>
      </c>
      <c r="X81" s="107">
        <v>43277</v>
      </c>
      <c r="Y81" s="107"/>
      <c r="Z81" s="107"/>
      <c r="AA81" s="25">
        <v>43271</v>
      </c>
      <c r="AB81" s="19"/>
      <c r="AC81" s="19"/>
      <c r="AD81" s="19"/>
      <c r="AE81" s="19"/>
      <c r="AF81" s="19"/>
      <c r="AG81" s="19"/>
      <c r="AH81" s="19"/>
    </row>
    <row r="82" spans="1:34" ht="18" customHeight="1">
      <c r="A82" s="139" t="s">
        <v>1168</v>
      </c>
      <c r="B82" s="15" t="s">
        <v>705</v>
      </c>
      <c r="C82" s="277" t="s">
        <v>700</v>
      </c>
      <c r="D82" s="15" t="s">
        <v>824</v>
      </c>
      <c r="E82" s="278" t="s">
        <v>701</v>
      </c>
      <c r="F82" s="278" t="s">
        <v>720</v>
      </c>
      <c r="G82" s="210" t="s">
        <v>713</v>
      </c>
      <c r="H82" s="210" t="s">
        <v>654</v>
      </c>
      <c r="I82" s="31">
        <v>16</v>
      </c>
      <c r="J82" s="105"/>
      <c r="K82" s="105"/>
      <c r="L82" s="105"/>
      <c r="M82" s="105"/>
      <c r="N82" s="105"/>
      <c r="O82" s="49" t="s">
        <v>700</v>
      </c>
      <c r="P82" s="35" t="s">
        <v>770</v>
      </c>
      <c r="Q82" s="49" t="s">
        <v>773</v>
      </c>
      <c r="R82" s="49" t="s">
        <v>772</v>
      </c>
      <c r="S82" s="25">
        <v>43143</v>
      </c>
      <c r="T82" s="4">
        <v>43171</v>
      </c>
      <c r="V82" s="311" t="s">
        <v>1212</v>
      </c>
      <c r="W82" s="4">
        <v>43259</v>
      </c>
      <c r="X82" s="107">
        <v>43277</v>
      </c>
      <c r="Y82" s="107"/>
      <c r="Z82" s="107"/>
      <c r="AA82" s="25">
        <v>43271</v>
      </c>
      <c r="AB82" s="19"/>
      <c r="AC82" s="19"/>
      <c r="AD82" s="19"/>
      <c r="AE82" s="19"/>
      <c r="AF82" s="19"/>
      <c r="AG82" s="19"/>
      <c r="AH82" s="19"/>
    </row>
    <row r="83" spans="1:34" ht="18" customHeight="1">
      <c r="A83" s="139" t="s">
        <v>1169</v>
      </c>
      <c r="B83" s="15" t="s">
        <v>705</v>
      </c>
      <c r="C83" s="277" t="s">
        <v>700</v>
      </c>
      <c r="D83" s="15" t="s">
        <v>824</v>
      </c>
      <c r="E83" s="278" t="s">
        <v>660</v>
      </c>
      <c r="F83" s="278" t="s">
        <v>702</v>
      </c>
      <c r="G83" s="210" t="s">
        <v>721</v>
      </c>
      <c r="H83" s="210" t="s">
        <v>654</v>
      </c>
      <c r="I83" s="31">
        <v>16</v>
      </c>
      <c r="J83" s="105"/>
      <c r="K83" s="105"/>
      <c r="L83" s="105"/>
      <c r="M83" s="105"/>
      <c r="N83" s="105"/>
      <c r="O83" s="49" t="s">
        <v>700</v>
      </c>
      <c r="P83" s="35" t="s">
        <v>770</v>
      </c>
      <c r="Q83" s="49" t="s">
        <v>773</v>
      </c>
      <c r="R83" s="49" t="s">
        <v>772</v>
      </c>
      <c r="S83" s="25">
        <v>43143</v>
      </c>
      <c r="T83" s="4">
        <v>43171</v>
      </c>
      <c r="V83" s="311" t="s">
        <v>1212</v>
      </c>
      <c r="W83" s="4">
        <v>43259</v>
      </c>
      <c r="X83" s="107">
        <v>43277</v>
      </c>
      <c r="Y83" s="107"/>
      <c r="Z83" s="107"/>
      <c r="AA83" s="25">
        <v>43271</v>
      </c>
      <c r="AB83" s="19"/>
      <c r="AC83" s="19"/>
      <c r="AD83" s="19"/>
      <c r="AE83" s="19"/>
      <c r="AF83" s="19"/>
      <c r="AG83" s="19"/>
      <c r="AH83" s="19"/>
    </row>
    <row r="84" spans="1:34" ht="18" customHeight="1">
      <c r="A84" s="139" t="s">
        <v>1170</v>
      </c>
      <c r="B84" s="15" t="s">
        <v>705</v>
      </c>
      <c r="C84" s="277" t="s">
        <v>700</v>
      </c>
      <c r="D84" s="15" t="s">
        <v>824</v>
      </c>
      <c r="E84" s="278" t="s">
        <v>660</v>
      </c>
      <c r="F84" s="278" t="s">
        <v>720</v>
      </c>
      <c r="G84" s="278" t="s">
        <v>722</v>
      </c>
      <c r="H84" s="210" t="s">
        <v>654</v>
      </c>
      <c r="I84" s="31">
        <v>16</v>
      </c>
      <c r="J84" s="105"/>
      <c r="K84" s="105"/>
      <c r="L84" s="105"/>
      <c r="M84" s="105"/>
      <c r="N84" s="105"/>
      <c r="O84" s="49" t="s">
        <v>700</v>
      </c>
      <c r="P84" s="35" t="s">
        <v>770</v>
      </c>
      <c r="Q84" s="49" t="s">
        <v>773</v>
      </c>
      <c r="R84" s="49" t="s">
        <v>772</v>
      </c>
      <c r="S84" s="25">
        <v>43143</v>
      </c>
      <c r="T84" s="4">
        <v>43171</v>
      </c>
      <c r="V84" s="311" t="s">
        <v>1212</v>
      </c>
      <c r="W84" s="4">
        <v>43259</v>
      </c>
      <c r="X84" s="107">
        <v>43277</v>
      </c>
      <c r="Y84" s="107"/>
      <c r="Z84" s="107"/>
      <c r="AA84" s="25">
        <v>43271</v>
      </c>
      <c r="AB84" s="19"/>
      <c r="AC84" s="19"/>
      <c r="AD84" s="19"/>
      <c r="AE84" s="19"/>
      <c r="AF84" s="19"/>
      <c r="AG84" s="19"/>
      <c r="AH84" s="19"/>
    </row>
    <row r="85" spans="1:34" ht="18" customHeight="1">
      <c r="A85" s="139" t="s">
        <v>1171</v>
      </c>
      <c r="B85" s="15" t="s">
        <v>705</v>
      </c>
      <c r="C85" s="277" t="s">
        <v>700</v>
      </c>
      <c r="D85" s="15" t="s">
        <v>824</v>
      </c>
      <c r="E85" s="278" t="s">
        <v>660</v>
      </c>
      <c r="F85" s="278" t="s">
        <v>723</v>
      </c>
      <c r="G85" s="278" t="s">
        <v>724</v>
      </c>
      <c r="H85" s="210" t="s">
        <v>654</v>
      </c>
      <c r="I85" s="31">
        <v>16</v>
      </c>
      <c r="J85" s="105"/>
      <c r="K85" s="105"/>
      <c r="L85" s="105"/>
      <c r="M85" s="105"/>
      <c r="N85" s="105"/>
      <c r="O85" s="49" t="s">
        <v>700</v>
      </c>
      <c r="P85" s="35" t="s">
        <v>770</v>
      </c>
      <c r="Q85" s="49" t="s">
        <v>773</v>
      </c>
      <c r="R85" s="49" t="s">
        <v>772</v>
      </c>
      <c r="S85" s="25">
        <v>43143</v>
      </c>
      <c r="T85" s="4">
        <v>43171</v>
      </c>
      <c r="V85" s="311" t="s">
        <v>1212</v>
      </c>
      <c r="W85" s="4">
        <v>43259</v>
      </c>
      <c r="X85" s="107">
        <v>43277</v>
      </c>
      <c r="Y85" s="107"/>
      <c r="Z85" s="107"/>
      <c r="AA85" s="25">
        <v>43271</v>
      </c>
      <c r="AB85" s="19"/>
      <c r="AC85" s="19"/>
      <c r="AD85" s="19"/>
      <c r="AE85" s="19"/>
      <c r="AF85" s="19"/>
      <c r="AG85" s="19"/>
      <c r="AH85" s="19"/>
    </row>
    <row r="86" spans="1:34" ht="18" customHeight="1">
      <c r="A86" s="139" t="s">
        <v>1172</v>
      </c>
      <c r="B86" s="15" t="s">
        <v>705</v>
      </c>
      <c r="C86" s="277" t="s">
        <v>700</v>
      </c>
      <c r="D86" s="15" t="s">
        <v>824</v>
      </c>
      <c r="E86" s="278" t="s">
        <v>660</v>
      </c>
      <c r="F86" s="278" t="s">
        <v>725</v>
      </c>
      <c r="G86" s="278" t="s">
        <v>722</v>
      </c>
      <c r="H86" s="210" t="s">
        <v>654</v>
      </c>
      <c r="I86" s="31">
        <v>16</v>
      </c>
      <c r="J86" s="105"/>
      <c r="K86" s="105"/>
      <c r="L86" s="105"/>
      <c r="M86" s="105"/>
      <c r="N86" s="105"/>
      <c r="O86" s="49" t="s">
        <v>700</v>
      </c>
      <c r="P86" s="35" t="s">
        <v>770</v>
      </c>
      <c r="Q86" s="49" t="s">
        <v>773</v>
      </c>
      <c r="R86" s="49" t="s">
        <v>772</v>
      </c>
      <c r="S86" s="25">
        <v>43143</v>
      </c>
      <c r="T86" s="4">
        <v>43171</v>
      </c>
      <c r="V86" s="311" t="s">
        <v>1212</v>
      </c>
      <c r="W86" s="4">
        <v>43259</v>
      </c>
      <c r="X86" s="107">
        <v>43277</v>
      </c>
      <c r="Y86" s="107"/>
      <c r="Z86" s="107"/>
      <c r="AA86" s="25">
        <v>43271</v>
      </c>
      <c r="AB86" s="19"/>
      <c r="AC86" s="19"/>
      <c r="AD86" s="19"/>
      <c r="AE86" s="19"/>
      <c r="AF86" s="19"/>
      <c r="AG86" s="19"/>
      <c r="AH86" s="19"/>
    </row>
    <row r="87" spans="1:34" ht="18" customHeight="1">
      <c r="A87" s="139" t="s">
        <v>1173</v>
      </c>
      <c r="B87" s="15" t="s">
        <v>705</v>
      </c>
      <c r="C87" s="277" t="s">
        <v>700</v>
      </c>
      <c r="D87" s="15" t="s">
        <v>824</v>
      </c>
      <c r="E87" s="278" t="s">
        <v>660</v>
      </c>
      <c r="F87" s="278" t="s">
        <v>726</v>
      </c>
      <c r="G87" s="278" t="s">
        <v>722</v>
      </c>
      <c r="H87" s="210" t="s">
        <v>654</v>
      </c>
      <c r="I87" s="31">
        <v>16</v>
      </c>
      <c r="J87" s="105"/>
      <c r="K87" s="105"/>
      <c r="L87" s="105"/>
      <c r="M87" s="105"/>
      <c r="N87" s="105"/>
      <c r="O87" s="49" t="s">
        <v>700</v>
      </c>
      <c r="P87" s="35" t="s">
        <v>770</v>
      </c>
      <c r="Q87" s="49" t="s">
        <v>773</v>
      </c>
      <c r="R87" s="49" t="s">
        <v>772</v>
      </c>
      <c r="S87" s="25">
        <v>43143</v>
      </c>
      <c r="T87" s="4">
        <v>43171</v>
      </c>
      <c r="V87" s="311" t="s">
        <v>1212</v>
      </c>
      <c r="W87" s="4">
        <v>43259</v>
      </c>
      <c r="X87" s="107">
        <v>43277</v>
      </c>
      <c r="Y87" s="107"/>
      <c r="Z87" s="107"/>
      <c r="AA87" s="25">
        <v>43271</v>
      </c>
      <c r="AB87" s="19"/>
      <c r="AC87" s="19"/>
      <c r="AD87" s="19"/>
      <c r="AE87" s="19"/>
      <c r="AF87" s="19"/>
      <c r="AG87" s="19"/>
      <c r="AH87" s="19"/>
    </row>
    <row r="88" spans="1:34" ht="18" customHeight="1">
      <c r="A88" s="139" t="s">
        <v>1174</v>
      </c>
      <c r="B88" s="15" t="s">
        <v>705</v>
      </c>
      <c r="C88" s="277" t="s">
        <v>700</v>
      </c>
      <c r="D88" s="15" t="s">
        <v>824</v>
      </c>
      <c r="E88" s="278" t="s">
        <v>660</v>
      </c>
      <c r="F88" s="278" t="s">
        <v>716</v>
      </c>
      <c r="G88" s="278" t="s">
        <v>722</v>
      </c>
      <c r="H88" s="210" t="s">
        <v>654</v>
      </c>
      <c r="I88" s="31">
        <v>16</v>
      </c>
      <c r="J88" s="197"/>
      <c r="K88" s="105"/>
      <c r="L88" s="105"/>
      <c r="M88" s="105"/>
      <c r="N88" s="105"/>
      <c r="O88" s="49" t="s">
        <v>700</v>
      </c>
      <c r="P88" s="35" t="s">
        <v>770</v>
      </c>
      <c r="Q88" s="49" t="s">
        <v>773</v>
      </c>
      <c r="R88" s="49" t="s">
        <v>772</v>
      </c>
      <c r="S88" s="25">
        <v>43143</v>
      </c>
      <c r="T88" s="4">
        <v>43171</v>
      </c>
      <c r="V88" s="311" t="s">
        <v>1212</v>
      </c>
      <c r="W88" s="4">
        <v>43259</v>
      </c>
      <c r="X88" s="107">
        <v>43277</v>
      </c>
      <c r="Y88" s="107"/>
      <c r="Z88" s="107"/>
      <c r="AA88" s="25">
        <v>43271</v>
      </c>
      <c r="AB88" s="19"/>
      <c r="AC88" s="19"/>
      <c r="AD88" s="19"/>
      <c r="AE88" s="19"/>
      <c r="AF88" s="19"/>
      <c r="AG88" s="19"/>
      <c r="AH88" s="19"/>
    </row>
    <row r="89" spans="1:34" ht="18" customHeight="1">
      <c r="A89" s="139" t="s">
        <v>1175</v>
      </c>
      <c r="B89" s="15" t="s">
        <v>727</v>
      </c>
      <c r="C89" s="279" t="s">
        <v>728</v>
      </c>
      <c r="D89" s="15" t="s">
        <v>824</v>
      </c>
      <c r="E89" s="15" t="s">
        <v>729</v>
      </c>
      <c r="F89" s="15" t="s">
        <v>730</v>
      </c>
      <c r="G89" s="15" t="s">
        <v>731</v>
      </c>
      <c r="H89" s="280" t="s">
        <v>654</v>
      </c>
      <c r="I89" s="208">
        <v>8</v>
      </c>
      <c r="J89" s="197"/>
      <c r="K89" s="105"/>
      <c r="L89" s="105"/>
      <c r="M89" s="105"/>
      <c r="N89" s="105"/>
      <c r="O89" s="279" t="s">
        <v>728</v>
      </c>
      <c r="P89" s="35" t="s">
        <v>774</v>
      </c>
      <c r="Q89" s="250" t="s">
        <v>775</v>
      </c>
      <c r="R89" s="49" t="s">
        <v>776</v>
      </c>
      <c r="S89" s="25">
        <v>43179</v>
      </c>
      <c r="T89" s="4">
        <v>43179</v>
      </c>
      <c r="U89" s="4">
        <v>222</v>
      </c>
      <c r="V89" s="62" t="s">
        <v>1573</v>
      </c>
      <c r="W89" s="4">
        <v>43240</v>
      </c>
      <c r="X89" s="107">
        <v>43240</v>
      </c>
      <c r="Y89" s="107"/>
      <c r="Z89" s="107"/>
      <c r="AA89" s="25">
        <v>43271</v>
      </c>
      <c r="AB89" s="19"/>
      <c r="AC89" s="19"/>
      <c r="AD89" s="19"/>
      <c r="AE89" s="19"/>
      <c r="AF89" s="19"/>
      <c r="AG89" s="19"/>
      <c r="AH89" s="19"/>
    </row>
    <row r="90" spans="1:34" ht="18" customHeight="1">
      <c r="A90" s="139" t="s">
        <v>1176</v>
      </c>
      <c r="B90" s="15" t="s">
        <v>732</v>
      </c>
      <c r="C90" s="279" t="s">
        <v>733</v>
      </c>
      <c r="D90" s="15" t="s">
        <v>824</v>
      </c>
      <c r="E90" s="15" t="s">
        <v>651</v>
      </c>
      <c r="F90" s="15" t="s">
        <v>734</v>
      </c>
      <c r="G90" s="15" t="s">
        <v>735</v>
      </c>
      <c r="H90" s="19" t="s">
        <v>654</v>
      </c>
      <c r="I90" s="208">
        <v>8</v>
      </c>
      <c r="J90" s="197"/>
      <c r="K90" s="105"/>
      <c r="L90" s="105"/>
      <c r="M90" s="105"/>
      <c r="N90" s="105"/>
      <c r="O90" s="49" t="s">
        <v>733</v>
      </c>
      <c r="P90" s="35" t="s">
        <v>777</v>
      </c>
      <c r="Q90" s="250" t="s">
        <v>778</v>
      </c>
      <c r="R90" s="49" t="s">
        <v>779</v>
      </c>
      <c r="S90" s="25">
        <v>43205</v>
      </c>
      <c r="T90" s="4">
        <v>43205</v>
      </c>
      <c r="V90" s="62"/>
      <c r="W90" s="4">
        <v>43266</v>
      </c>
      <c r="X90" s="107">
        <v>43266</v>
      </c>
      <c r="Y90" s="107"/>
      <c r="Z90" s="107"/>
      <c r="AA90" s="25">
        <v>43271</v>
      </c>
      <c r="AB90" s="19"/>
      <c r="AC90" s="19"/>
      <c r="AD90" s="19"/>
      <c r="AE90" s="19"/>
      <c r="AF90" s="19"/>
      <c r="AG90" s="19"/>
      <c r="AH90" s="19"/>
    </row>
    <row r="91" spans="1:34" ht="18" customHeight="1">
      <c r="A91" s="139" t="s">
        <v>1177</v>
      </c>
      <c r="B91" s="15" t="s">
        <v>732</v>
      </c>
      <c r="C91" s="279" t="s">
        <v>733</v>
      </c>
      <c r="D91" s="15" t="s">
        <v>824</v>
      </c>
      <c r="E91" s="15" t="s">
        <v>651</v>
      </c>
      <c r="F91" s="15" t="s">
        <v>734</v>
      </c>
      <c r="G91" s="15" t="s">
        <v>736</v>
      </c>
      <c r="H91" s="19" t="s">
        <v>654</v>
      </c>
      <c r="I91" s="208">
        <v>8</v>
      </c>
      <c r="J91" s="197"/>
      <c r="K91" s="105"/>
      <c r="L91" s="105"/>
      <c r="M91" s="105"/>
      <c r="N91" s="105"/>
      <c r="O91" s="49" t="s">
        <v>733</v>
      </c>
      <c r="P91" s="35" t="s">
        <v>777</v>
      </c>
      <c r="Q91" s="250" t="s">
        <v>778</v>
      </c>
      <c r="R91" s="49" t="s">
        <v>779</v>
      </c>
      <c r="S91" s="25">
        <v>43205</v>
      </c>
      <c r="T91" s="4">
        <v>43205</v>
      </c>
      <c r="V91" s="62"/>
      <c r="W91" s="4">
        <v>43266</v>
      </c>
      <c r="X91" s="107">
        <v>43266</v>
      </c>
      <c r="Y91" s="107"/>
      <c r="Z91" s="107"/>
      <c r="AA91" s="25">
        <v>43271</v>
      </c>
      <c r="AB91" s="19"/>
      <c r="AC91" s="19"/>
      <c r="AD91" s="19"/>
      <c r="AE91" s="19"/>
      <c r="AF91" s="19"/>
      <c r="AG91" s="19"/>
      <c r="AH91" s="19"/>
    </row>
    <row r="92" spans="1:34" ht="18" customHeight="1">
      <c r="A92" s="139" t="s">
        <v>1178</v>
      </c>
      <c r="B92" s="15" t="s">
        <v>732</v>
      </c>
      <c r="C92" s="279" t="s">
        <v>733</v>
      </c>
      <c r="D92" s="15" t="s">
        <v>824</v>
      </c>
      <c r="E92" s="15" t="s">
        <v>651</v>
      </c>
      <c r="F92" s="15" t="s">
        <v>734</v>
      </c>
      <c r="G92" s="15" t="s">
        <v>737</v>
      </c>
      <c r="H92" s="19" t="s">
        <v>654</v>
      </c>
      <c r="I92" s="208">
        <v>8</v>
      </c>
      <c r="J92" s="197"/>
      <c r="K92" s="105"/>
      <c r="L92" s="105"/>
      <c r="M92" s="105"/>
      <c r="N92" s="105"/>
      <c r="O92" s="49" t="s">
        <v>733</v>
      </c>
      <c r="P92" s="35" t="s">
        <v>777</v>
      </c>
      <c r="Q92" s="250" t="s">
        <v>778</v>
      </c>
      <c r="R92" s="49" t="s">
        <v>779</v>
      </c>
      <c r="S92" s="25">
        <v>43205</v>
      </c>
      <c r="T92" s="4">
        <v>43205</v>
      </c>
      <c r="V92" s="62"/>
      <c r="W92" s="4">
        <v>43266</v>
      </c>
      <c r="X92" s="107">
        <v>43266</v>
      </c>
      <c r="Y92" s="107"/>
      <c r="Z92" s="108"/>
      <c r="AA92" s="25">
        <v>43271</v>
      </c>
      <c r="AB92" s="19"/>
      <c r="AC92" s="19"/>
      <c r="AD92" s="19"/>
      <c r="AE92" s="19"/>
      <c r="AF92" s="19"/>
      <c r="AG92" s="19"/>
      <c r="AH92" s="19"/>
    </row>
    <row r="93" spans="1:34" ht="18" customHeight="1">
      <c r="A93" s="139" t="s">
        <v>1179</v>
      </c>
      <c r="B93" s="15" t="s">
        <v>732</v>
      </c>
      <c r="C93" s="279" t="s">
        <v>733</v>
      </c>
      <c r="D93" s="15" t="s">
        <v>824</v>
      </c>
      <c r="E93" s="15" t="s">
        <v>651</v>
      </c>
      <c r="F93" s="15" t="s">
        <v>734</v>
      </c>
      <c r="G93" s="15" t="s">
        <v>738</v>
      </c>
      <c r="H93" s="19" t="s">
        <v>654</v>
      </c>
      <c r="I93" s="208">
        <v>8</v>
      </c>
      <c r="J93" s="197"/>
      <c r="K93" s="105"/>
      <c r="L93" s="105"/>
      <c r="M93" s="105"/>
      <c r="N93" s="105"/>
      <c r="O93" s="49" t="s">
        <v>733</v>
      </c>
      <c r="P93" s="35" t="s">
        <v>777</v>
      </c>
      <c r="Q93" s="250" t="s">
        <v>778</v>
      </c>
      <c r="R93" s="49" t="s">
        <v>779</v>
      </c>
      <c r="S93" s="25">
        <v>43205</v>
      </c>
      <c r="T93" s="4">
        <v>43205</v>
      </c>
      <c r="W93" s="4">
        <v>43266</v>
      </c>
      <c r="X93" s="107">
        <v>43266</v>
      </c>
      <c r="Y93" s="107"/>
      <c r="Z93" s="107"/>
      <c r="AA93" s="25">
        <v>43271</v>
      </c>
      <c r="AB93" s="19"/>
      <c r="AC93" s="19"/>
      <c r="AD93" s="19"/>
      <c r="AE93" s="19"/>
      <c r="AF93" s="19"/>
      <c r="AG93" s="19"/>
      <c r="AH93" s="19"/>
    </row>
    <row r="94" spans="1:34" ht="18" customHeight="1">
      <c r="A94" s="139" t="s">
        <v>1180</v>
      </c>
      <c r="B94" s="15" t="s">
        <v>739</v>
      </c>
      <c r="C94" s="46" t="s">
        <v>740</v>
      </c>
      <c r="D94" s="15" t="s">
        <v>824</v>
      </c>
      <c r="E94" s="15" t="s">
        <v>741</v>
      </c>
      <c r="F94" s="15" t="s">
        <v>742</v>
      </c>
      <c r="G94" s="15" t="s">
        <v>743</v>
      </c>
      <c r="H94" s="19" t="s">
        <v>654</v>
      </c>
      <c r="I94" s="30">
        <v>8</v>
      </c>
      <c r="J94" s="197"/>
      <c r="K94" s="105"/>
      <c r="L94" s="105"/>
      <c r="M94" s="105"/>
      <c r="N94" s="105"/>
      <c r="O94" s="35" t="s">
        <v>740</v>
      </c>
      <c r="P94" s="35" t="s">
        <v>780</v>
      </c>
      <c r="Q94" s="250" t="s">
        <v>781</v>
      </c>
      <c r="R94" s="49" t="s">
        <v>782</v>
      </c>
      <c r="S94" s="25">
        <v>43143</v>
      </c>
      <c r="T94" s="4">
        <v>43205</v>
      </c>
      <c r="V94" s="222" t="s">
        <v>1209</v>
      </c>
      <c r="W94" s="4">
        <v>43202</v>
      </c>
      <c r="X94" s="107">
        <v>43252</v>
      </c>
      <c r="Y94" s="107"/>
      <c r="Z94" s="222" t="s">
        <v>1209</v>
      </c>
      <c r="AA94" s="25">
        <v>43225</v>
      </c>
      <c r="AB94" s="19"/>
      <c r="AC94" s="19"/>
      <c r="AD94" s="19"/>
      <c r="AE94" s="19"/>
      <c r="AF94" s="19"/>
      <c r="AG94" s="19"/>
      <c r="AH94" s="19"/>
    </row>
    <row r="95" spans="1:34" ht="18" customHeight="1">
      <c r="A95" s="139" t="s">
        <v>1181</v>
      </c>
      <c r="B95" s="15" t="s">
        <v>580</v>
      </c>
      <c r="C95" s="46" t="s">
        <v>581</v>
      </c>
      <c r="D95" s="21" t="s">
        <v>230</v>
      </c>
      <c r="E95" s="15"/>
      <c r="F95" s="15" t="s">
        <v>582</v>
      </c>
      <c r="G95" s="15"/>
      <c r="H95" s="19" t="s">
        <v>61</v>
      </c>
      <c r="I95" s="30">
        <v>4</v>
      </c>
      <c r="J95" s="65"/>
      <c r="K95" s="65"/>
      <c r="L95" s="65"/>
      <c r="M95" s="15"/>
      <c r="N95" s="15"/>
      <c r="O95" s="49" t="s">
        <v>236</v>
      </c>
      <c r="P95" s="35" t="s">
        <v>581</v>
      </c>
      <c r="Q95" s="35" t="s">
        <v>583</v>
      </c>
      <c r="R95" s="35" t="s">
        <v>584</v>
      </c>
      <c r="S95" s="25">
        <v>43225</v>
      </c>
      <c r="T95" s="25">
        <v>43225</v>
      </c>
      <c r="U95" s="25"/>
      <c r="V95" s="236"/>
      <c r="W95" s="4">
        <v>43256</v>
      </c>
      <c r="X95" s="4">
        <v>43256</v>
      </c>
      <c r="AA95" s="25"/>
      <c r="AD95" s="4"/>
      <c r="AE95" s="4"/>
      <c r="AH95" s="6"/>
    </row>
    <row r="96" spans="1:34" ht="18" customHeight="1">
      <c r="A96" s="139" t="s">
        <v>1182</v>
      </c>
      <c r="B96" s="21" t="s">
        <v>585</v>
      </c>
      <c r="C96" s="46" t="s">
        <v>586</v>
      </c>
      <c r="D96" s="21" t="s">
        <v>63</v>
      </c>
      <c r="E96" s="21" t="s">
        <v>587</v>
      </c>
      <c r="F96" s="21" t="s">
        <v>588</v>
      </c>
      <c r="G96" s="21" t="s">
        <v>589</v>
      </c>
      <c r="H96" s="19" t="s">
        <v>58</v>
      </c>
      <c r="I96" s="209">
        <v>3.5</v>
      </c>
      <c r="J96" s="65"/>
      <c r="K96" s="65"/>
      <c r="L96" s="65"/>
      <c r="M96" s="21"/>
      <c r="N96" s="21"/>
      <c r="O96" s="250" t="s">
        <v>590</v>
      </c>
      <c r="P96" s="34" t="s">
        <v>586</v>
      </c>
      <c r="Q96" s="34" t="s">
        <v>591</v>
      </c>
      <c r="R96" s="34" t="s">
        <v>592</v>
      </c>
      <c r="S96" s="25">
        <v>43115</v>
      </c>
      <c r="T96" s="25">
        <v>43115</v>
      </c>
      <c r="U96" s="25">
        <v>43128</v>
      </c>
      <c r="V96" s="236"/>
      <c r="W96" s="25">
        <v>43220</v>
      </c>
      <c r="X96" s="25">
        <v>43220</v>
      </c>
      <c r="Y96" s="25"/>
      <c r="Z96" s="237"/>
      <c r="AA96" s="25" t="s">
        <v>593</v>
      </c>
    </row>
    <row r="97" spans="1:34" ht="18" customHeight="1">
      <c r="A97" s="139" t="s">
        <v>1183</v>
      </c>
      <c r="B97" s="15" t="s">
        <v>600</v>
      </c>
      <c r="C97" s="46" t="s">
        <v>601</v>
      </c>
      <c r="D97" s="21" t="s">
        <v>230</v>
      </c>
      <c r="E97" s="15" t="s">
        <v>602</v>
      </c>
      <c r="F97" s="15" t="s">
        <v>603</v>
      </c>
      <c r="G97" s="15" t="s">
        <v>6</v>
      </c>
      <c r="H97" s="19" t="s">
        <v>61</v>
      </c>
      <c r="I97" s="30">
        <v>6</v>
      </c>
      <c r="J97" s="65"/>
      <c r="K97" s="65"/>
      <c r="L97" s="65"/>
      <c r="M97" s="15"/>
      <c r="N97" s="15"/>
      <c r="O97" s="49" t="s">
        <v>604</v>
      </c>
      <c r="P97" s="35" t="s">
        <v>605</v>
      </c>
      <c r="Q97" s="35" t="s">
        <v>249</v>
      </c>
      <c r="R97" s="35" t="s">
        <v>606</v>
      </c>
      <c r="S97" s="25">
        <v>43192</v>
      </c>
      <c r="T97" s="25">
        <v>43192</v>
      </c>
      <c r="U97" s="25"/>
      <c r="W97" s="4">
        <v>43238</v>
      </c>
      <c r="X97" s="4">
        <v>43238</v>
      </c>
      <c r="AA97" s="25"/>
      <c r="AH97" s="6"/>
    </row>
    <row r="98" spans="1:34" ht="18" customHeight="1">
      <c r="A98" s="139" t="s">
        <v>1184</v>
      </c>
      <c r="B98" s="15" t="s">
        <v>607</v>
      </c>
      <c r="C98" s="46" t="s">
        <v>608</v>
      </c>
      <c r="D98" s="21" t="s">
        <v>230</v>
      </c>
      <c r="E98" s="15" t="s">
        <v>602</v>
      </c>
      <c r="F98" s="15" t="s">
        <v>609</v>
      </c>
      <c r="G98" s="15" t="s">
        <v>6</v>
      </c>
      <c r="H98" s="19" t="s">
        <v>61</v>
      </c>
      <c r="I98" s="30">
        <v>13</v>
      </c>
      <c r="J98" s="65"/>
      <c r="K98" s="65"/>
      <c r="L98" s="65"/>
      <c r="M98" s="15"/>
      <c r="N98" s="15"/>
      <c r="O98" s="49" t="s">
        <v>610</v>
      </c>
      <c r="P98" s="46" t="s">
        <v>608</v>
      </c>
      <c r="Q98" s="35" t="s">
        <v>611</v>
      </c>
      <c r="R98" s="35" t="s">
        <v>612</v>
      </c>
      <c r="S98" s="25">
        <v>43165</v>
      </c>
      <c r="T98" s="25">
        <v>43165</v>
      </c>
      <c r="U98" s="25">
        <v>43171</v>
      </c>
      <c r="V98" s="311" t="s">
        <v>1461</v>
      </c>
      <c r="W98" s="4">
        <v>43235</v>
      </c>
      <c r="X98" s="4">
        <v>43235</v>
      </c>
      <c r="AA98" s="25"/>
    </row>
    <row r="99" spans="1:34" ht="18" customHeight="1">
      <c r="A99" s="139" t="s">
        <v>1185</v>
      </c>
      <c r="B99" s="15" t="s">
        <v>613</v>
      </c>
      <c r="C99" s="46" t="s">
        <v>614</v>
      </c>
      <c r="D99" s="21" t="s">
        <v>230</v>
      </c>
      <c r="E99" s="15" t="s">
        <v>615</v>
      </c>
      <c r="F99" s="15" t="s">
        <v>616</v>
      </c>
      <c r="G99" s="15" t="s">
        <v>66</v>
      </c>
      <c r="H99" s="19" t="s">
        <v>61</v>
      </c>
      <c r="I99" s="30">
        <v>13</v>
      </c>
      <c r="J99" s="65"/>
      <c r="K99" s="65"/>
      <c r="L99" s="65"/>
      <c r="M99" s="15"/>
      <c r="N99" s="15"/>
      <c r="O99" s="49" t="s">
        <v>617</v>
      </c>
      <c r="P99" s="35" t="s">
        <v>618</v>
      </c>
      <c r="Q99" s="35" t="s">
        <v>611</v>
      </c>
      <c r="R99" s="35" t="s">
        <v>612</v>
      </c>
      <c r="S99" s="25">
        <v>43165</v>
      </c>
      <c r="T99" s="25">
        <v>43165</v>
      </c>
      <c r="U99" s="25">
        <v>43171</v>
      </c>
      <c r="V99" s="311" t="s">
        <v>1461</v>
      </c>
      <c r="W99" s="4">
        <v>43235</v>
      </c>
      <c r="X99" s="4">
        <v>43235</v>
      </c>
      <c r="AA99" s="25"/>
    </row>
    <row r="100" spans="1:34" ht="18" customHeight="1">
      <c r="A100" s="139" t="s">
        <v>1186</v>
      </c>
      <c r="B100" s="15" t="s">
        <v>613</v>
      </c>
      <c r="C100" s="46" t="s">
        <v>614</v>
      </c>
      <c r="D100" s="21" t="s">
        <v>230</v>
      </c>
      <c r="E100" s="15" t="s">
        <v>619</v>
      </c>
      <c r="F100" s="15" t="s">
        <v>616</v>
      </c>
      <c r="G100" s="15" t="s">
        <v>6</v>
      </c>
      <c r="H100" s="19" t="s">
        <v>61</v>
      </c>
      <c r="I100" s="30">
        <v>13</v>
      </c>
      <c r="J100" s="65"/>
      <c r="K100" s="65"/>
      <c r="L100" s="65"/>
      <c r="M100" s="15"/>
      <c r="N100" s="15"/>
      <c r="O100" s="49" t="s">
        <v>620</v>
      </c>
      <c r="P100" s="35" t="s">
        <v>621</v>
      </c>
      <c r="Q100" s="35" t="s">
        <v>622</v>
      </c>
      <c r="R100" s="35" t="s">
        <v>612</v>
      </c>
      <c r="S100" s="25">
        <v>43165</v>
      </c>
      <c r="T100" s="25">
        <v>43165</v>
      </c>
      <c r="U100" s="25">
        <v>43171</v>
      </c>
      <c r="V100" s="311" t="s">
        <v>1461</v>
      </c>
      <c r="W100" s="4">
        <v>43235</v>
      </c>
      <c r="X100" s="4">
        <v>43235</v>
      </c>
      <c r="AA100" s="25"/>
      <c r="AH100" s="6"/>
    </row>
    <row r="101" spans="1:34" ht="18" customHeight="1">
      <c r="A101" s="139" t="s">
        <v>1187</v>
      </c>
      <c r="B101" s="15" t="s">
        <v>613</v>
      </c>
      <c r="C101" s="46" t="s">
        <v>614</v>
      </c>
      <c r="D101" s="21" t="s">
        <v>230</v>
      </c>
      <c r="E101" s="15" t="s">
        <v>623</v>
      </c>
      <c r="F101" s="15" t="s">
        <v>616</v>
      </c>
      <c r="G101" s="15" t="s">
        <v>575</v>
      </c>
      <c r="H101" s="19" t="s">
        <v>61</v>
      </c>
      <c r="I101" s="30">
        <v>13</v>
      </c>
      <c r="J101" s="65"/>
      <c r="K101" s="65"/>
      <c r="L101" s="65"/>
      <c r="M101" s="15"/>
      <c r="N101" s="15"/>
      <c r="O101" s="49" t="s">
        <v>624</v>
      </c>
      <c r="P101" s="35" t="s">
        <v>625</v>
      </c>
      <c r="Q101" s="35" t="s">
        <v>611</v>
      </c>
      <c r="R101" s="35" t="s">
        <v>612</v>
      </c>
      <c r="S101" s="25">
        <v>43165</v>
      </c>
      <c r="T101" s="25">
        <v>43165</v>
      </c>
      <c r="U101" s="25">
        <v>43171</v>
      </c>
      <c r="V101" s="311" t="s">
        <v>1461</v>
      </c>
      <c r="W101" s="4">
        <v>43235</v>
      </c>
      <c r="X101" s="4">
        <v>43235</v>
      </c>
      <c r="AA101" s="25"/>
      <c r="AH101" s="6"/>
    </row>
    <row r="102" spans="1:34" ht="18" customHeight="1">
      <c r="A102" s="139" t="s">
        <v>1188</v>
      </c>
      <c r="B102" s="15" t="s">
        <v>613</v>
      </c>
      <c r="C102" s="46" t="s">
        <v>614</v>
      </c>
      <c r="D102" s="21" t="s">
        <v>230</v>
      </c>
      <c r="E102" s="15" t="s">
        <v>619</v>
      </c>
      <c r="F102" s="15" t="s">
        <v>626</v>
      </c>
      <c r="G102" s="15" t="s">
        <v>9</v>
      </c>
      <c r="H102" s="19" t="s">
        <v>61</v>
      </c>
      <c r="I102" s="30">
        <v>13</v>
      </c>
      <c r="J102" s="65"/>
      <c r="K102" s="65"/>
      <c r="L102" s="65"/>
      <c r="M102" s="15"/>
      <c r="N102" s="15"/>
      <c r="O102" s="49" t="s">
        <v>627</v>
      </c>
      <c r="P102" s="35" t="s">
        <v>628</v>
      </c>
      <c r="Q102" s="35" t="s">
        <v>611</v>
      </c>
      <c r="R102" s="35" t="s">
        <v>612</v>
      </c>
      <c r="S102" s="25">
        <v>43165</v>
      </c>
      <c r="T102" s="25">
        <v>43165</v>
      </c>
      <c r="U102" s="25">
        <v>43171</v>
      </c>
      <c r="V102" s="311" t="s">
        <v>1461</v>
      </c>
      <c r="W102" s="4">
        <v>43235</v>
      </c>
      <c r="X102" s="4">
        <v>43235</v>
      </c>
      <c r="AA102" s="25"/>
      <c r="AH102" s="6"/>
    </row>
    <row r="103" spans="1:34" ht="18" customHeight="1">
      <c r="A103" s="139" t="s">
        <v>1189</v>
      </c>
      <c r="B103" s="15" t="s">
        <v>629</v>
      </c>
      <c r="C103" s="210" t="s">
        <v>630</v>
      </c>
      <c r="D103" s="21" t="s">
        <v>230</v>
      </c>
      <c r="E103" s="15" t="s">
        <v>602</v>
      </c>
      <c r="F103" s="15" t="s">
        <v>631</v>
      </c>
      <c r="G103" s="15" t="s">
        <v>7</v>
      </c>
      <c r="H103" s="19" t="s">
        <v>61</v>
      </c>
      <c r="I103" s="30">
        <v>18</v>
      </c>
      <c r="J103" s="126"/>
      <c r="K103" s="126"/>
      <c r="L103" s="110"/>
      <c r="M103" s="110"/>
      <c r="N103" s="109"/>
      <c r="O103" s="113" t="s">
        <v>632</v>
      </c>
      <c r="P103" s="210" t="s">
        <v>630</v>
      </c>
      <c r="Q103" s="113" t="s">
        <v>250</v>
      </c>
      <c r="R103" s="104" t="s">
        <v>633</v>
      </c>
      <c r="S103" s="107">
        <v>43106</v>
      </c>
      <c r="T103" s="107">
        <v>43106</v>
      </c>
      <c r="U103" s="107">
        <v>43106</v>
      </c>
      <c r="V103" s="107"/>
      <c r="W103" s="107">
        <v>43263</v>
      </c>
      <c r="X103" s="229">
        <v>43403</v>
      </c>
      <c r="Y103" s="107"/>
      <c r="Z103" s="107"/>
      <c r="AA103" s="25"/>
      <c r="AH103" s="6"/>
    </row>
    <row r="104" spans="1:34" ht="18" customHeight="1">
      <c r="A104" s="139" t="s">
        <v>97</v>
      </c>
      <c r="B104" s="15" t="s">
        <v>629</v>
      </c>
      <c r="C104" s="210" t="s">
        <v>630</v>
      </c>
      <c r="D104" s="21" t="s">
        <v>230</v>
      </c>
      <c r="E104" s="15" t="s">
        <v>602</v>
      </c>
      <c r="F104" s="15" t="s">
        <v>634</v>
      </c>
      <c r="G104" s="15" t="s">
        <v>7</v>
      </c>
      <c r="H104" s="19" t="s">
        <v>61</v>
      </c>
      <c r="I104" s="30">
        <v>18</v>
      </c>
      <c r="J104" s="126"/>
      <c r="K104" s="126"/>
      <c r="L104" s="110"/>
      <c r="M104" s="110"/>
      <c r="N104" s="109"/>
      <c r="O104" s="113" t="s">
        <v>632</v>
      </c>
      <c r="P104" s="210" t="s">
        <v>630</v>
      </c>
      <c r="Q104" s="113" t="s">
        <v>250</v>
      </c>
      <c r="R104" s="104" t="s">
        <v>633</v>
      </c>
      <c r="S104" s="107">
        <v>43106</v>
      </c>
      <c r="T104" s="107">
        <v>43106</v>
      </c>
      <c r="U104" s="107">
        <v>43106</v>
      </c>
      <c r="V104" s="107"/>
      <c r="W104" s="107">
        <v>43263</v>
      </c>
      <c r="X104" s="229">
        <v>43403</v>
      </c>
      <c r="Y104" s="107"/>
      <c r="Z104" s="107"/>
      <c r="AA104" s="25"/>
      <c r="AH104" s="6"/>
    </row>
    <row r="105" spans="1:34" ht="18" customHeight="1">
      <c r="A105" s="139" t="s">
        <v>98</v>
      </c>
      <c r="B105" s="15" t="s">
        <v>629</v>
      </c>
      <c r="C105" s="210" t="s">
        <v>630</v>
      </c>
      <c r="D105" s="21" t="s">
        <v>230</v>
      </c>
      <c r="E105" s="15" t="s">
        <v>602</v>
      </c>
      <c r="F105" s="15" t="s">
        <v>635</v>
      </c>
      <c r="G105" s="15" t="s">
        <v>7</v>
      </c>
      <c r="H105" s="19" t="s">
        <v>61</v>
      </c>
      <c r="I105" s="30">
        <v>18</v>
      </c>
      <c r="J105" s="126"/>
      <c r="K105" s="126"/>
      <c r="L105" s="110"/>
      <c r="M105" s="110"/>
      <c r="N105" s="127"/>
      <c r="O105" s="113" t="s">
        <v>632</v>
      </c>
      <c r="P105" s="210" t="s">
        <v>630</v>
      </c>
      <c r="Q105" s="113" t="s">
        <v>636</v>
      </c>
      <c r="R105" s="104" t="s">
        <v>633</v>
      </c>
      <c r="S105" s="107">
        <v>43106</v>
      </c>
      <c r="T105" s="107">
        <v>43106</v>
      </c>
      <c r="U105" s="107">
        <v>43106</v>
      </c>
      <c r="V105" s="107"/>
      <c r="W105" s="107">
        <v>43263</v>
      </c>
      <c r="X105" s="229">
        <v>43403</v>
      </c>
      <c r="Y105" s="107"/>
      <c r="Z105" s="107"/>
      <c r="AA105" s="25"/>
      <c r="AH105" s="6"/>
    </row>
    <row r="106" spans="1:34" ht="18" customHeight="1">
      <c r="A106" s="139" t="s">
        <v>99</v>
      </c>
      <c r="B106" s="15" t="s">
        <v>629</v>
      </c>
      <c r="C106" s="210" t="s">
        <v>630</v>
      </c>
      <c r="D106" s="21" t="s">
        <v>230</v>
      </c>
      <c r="E106" s="15" t="s">
        <v>602</v>
      </c>
      <c r="F106" s="15" t="s">
        <v>637</v>
      </c>
      <c r="G106" s="15" t="s">
        <v>7</v>
      </c>
      <c r="H106" s="19" t="s">
        <v>61</v>
      </c>
      <c r="I106" s="30">
        <v>18</v>
      </c>
      <c r="J106" s="126"/>
      <c r="K106" s="126"/>
      <c r="L106" s="110"/>
      <c r="M106" s="110"/>
      <c r="N106" s="127"/>
      <c r="O106" s="113" t="s">
        <v>632</v>
      </c>
      <c r="P106" s="210" t="s">
        <v>630</v>
      </c>
      <c r="Q106" s="113" t="s">
        <v>250</v>
      </c>
      <c r="R106" s="104" t="s">
        <v>633</v>
      </c>
      <c r="S106" s="107">
        <v>43106</v>
      </c>
      <c r="T106" s="107">
        <v>43106</v>
      </c>
      <c r="U106" s="107">
        <v>43106</v>
      </c>
      <c r="V106" s="107"/>
      <c r="W106" s="107">
        <v>43263</v>
      </c>
      <c r="X106" s="229">
        <v>43403</v>
      </c>
      <c r="Y106" s="107"/>
      <c r="Z106" s="107"/>
      <c r="AA106" s="25"/>
      <c r="AD106" s="4"/>
      <c r="AE106" s="4"/>
      <c r="AH106" s="6"/>
    </row>
    <row r="107" spans="1:34" ht="18" customHeight="1">
      <c r="A107" s="139" t="s">
        <v>100</v>
      </c>
      <c r="B107" s="15" t="s">
        <v>629</v>
      </c>
      <c r="C107" s="210" t="s">
        <v>630</v>
      </c>
      <c r="D107" s="21" t="s">
        <v>230</v>
      </c>
      <c r="E107" s="15" t="s">
        <v>602</v>
      </c>
      <c r="F107" s="15" t="s">
        <v>638</v>
      </c>
      <c r="G107" s="15" t="s">
        <v>8</v>
      </c>
      <c r="H107" s="19" t="s">
        <v>61</v>
      </c>
      <c r="I107" s="30">
        <v>18</v>
      </c>
      <c r="J107" s="126"/>
      <c r="K107" s="126"/>
      <c r="L107" s="110"/>
      <c r="M107" s="110"/>
      <c r="N107" s="127"/>
      <c r="O107" s="113" t="s">
        <v>632</v>
      </c>
      <c r="P107" s="210" t="s">
        <v>630</v>
      </c>
      <c r="Q107" s="113" t="s">
        <v>250</v>
      </c>
      <c r="R107" s="104" t="s">
        <v>633</v>
      </c>
      <c r="S107" s="107">
        <v>43106</v>
      </c>
      <c r="T107" s="107">
        <v>43106</v>
      </c>
      <c r="U107" s="107">
        <v>43106</v>
      </c>
      <c r="V107" s="107"/>
      <c r="W107" s="107">
        <v>43263</v>
      </c>
      <c r="X107" s="229">
        <v>43403</v>
      </c>
      <c r="Y107" s="107"/>
      <c r="Z107" s="107"/>
      <c r="AA107" s="25"/>
      <c r="AH107" s="6"/>
    </row>
    <row r="108" spans="1:34" ht="18" customHeight="1">
      <c r="A108" s="139" t="s">
        <v>101</v>
      </c>
      <c r="B108" s="15" t="s">
        <v>629</v>
      </c>
      <c r="C108" s="210" t="s">
        <v>630</v>
      </c>
      <c r="D108" s="21" t="s">
        <v>230</v>
      </c>
      <c r="E108" s="15" t="s">
        <v>602</v>
      </c>
      <c r="F108" s="15" t="s">
        <v>639</v>
      </c>
      <c r="G108" s="15" t="s">
        <v>8</v>
      </c>
      <c r="H108" s="19" t="s">
        <v>61</v>
      </c>
      <c r="I108" s="30">
        <v>18</v>
      </c>
      <c r="J108" s="126"/>
      <c r="K108" s="126"/>
      <c r="L108" s="110"/>
      <c r="M108" s="110"/>
      <c r="N108" s="110"/>
      <c r="O108" s="113" t="s">
        <v>632</v>
      </c>
      <c r="P108" s="210" t="s">
        <v>630</v>
      </c>
      <c r="Q108" s="113" t="s">
        <v>250</v>
      </c>
      <c r="R108" s="104" t="s">
        <v>633</v>
      </c>
      <c r="S108" s="107">
        <v>43106</v>
      </c>
      <c r="T108" s="107">
        <v>43106</v>
      </c>
      <c r="U108" s="107">
        <v>43106</v>
      </c>
      <c r="V108" s="107"/>
      <c r="W108" s="107">
        <v>43263</v>
      </c>
      <c r="X108" s="229">
        <v>43403</v>
      </c>
      <c r="Y108" s="107"/>
      <c r="Z108" s="107"/>
      <c r="AA108" s="25"/>
      <c r="AD108" s="4"/>
      <c r="AE108" s="4"/>
      <c r="AH108" s="6"/>
    </row>
    <row r="109" spans="1:34" ht="18" customHeight="1">
      <c r="A109" s="139" t="s">
        <v>102</v>
      </c>
      <c r="B109" s="15" t="s">
        <v>629</v>
      </c>
      <c r="C109" s="210" t="s">
        <v>630</v>
      </c>
      <c r="D109" s="21" t="s">
        <v>230</v>
      </c>
      <c r="E109" s="15" t="s">
        <v>602</v>
      </c>
      <c r="F109" s="15" t="s">
        <v>640</v>
      </c>
      <c r="G109" s="15" t="s">
        <v>7</v>
      </c>
      <c r="H109" s="19" t="s">
        <v>61</v>
      </c>
      <c r="I109" s="30">
        <v>18</v>
      </c>
      <c r="J109" s="126"/>
      <c r="K109" s="126"/>
      <c r="L109" s="110"/>
      <c r="M109" s="110"/>
      <c r="N109" s="110"/>
      <c r="O109" s="113" t="s">
        <v>632</v>
      </c>
      <c r="P109" s="210" t="s">
        <v>630</v>
      </c>
      <c r="Q109" s="113" t="s">
        <v>250</v>
      </c>
      <c r="R109" s="104" t="s">
        <v>633</v>
      </c>
      <c r="S109" s="107">
        <v>43106</v>
      </c>
      <c r="T109" s="107">
        <v>43106</v>
      </c>
      <c r="U109" s="107">
        <v>43106</v>
      </c>
      <c r="V109" s="107"/>
      <c r="W109" s="107">
        <v>43263</v>
      </c>
      <c r="X109" s="229">
        <v>43403</v>
      </c>
      <c r="Y109" s="107"/>
      <c r="Z109" s="107"/>
      <c r="AA109" s="25"/>
      <c r="AH109" s="6"/>
    </row>
    <row r="110" spans="1:34" ht="18" customHeight="1">
      <c r="A110" s="139" t="s">
        <v>103</v>
      </c>
      <c r="B110" s="15" t="s">
        <v>629</v>
      </c>
      <c r="C110" s="210" t="s">
        <v>630</v>
      </c>
      <c r="D110" s="21" t="s">
        <v>230</v>
      </c>
      <c r="E110" s="15" t="s">
        <v>602</v>
      </c>
      <c r="F110" s="15" t="s">
        <v>641</v>
      </c>
      <c r="G110" s="15" t="s">
        <v>7</v>
      </c>
      <c r="H110" s="19" t="s">
        <v>61</v>
      </c>
      <c r="I110" s="30">
        <v>18</v>
      </c>
      <c r="J110" s="126"/>
      <c r="K110" s="126"/>
      <c r="L110" s="110"/>
      <c r="M110" s="110"/>
      <c r="N110" s="110"/>
      <c r="O110" s="113" t="s">
        <v>632</v>
      </c>
      <c r="P110" s="210" t="s">
        <v>630</v>
      </c>
      <c r="Q110" s="113" t="s">
        <v>250</v>
      </c>
      <c r="R110" s="104" t="s">
        <v>633</v>
      </c>
      <c r="S110" s="107">
        <v>43106</v>
      </c>
      <c r="T110" s="107">
        <v>43106</v>
      </c>
      <c r="U110" s="107">
        <v>43106</v>
      </c>
      <c r="V110" s="107"/>
      <c r="W110" s="107">
        <v>43263</v>
      </c>
      <c r="X110" s="229">
        <v>43403</v>
      </c>
      <c r="Y110" s="107"/>
      <c r="Z110" s="107"/>
      <c r="AA110" s="25"/>
      <c r="AH110" s="6"/>
    </row>
    <row r="111" spans="1:34" ht="18" customHeight="1">
      <c r="A111" s="139" t="s">
        <v>1366</v>
      </c>
      <c r="B111" s="15" t="s">
        <v>629</v>
      </c>
      <c r="C111" s="210" t="s">
        <v>630</v>
      </c>
      <c r="D111" s="21" t="s">
        <v>230</v>
      </c>
      <c r="E111" s="15" t="s">
        <v>602</v>
      </c>
      <c r="F111" s="15" t="s">
        <v>642</v>
      </c>
      <c r="G111" s="15" t="s">
        <v>7</v>
      </c>
      <c r="H111" s="19" t="s">
        <v>61</v>
      </c>
      <c r="I111" s="30">
        <v>18</v>
      </c>
      <c r="J111" s="126"/>
      <c r="K111" s="126"/>
      <c r="L111" s="110"/>
      <c r="M111" s="110"/>
      <c r="N111" s="110"/>
      <c r="O111" s="113" t="s">
        <v>632</v>
      </c>
      <c r="P111" s="210" t="s">
        <v>630</v>
      </c>
      <c r="Q111" s="113" t="s">
        <v>250</v>
      </c>
      <c r="R111" s="104" t="s">
        <v>633</v>
      </c>
      <c r="S111" s="107">
        <v>43106</v>
      </c>
      <c r="T111" s="107">
        <v>43106</v>
      </c>
      <c r="U111" s="107">
        <v>43106</v>
      </c>
      <c r="V111" s="107"/>
      <c r="W111" s="107">
        <v>43263</v>
      </c>
      <c r="X111" s="229">
        <v>43403</v>
      </c>
      <c r="Y111" s="107"/>
      <c r="Z111" s="107"/>
      <c r="AA111" s="25"/>
      <c r="AH111" s="6"/>
    </row>
    <row r="112" spans="1:34" ht="18" customHeight="1">
      <c r="A112" s="139" t="s">
        <v>104</v>
      </c>
      <c r="B112" s="15" t="s">
        <v>629</v>
      </c>
      <c r="C112" s="210" t="s">
        <v>630</v>
      </c>
      <c r="D112" s="21" t="s">
        <v>230</v>
      </c>
      <c r="E112" s="15" t="s">
        <v>602</v>
      </c>
      <c r="F112" s="15" t="s">
        <v>643</v>
      </c>
      <c r="G112" s="15" t="s">
        <v>7</v>
      </c>
      <c r="H112" s="19" t="s">
        <v>61</v>
      </c>
      <c r="I112" s="30">
        <v>18</v>
      </c>
      <c r="J112" s="126"/>
      <c r="K112" s="126"/>
      <c r="L112" s="110"/>
      <c r="M112" s="110"/>
      <c r="N112" s="110"/>
      <c r="O112" s="113" t="s">
        <v>632</v>
      </c>
      <c r="P112" s="210" t="s">
        <v>630</v>
      </c>
      <c r="Q112" s="113" t="s">
        <v>250</v>
      </c>
      <c r="R112" s="104" t="s">
        <v>633</v>
      </c>
      <c r="S112" s="107">
        <v>43106</v>
      </c>
      <c r="T112" s="107">
        <v>43106</v>
      </c>
      <c r="U112" s="107">
        <v>43106</v>
      </c>
      <c r="V112" s="107"/>
      <c r="W112" s="107">
        <v>43263</v>
      </c>
      <c r="X112" s="229">
        <v>43403</v>
      </c>
      <c r="Y112" s="107"/>
      <c r="Z112" s="107"/>
      <c r="AA112" s="25"/>
      <c r="AH112" s="6"/>
    </row>
    <row r="113" spans="1:35" ht="18" customHeight="1">
      <c r="A113" s="139" t="s">
        <v>105</v>
      </c>
      <c r="B113" s="15" t="s">
        <v>629</v>
      </c>
      <c r="C113" s="210" t="s">
        <v>630</v>
      </c>
      <c r="D113" s="21" t="s">
        <v>230</v>
      </c>
      <c r="E113" s="15" t="s">
        <v>602</v>
      </c>
      <c r="F113" s="15" t="s">
        <v>638</v>
      </c>
      <c r="G113" s="15" t="s">
        <v>7</v>
      </c>
      <c r="H113" s="19" t="s">
        <v>61</v>
      </c>
      <c r="I113" s="30">
        <v>18</v>
      </c>
      <c r="J113" s="126"/>
      <c r="K113" s="126"/>
      <c r="L113" s="110"/>
      <c r="M113" s="110"/>
      <c r="N113" s="110"/>
      <c r="O113" s="113" t="s">
        <v>632</v>
      </c>
      <c r="P113" s="210" t="s">
        <v>630</v>
      </c>
      <c r="Q113" s="113" t="s">
        <v>250</v>
      </c>
      <c r="R113" s="104" t="s">
        <v>633</v>
      </c>
      <c r="S113" s="107">
        <v>43106</v>
      </c>
      <c r="T113" s="107">
        <v>43106</v>
      </c>
      <c r="U113" s="107">
        <v>43106</v>
      </c>
      <c r="V113" s="107"/>
      <c r="W113" s="107">
        <v>43263</v>
      </c>
      <c r="X113" s="229">
        <v>43403</v>
      </c>
      <c r="Y113" s="107"/>
      <c r="Z113" s="107"/>
      <c r="AA113" s="25"/>
      <c r="AH113" s="6"/>
    </row>
    <row r="114" spans="1:35" ht="18" customHeight="1">
      <c r="A114" s="139" t="s">
        <v>106</v>
      </c>
      <c r="B114" s="15" t="s">
        <v>629</v>
      </c>
      <c r="C114" s="210" t="s">
        <v>630</v>
      </c>
      <c r="D114" s="21" t="s">
        <v>230</v>
      </c>
      <c r="E114" s="15" t="s">
        <v>602</v>
      </c>
      <c r="F114" s="15" t="s">
        <v>639</v>
      </c>
      <c r="G114" s="15" t="s">
        <v>7</v>
      </c>
      <c r="H114" s="19" t="s">
        <v>61</v>
      </c>
      <c r="I114" s="30">
        <v>18</v>
      </c>
      <c r="J114" s="126"/>
      <c r="K114" s="126"/>
      <c r="L114" s="110"/>
      <c r="M114" s="110"/>
      <c r="N114" s="110"/>
      <c r="O114" s="113" t="s">
        <v>632</v>
      </c>
      <c r="P114" s="210" t="s">
        <v>630</v>
      </c>
      <c r="Q114" s="113" t="s">
        <v>250</v>
      </c>
      <c r="R114" s="104" t="s">
        <v>633</v>
      </c>
      <c r="S114" s="107">
        <v>43106</v>
      </c>
      <c r="T114" s="107">
        <v>43106</v>
      </c>
      <c r="U114" s="107">
        <v>43106</v>
      </c>
      <c r="V114" s="107"/>
      <c r="W114" s="107">
        <v>43263</v>
      </c>
      <c r="X114" s="229">
        <v>43403</v>
      </c>
      <c r="Y114" s="107"/>
      <c r="Z114" s="107"/>
      <c r="AA114" s="25"/>
      <c r="AH114" s="6"/>
    </row>
    <row r="115" spans="1:35" ht="18" customHeight="1">
      <c r="A115" s="139" t="s">
        <v>107</v>
      </c>
      <c r="B115" s="15" t="s">
        <v>629</v>
      </c>
      <c r="C115" s="210" t="s">
        <v>644</v>
      </c>
      <c r="D115" s="21" t="s">
        <v>230</v>
      </c>
      <c r="E115" s="15" t="s">
        <v>645</v>
      </c>
      <c r="F115" s="15" t="s">
        <v>646</v>
      </c>
      <c r="G115" s="15" t="s">
        <v>7</v>
      </c>
      <c r="H115" s="19" t="s">
        <v>61</v>
      </c>
      <c r="I115" s="30">
        <v>18</v>
      </c>
      <c r="J115" s="126"/>
      <c r="K115" s="126"/>
      <c r="L115" s="110"/>
      <c r="M115" s="110"/>
      <c r="N115" s="110"/>
      <c r="O115" s="113" t="s">
        <v>647</v>
      </c>
      <c r="P115" s="210" t="s">
        <v>644</v>
      </c>
      <c r="Q115" s="113" t="s">
        <v>250</v>
      </c>
      <c r="R115" s="104" t="s">
        <v>633</v>
      </c>
      <c r="S115" s="107">
        <v>43106</v>
      </c>
      <c r="T115" s="107">
        <v>43106</v>
      </c>
      <c r="U115" s="107">
        <v>43106</v>
      </c>
      <c r="V115" s="107"/>
      <c r="W115" s="107">
        <v>43263</v>
      </c>
      <c r="X115" s="229">
        <v>43403</v>
      </c>
      <c r="Y115" s="107"/>
      <c r="Z115" s="107"/>
      <c r="AA115" s="25"/>
      <c r="AH115" s="6"/>
    </row>
    <row r="116" spans="1:35" ht="18" customHeight="1">
      <c r="A116" s="139" t="s">
        <v>108</v>
      </c>
      <c r="B116" s="15" t="s">
        <v>629</v>
      </c>
      <c r="C116" s="210" t="s">
        <v>644</v>
      </c>
      <c r="D116" s="21" t="s">
        <v>230</v>
      </c>
      <c r="E116" s="15" t="s">
        <v>645</v>
      </c>
      <c r="F116" s="15" t="s">
        <v>648</v>
      </c>
      <c r="G116" s="15" t="s">
        <v>7</v>
      </c>
      <c r="H116" s="19" t="s">
        <v>61</v>
      </c>
      <c r="I116" s="30">
        <v>18</v>
      </c>
      <c r="J116" s="126"/>
      <c r="K116" s="126"/>
      <c r="L116" s="110"/>
      <c r="M116" s="110"/>
      <c r="N116" s="110"/>
      <c r="O116" s="113" t="s">
        <v>647</v>
      </c>
      <c r="P116" s="210" t="s">
        <v>644</v>
      </c>
      <c r="Q116" s="113" t="s">
        <v>250</v>
      </c>
      <c r="R116" s="104" t="s">
        <v>633</v>
      </c>
      <c r="S116" s="107">
        <v>43106</v>
      </c>
      <c r="T116" s="107">
        <v>43106</v>
      </c>
      <c r="U116" s="107">
        <v>43106</v>
      </c>
      <c r="V116" s="107"/>
      <c r="W116" s="107">
        <v>43263</v>
      </c>
      <c r="X116" s="229">
        <v>43403</v>
      </c>
      <c r="Y116" s="107"/>
      <c r="Z116" s="107"/>
      <c r="AA116" s="25"/>
      <c r="AH116" s="6"/>
    </row>
    <row r="117" spans="1:35" ht="15" customHeight="1">
      <c r="A117" s="139" t="s">
        <v>109</v>
      </c>
      <c r="B117" s="246" t="s">
        <v>238</v>
      </c>
      <c r="C117" s="246" t="s">
        <v>362</v>
      </c>
      <c r="D117" s="246" t="s">
        <v>0</v>
      </c>
      <c r="E117" s="246" t="s">
        <v>282</v>
      </c>
      <c r="F117" s="246" t="s">
        <v>363</v>
      </c>
      <c r="G117" s="246" t="s">
        <v>229</v>
      </c>
      <c r="H117" s="246" t="s">
        <v>364</v>
      </c>
      <c r="I117" s="246">
        <v>12</v>
      </c>
      <c r="J117" s="246"/>
      <c r="K117" s="246"/>
      <c r="L117" s="246"/>
      <c r="M117" s="246"/>
      <c r="N117" s="246"/>
      <c r="O117" s="307" t="s">
        <v>365</v>
      </c>
      <c r="P117" s="246" t="s">
        <v>362</v>
      </c>
      <c r="Q117" s="246" t="s">
        <v>366</v>
      </c>
      <c r="R117" s="286" t="s">
        <v>367</v>
      </c>
      <c r="S117" s="25">
        <v>43252</v>
      </c>
      <c r="T117" s="25">
        <v>43252</v>
      </c>
      <c r="U117" s="25"/>
      <c r="V117" s="236"/>
      <c r="W117" s="25">
        <f t="shared" ref="W117:W122" si="2">S117+I117*7</f>
        <v>43336</v>
      </c>
      <c r="X117" s="25">
        <v>43336</v>
      </c>
      <c r="Z117" s="25"/>
      <c r="AA117" s="237"/>
      <c r="AB117" s="25"/>
      <c r="AC117" s="19"/>
      <c r="AI117" s="6"/>
    </row>
    <row r="118" spans="1:35" ht="15" customHeight="1">
      <c r="A118" s="139" t="s">
        <v>110</v>
      </c>
      <c r="B118" s="246" t="s">
        <v>238</v>
      </c>
      <c r="C118" s="246" t="s">
        <v>362</v>
      </c>
      <c r="D118" s="246" t="s">
        <v>0</v>
      </c>
      <c r="E118" s="246" t="s">
        <v>282</v>
      </c>
      <c r="F118" s="246" t="s">
        <v>363</v>
      </c>
      <c r="G118" s="246" t="s">
        <v>322</v>
      </c>
      <c r="H118" s="246" t="s">
        <v>364</v>
      </c>
      <c r="I118" s="246">
        <v>12</v>
      </c>
      <c r="J118" s="246"/>
      <c r="K118" s="246"/>
      <c r="L118" s="246"/>
      <c r="M118" s="246"/>
      <c r="N118" s="246"/>
      <c r="O118" s="307" t="s">
        <v>365</v>
      </c>
      <c r="P118" s="246" t="s">
        <v>362</v>
      </c>
      <c r="Q118" s="246" t="s">
        <v>366</v>
      </c>
      <c r="R118" s="286" t="s">
        <v>367</v>
      </c>
      <c r="S118" s="25">
        <v>43252</v>
      </c>
      <c r="T118" s="25">
        <v>43252</v>
      </c>
      <c r="U118" s="25"/>
      <c r="V118" s="236"/>
      <c r="W118" s="25">
        <f t="shared" si="2"/>
        <v>43336</v>
      </c>
      <c r="X118" s="25">
        <v>43336</v>
      </c>
      <c r="Y118" s="3"/>
      <c r="Z118" s="4"/>
      <c r="AA118" s="54"/>
      <c r="AB118" s="25"/>
      <c r="AE118" s="4"/>
      <c r="AF118" s="4"/>
      <c r="AI118" s="6"/>
    </row>
    <row r="119" spans="1:35" ht="31.5" customHeight="1">
      <c r="A119" s="139" t="s">
        <v>111</v>
      </c>
      <c r="B119" s="246" t="s">
        <v>238</v>
      </c>
      <c r="C119" s="246" t="s">
        <v>362</v>
      </c>
      <c r="D119" s="246" t="s">
        <v>0</v>
      </c>
      <c r="E119" s="246" t="s">
        <v>282</v>
      </c>
      <c r="F119" s="246" t="s">
        <v>363</v>
      </c>
      <c r="G119" s="246" t="s">
        <v>237</v>
      </c>
      <c r="H119" s="246" t="s">
        <v>364</v>
      </c>
      <c r="I119" s="246">
        <v>12</v>
      </c>
      <c r="J119" s="246"/>
      <c r="K119" s="246"/>
      <c r="L119" s="246"/>
      <c r="M119" s="246"/>
      <c r="N119" s="246"/>
      <c r="O119" s="307" t="s">
        <v>365</v>
      </c>
      <c r="P119" s="246" t="s">
        <v>362</v>
      </c>
      <c r="Q119" s="246" t="s">
        <v>366</v>
      </c>
      <c r="R119" s="286" t="s">
        <v>367</v>
      </c>
      <c r="S119" s="25">
        <v>43252</v>
      </c>
      <c r="T119" s="25">
        <v>43252</v>
      </c>
      <c r="U119" s="25"/>
      <c r="W119" s="25">
        <f t="shared" si="2"/>
        <v>43336</v>
      </c>
      <c r="X119" s="25">
        <v>43336</v>
      </c>
      <c r="Y119" s="3"/>
      <c r="Z119" s="4"/>
      <c r="AA119" s="54"/>
      <c r="AB119" s="25"/>
      <c r="AE119" s="4"/>
      <c r="AF119" s="4"/>
      <c r="AI119" s="6"/>
    </row>
    <row r="120" spans="1:35" ht="18.75" customHeight="1">
      <c r="A120" s="139" t="s">
        <v>112</v>
      </c>
      <c r="B120" s="246" t="s">
        <v>238</v>
      </c>
      <c r="C120" s="246" t="s">
        <v>362</v>
      </c>
      <c r="D120" s="246" t="s">
        <v>0</v>
      </c>
      <c r="E120" s="246" t="s">
        <v>282</v>
      </c>
      <c r="F120" s="246" t="s">
        <v>368</v>
      </c>
      <c r="G120" s="246" t="s">
        <v>229</v>
      </c>
      <c r="H120" s="246" t="s">
        <v>364</v>
      </c>
      <c r="I120" s="246">
        <v>12</v>
      </c>
      <c r="J120" s="246"/>
      <c r="K120" s="246"/>
      <c r="L120" s="246"/>
      <c r="M120" s="246"/>
      <c r="N120" s="246"/>
      <c r="O120" s="307" t="s">
        <v>365</v>
      </c>
      <c r="P120" s="246" t="s">
        <v>362</v>
      </c>
      <c r="Q120" s="246" t="s">
        <v>366</v>
      </c>
      <c r="R120" s="286" t="s">
        <v>367</v>
      </c>
      <c r="S120" s="25">
        <v>43252</v>
      </c>
      <c r="T120" s="25">
        <v>43252</v>
      </c>
      <c r="U120" s="25"/>
      <c r="W120" s="25">
        <f t="shared" si="2"/>
        <v>43336</v>
      </c>
      <c r="X120" s="25">
        <v>43336</v>
      </c>
      <c r="Y120" s="3"/>
      <c r="Z120" s="4"/>
      <c r="AA120" s="54"/>
      <c r="AB120" s="25"/>
      <c r="AI120" s="6"/>
    </row>
    <row r="121" spans="1:35" ht="15" customHeight="1">
      <c r="A121" s="139" t="s">
        <v>113</v>
      </c>
      <c r="B121" s="246" t="s">
        <v>238</v>
      </c>
      <c r="C121" s="246" t="s">
        <v>362</v>
      </c>
      <c r="D121" s="246" t="s">
        <v>0</v>
      </c>
      <c r="E121" s="246" t="s">
        <v>282</v>
      </c>
      <c r="F121" s="246" t="s">
        <v>368</v>
      </c>
      <c r="G121" s="246" t="s">
        <v>322</v>
      </c>
      <c r="H121" s="246" t="s">
        <v>364</v>
      </c>
      <c r="I121" s="246">
        <v>12</v>
      </c>
      <c r="J121" s="246"/>
      <c r="K121" s="246"/>
      <c r="L121" s="246"/>
      <c r="M121" s="246"/>
      <c r="N121" s="246"/>
      <c r="O121" s="307" t="s">
        <v>365</v>
      </c>
      <c r="P121" s="246" t="s">
        <v>362</v>
      </c>
      <c r="Q121" s="246" t="s">
        <v>366</v>
      </c>
      <c r="R121" s="286" t="s">
        <v>367</v>
      </c>
      <c r="S121" s="25">
        <v>43252</v>
      </c>
      <c r="T121" s="25">
        <v>43252</v>
      </c>
      <c r="U121" s="25"/>
      <c r="W121" s="25">
        <f t="shared" si="2"/>
        <v>43336</v>
      </c>
      <c r="X121" s="25">
        <v>43336</v>
      </c>
      <c r="Y121" s="3"/>
      <c r="Z121" s="4"/>
      <c r="AA121" s="54"/>
      <c r="AB121" s="25"/>
      <c r="AE121" s="4"/>
      <c r="AF121" s="4"/>
      <c r="AI121" s="6"/>
    </row>
    <row r="122" spans="1:35" ht="15" customHeight="1">
      <c r="A122" s="139" t="s">
        <v>114</v>
      </c>
      <c r="B122" s="246" t="s">
        <v>238</v>
      </c>
      <c r="C122" s="246" t="s">
        <v>362</v>
      </c>
      <c r="D122" s="246" t="s">
        <v>0</v>
      </c>
      <c r="E122" s="246" t="s">
        <v>282</v>
      </c>
      <c r="F122" s="246" t="s">
        <v>368</v>
      </c>
      <c r="G122" s="246" t="s">
        <v>237</v>
      </c>
      <c r="H122" s="246" t="s">
        <v>364</v>
      </c>
      <c r="I122" s="246">
        <v>12</v>
      </c>
      <c r="J122" s="246"/>
      <c r="K122" s="246"/>
      <c r="L122" s="246"/>
      <c r="M122" s="246"/>
      <c r="N122" s="246"/>
      <c r="O122" s="307" t="s">
        <v>365</v>
      </c>
      <c r="P122" s="246" t="s">
        <v>362</v>
      </c>
      <c r="Q122" s="246" t="s">
        <v>366</v>
      </c>
      <c r="R122" s="286" t="s">
        <v>367</v>
      </c>
      <c r="S122" s="25">
        <v>43252</v>
      </c>
      <c r="T122" s="25">
        <v>43252</v>
      </c>
      <c r="U122" s="25"/>
      <c r="W122" s="25">
        <f t="shared" si="2"/>
        <v>43336</v>
      </c>
      <c r="X122" s="25">
        <v>43336</v>
      </c>
      <c r="Y122" s="3"/>
      <c r="Z122" s="4"/>
      <c r="AA122" s="54"/>
      <c r="AB122" s="25"/>
      <c r="AI122" s="6"/>
    </row>
    <row r="123" spans="1:35" ht="15" customHeight="1">
      <c r="A123" s="139" t="s">
        <v>115</v>
      </c>
      <c r="B123" s="246" t="s">
        <v>369</v>
      </c>
      <c r="C123" s="246" t="s">
        <v>370</v>
      </c>
      <c r="D123" s="246" t="s">
        <v>0</v>
      </c>
      <c r="E123" s="246" t="s">
        <v>282</v>
      </c>
      <c r="F123" s="246" t="s">
        <v>371</v>
      </c>
      <c r="G123" s="246" t="s">
        <v>229</v>
      </c>
      <c r="H123" s="246" t="s">
        <v>364</v>
      </c>
      <c r="I123" s="246">
        <v>5</v>
      </c>
      <c r="J123" s="246"/>
      <c r="K123" s="246"/>
      <c r="L123" s="246"/>
      <c r="M123" s="246"/>
      <c r="N123" s="246"/>
      <c r="O123" s="246" t="s">
        <v>372</v>
      </c>
      <c r="P123" s="246" t="s">
        <v>370</v>
      </c>
      <c r="Q123" s="246" t="s">
        <v>373</v>
      </c>
      <c r="R123" s="287" t="s">
        <v>374</v>
      </c>
      <c r="S123" s="25">
        <v>43210</v>
      </c>
      <c r="T123" s="25">
        <v>43210</v>
      </c>
      <c r="U123" s="25"/>
      <c r="W123" s="4">
        <v>43252</v>
      </c>
      <c r="X123" s="4">
        <v>43252</v>
      </c>
      <c r="Y123" s="3"/>
      <c r="Z123" s="4"/>
      <c r="AA123" s="54"/>
      <c r="AB123" s="25"/>
      <c r="AE123" s="4"/>
      <c r="AF123" s="4"/>
      <c r="AI123" s="6"/>
    </row>
    <row r="124" spans="1:35" ht="15" customHeight="1">
      <c r="A124" s="139" t="s">
        <v>116</v>
      </c>
      <c r="B124" s="246" t="s">
        <v>261</v>
      </c>
      <c r="C124" s="246" t="s">
        <v>375</v>
      </c>
      <c r="D124" s="246" t="s">
        <v>0</v>
      </c>
      <c r="E124" s="246" t="s">
        <v>282</v>
      </c>
      <c r="F124" s="246" t="s">
        <v>376</v>
      </c>
      <c r="G124" s="246" t="s">
        <v>229</v>
      </c>
      <c r="H124" s="246" t="s">
        <v>364</v>
      </c>
      <c r="I124" s="246">
        <v>12</v>
      </c>
      <c r="J124" s="246"/>
      <c r="K124" s="246"/>
      <c r="L124" s="246"/>
      <c r="M124" s="246"/>
      <c r="N124" s="246"/>
      <c r="O124" s="246" t="s">
        <v>377</v>
      </c>
      <c r="P124" s="246" t="s">
        <v>375</v>
      </c>
      <c r="Q124" s="246" t="s">
        <v>366</v>
      </c>
      <c r="R124" s="286" t="s">
        <v>378</v>
      </c>
      <c r="S124" s="25">
        <v>43190</v>
      </c>
      <c r="T124" s="25">
        <v>43190</v>
      </c>
      <c r="U124" s="25"/>
      <c r="W124" s="25">
        <f t="shared" ref="W124:W127" si="3">S124+I124*7</f>
        <v>43274</v>
      </c>
      <c r="X124" s="25">
        <v>43274</v>
      </c>
      <c r="Y124" s="3"/>
      <c r="Z124" s="4"/>
      <c r="AA124" s="54"/>
      <c r="AB124" s="25"/>
      <c r="AI124" s="6"/>
    </row>
    <row r="125" spans="1:35" ht="15" customHeight="1">
      <c r="A125" s="139" t="s">
        <v>117</v>
      </c>
      <c r="B125" s="246" t="s">
        <v>261</v>
      </c>
      <c r="C125" s="246" t="s">
        <v>375</v>
      </c>
      <c r="D125" s="246" t="s">
        <v>0</v>
      </c>
      <c r="E125" s="246" t="s">
        <v>282</v>
      </c>
      <c r="F125" s="246" t="s">
        <v>379</v>
      </c>
      <c r="G125" s="246" t="s">
        <v>229</v>
      </c>
      <c r="H125" s="246" t="s">
        <v>364</v>
      </c>
      <c r="I125" s="246">
        <v>12</v>
      </c>
      <c r="J125" s="246"/>
      <c r="K125" s="246"/>
      <c r="L125" s="246"/>
      <c r="M125" s="246"/>
      <c r="N125" s="246"/>
      <c r="O125" s="246" t="s">
        <v>377</v>
      </c>
      <c r="P125" s="246" t="s">
        <v>375</v>
      </c>
      <c r="Q125" s="246" t="s">
        <v>366</v>
      </c>
      <c r="R125" s="286" t="s">
        <v>378</v>
      </c>
      <c r="S125" s="25">
        <v>43190</v>
      </c>
      <c r="T125" s="25">
        <v>43190</v>
      </c>
      <c r="W125" s="25">
        <f t="shared" si="3"/>
        <v>43274</v>
      </c>
      <c r="X125" s="25">
        <v>43274</v>
      </c>
      <c r="Y125" s="3"/>
      <c r="Z125" s="4"/>
      <c r="AA125" s="54"/>
      <c r="AB125" s="25"/>
      <c r="AI125" s="6"/>
    </row>
    <row r="126" spans="1:35" ht="15" customHeight="1">
      <c r="A126" s="139" t="s">
        <v>118</v>
      </c>
      <c r="B126" s="246" t="s">
        <v>261</v>
      </c>
      <c r="C126" s="246" t="s">
        <v>375</v>
      </c>
      <c r="D126" s="246" t="s">
        <v>0</v>
      </c>
      <c r="E126" s="246" t="s">
        <v>282</v>
      </c>
      <c r="F126" s="246" t="s">
        <v>380</v>
      </c>
      <c r="G126" s="246" t="s">
        <v>229</v>
      </c>
      <c r="H126" s="246" t="s">
        <v>364</v>
      </c>
      <c r="I126" s="246">
        <v>12</v>
      </c>
      <c r="J126" s="246"/>
      <c r="K126" s="246"/>
      <c r="L126" s="246"/>
      <c r="M126" s="246"/>
      <c r="N126" s="246"/>
      <c r="O126" s="246" t="s">
        <v>377</v>
      </c>
      <c r="P126" s="246" t="s">
        <v>375</v>
      </c>
      <c r="Q126" s="246" t="s">
        <v>366</v>
      </c>
      <c r="R126" s="286" t="s">
        <v>378</v>
      </c>
      <c r="S126" s="25">
        <v>43190</v>
      </c>
      <c r="T126" s="25">
        <v>43190</v>
      </c>
      <c r="W126" s="25">
        <f t="shared" si="3"/>
        <v>43274</v>
      </c>
      <c r="X126" s="25">
        <v>43274</v>
      </c>
      <c r="Y126" s="3"/>
      <c r="Z126" s="4"/>
      <c r="AA126" s="54"/>
      <c r="AB126" s="25"/>
      <c r="AE126" s="4"/>
      <c r="AF126" s="4"/>
      <c r="AI126" s="6"/>
    </row>
    <row r="127" spans="1:35" ht="15" customHeight="1">
      <c r="A127" s="139" t="s">
        <v>119</v>
      </c>
      <c r="B127" s="246" t="s">
        <v>261</v>
      </c>
      <c r="C127" s="246" t="s">
        <v>375</v>
      </c>
      <c r="D127" s="246" t="s">
        <v>0</v>
      </c>
      <c r="E127" s="246" t="s">
        <v>282</v>
      </c>
      <c r="F127" s="246" t="s">
        <v>381</v>
      </c>
      <c r="G127" s="246" t="s">
        <v>229</v>
      </c>
      <c r="H127" s="246" t="s">
        <v>364</v>
      </c>
      <c r="I127" s="246">
        <v>12</v>
      </c>
      <c r="J127" s="246"/>
      <c r="K127" s="246"/>
      <c r="L127" s="246"/>
      <c r="M127" s="246"/>
      <c r="N127" s="246"/>
      <c r="O127" s="246" t="s">
        <v>377</v>
      </c>
      <c r="P127" s="246" t="s">
        <v>375</v>
      </c>
      <c r="Q127" s="246" t="s">
        <v>366</v>
      </c>
      <c r="R127" s="286" t="s">
        <v>378</v>
      </c>
      <c r="S127" s="25">
        <v>43190</v>
      </c>
      <c r="T127" s="25">
        <v>43190</v>
      </c>
      <c r="W127" s="25">
        <f t="shared" si="3"/>
        <v>43274</v>
      </c>
      <c r="X127" s="25">
        <v>43274</v>
      </c>
      <c r="Y127" s="3"/>
      <c r="Z127" s="4"/>
      <c r="AA127" s="54"/>
      <c r="AB127" s="25"/>
      <c r="AE127" s="4"/>
      <c r="AF127" s="4"/>
      <c r="AI127" s="6"/>
    </row>
    <row r="128" spans="1:35" ht="15" customHeight="1">
      <c r="A128" s="139" t="s">
        <v>120</v>
      </c>
      <c r="B128" s="246" t="s">
        <v>242</v>
      </c>
      <c r="C128" s="246" t="s">
        <v>243</v>
      </c>
      <c r="D128" s="246" t="s">
        <v>0</v>
      </c>
      <c r="E128" s="246" t="s">
        <v>282</v>
      </c>
      <c r="F128" s="246" t="s">
        <v>382</v>
      </c>
      <c r="G128" s="246" t="s">
        <v>229</v>
      </c>
      <c r="H128" s="246" t="s">
        <v>364</v>
      </c>
      <c r="I128" s="246">
        <v>12</v>
      </c>
      <c r="J128" s="246"/>
      <c r="K128" s="246"/>
      <c r="L128" s="246"/>
      <c r="M128" s="246"/>
      <c r="N128" s="246"/>
      <c r="O128" s="246" t="s">
        <v>383</v>
      </c>
      <c r="P128" s="246" t="s">
        <v>243</v>
      </c>
      <c r="Q128" s="246" t="s">
        <v>384</v>
      </c>
      <c r="R128" s="286" t="s">
        <v>385</v>
      </c>
      <c r="S128" s="25">
        <v>43142</v>
      </c>
      <c r="T128" s="25">
        <v>43142</v>
      </c>
      <c r="U128" s="25">
        <v>43142</v>
      </c>
      <c r="W128" s="4">
        <v>43238</v>
      </c>
      <c r="X128" s="4">
        <v>43238</v>
      </c>
      <c r="Y128" s="3"/>
      <c r="Z128" s="4"/>
      <c r="AA128" s="54"/>
      <c r="AB128" s="25"/>
      <c r="AI128" s="6"/>
    </row>
    <row r="129" spans="1:35" ht="15" customHeight="1">
      <c r="A129" s="139" t="s">
        <v>121</v>
      </c>
      <c r="B129" s="246" t="s">
        <v>242</v>
      </c>
      <c r="C129" s="246" t="s">
        <v>243</v>
      </c>
      <c r="D129" s="246" t="s">
        <v>0</v>
      </c>
      <c r="E129" s="246" t="s">
        <v>282</v>
      </c>
      <c r="F129" s="246" t="s">
        <v>386</v>
      </c>
      <c r="G129" s="246" t="s">
        <v>229</v>
      </c>
      <c r="H129" s="246" t="s">
        <v>364</v>
      </c>
      <c r="I129" s="246">
        <v>12</v>
      </c>
      <c r="J129" s="246"/>
      <c r="K129" s="246"/>
      <c r="L129" s="246"/>
      <c r="M129" s="246"/>
      <c r="N129" s="246"/>
      <c r="O129" s="246" t="s">
        <v>383</v>
      </c>
      <c r="P129" s="246" t="s">
        <v>243</v>
      </c>
      <c r="Q129" s="246" t="s">
        <v>384</v>
      </c>
      <c r="R129" s="286" t="s">
        <v>385</v>
      </c>
      <c r="S129" s="25">
        <v>43142</v>
      </c>
      <c r="T129" s="25">
        <v>43142</v>
      </c>
      <c r="U129" s="25">
        <v>43142</v>
      </c>
      <c r="W129" s="4">
        <v>43238</v>
      </c>
      <c r="X129" s="4">
        <v>43238</v>
      </c>
      <c r="Y129" s="3"/>
      <c r="Z129" s="4"/>
      <c r="AA129" s="54"/>
      <c r="AB129" s="25"/>
      <c r="AE129" s="4"/>
      <c r="AF129" s="4"/>
      <c r="AI129" s="6"/>
    </row>
    <row r="130" spans="1:35" ht="15" customHeight="1">
      <c r="A130" s="139" t="s">
        <v>122</v>
      </c>
      <c r="B130" s="246" t="s">
        <v>242</v>
      </c>
      <c r="C130" s="246" t="s">
        <v>243</v>
      </c>
      <c r="D130" s="246" t="s">
        <v>0</v>
      </c>
      <c r="E130" s="246" t="s">
        <v>282</v>
      </c>
      <c r="F130" s="246" t="s">
        <v>386</v>
      </c>
      <c r="G130" s="246" t="s">
        <v>322</v>
      </c>
      <c r="H130" s="246" t="s">
        <v>364</v>
      </c>
      <c r="I130" s="246">
        <v>12</v>
      </c>
      <c r="J130" s="246"/>
      <c r="K130" s="246"/>
      <c r="L130" s="246"/>
      <c r="M130" s="246"/>
      <c r="N130" s="246"/>
      <c r="O130" s="246" t="s">
        <v>383</v>
      </c>
      <c r="P130" s="246" t="s">
        <v>243</v>
      </c>
      <c r="Q130" s="246" t="s">
        <v>384</v>
      </c>
      <c r="R130" s="286" t="s">
        <v>385</v>
      </c>
      <c r="S130" s="25">
        <v>43142</v>
      </c>
      <c r="T130" s="25">
        <v>43142</v>
      </c>
      <c r="U130" s="25">
        <v>43142</v>
      </c>
      <c r="W130" s="4">
        <v>43238</v>
      </c>
      <c r="X130" s="4">
        <v>43238</v>
      </c>
      <c r="Y130" s="3"/>
      <c r="Z130" s="4"/>
      <c r="AA130" s="54"/>
      <c r="AB130" s="25"/>
      <c r="AI130" s="6"/>
    </row>
    <row r="131" spans="1:35" ht="15" customHeight="1">
      <c r="A131" s="139" t="s">
        <v>123</v>
      </c>
      <c r="B131" s="246" t="s">
        <v>387</v>
      </c>
      <c r="C131" s="246" t="s">
        <v>388</v>
      </c>
      <c r="D131" s="246" t="s">
        <v>0</v>
      </c>
      <c r="E131" s="246" t="s">
        <v>282</v>
      </c>
      <c r="F131" s="246" t="s">
        <v>389</v>
      </c>
      <c r="G131" s="246" t="s">
        <v>229</v>
      </c>
      <c r="H131" s="246" t="s">
        <v>364</v>
      </c>
      <c r="I131" s="246">
        <v>8</v>
      </c>
      <c r="J131" s="246"/>
      <c r="K131" s="246"/>
      <c r="L131" s="246"/>
      <c r="M131" s="246"/>
      <c r="N131" s="246"/>
      <c r="O131" s="246" t="s">
        <v>390</v>
      </c>
      <c r="P131" s="246" t="s">
        <v>388</v>
      </c>
      <c r="Q131" s="246" t="s">
        <v>373</v>
      </c>
      <c r="R131" s="287" t="s">
        <v>391</v>
      </c>
      <c r="S131" s="25">
        <v>43070</v>
      </c>
      <c r="T131" s="25">
        <v>43070</v>
      </c>
      <c r="U131" s="25">
        <v>43070</v>
      </c>
      <c r="W131" s="25">
        <v>43160</v>
      </c>
      <c r="X131" s="25">
        <v>43160</v>
      </c>
      <c r="Z131" s="4"/>
      <c r="AA131" s="54"/>
      <c r="AB131" s="25"/>
      <c r="AI131" s="6"/>
    </row>
    <row r="132" spans="1:35" ht="15" customHeight="1">
      <c r="A132" s="139" t="s">
        <v>124</v>
      </c>
      <c r="B132" s="246" t="s">
        <v>387</v>
      </c>
      <c r="C132" s="246" t="s">
        <v>392</v>
      </c>
      <c r="D132" s="246" t="s">
        <v>0</v>
      </c>
      <c r="E132" s="246" t="s">
        <v>282</v>
      </c>
      <c r="F132" s="246" t="s">
        <v>393</v>
      </c>
      <c r="G132" s="246" t="s">
        <v>322</v>
      </c>
      <c r="H132" s="246" t="s">
        <v>364</v>
      </c>
      <c r="I132" s="246">
        <v>8</v>
      </c>
      <c r="J132" s="246"/>
      <c r="K132" s="246"/>
      <c r="L132" s="246"/>
      <c r="M132" s="246"/>
      <c r="N132" s="246"/>
      <c r="O132" s="246" t="s">
        <v>825</v>
      </c>
      <c r="P132" s="246" t="s">
        <v>392</v>
      </c>
      <c r="Q132" s="246" t="s">
        <v>373</v>
      </c>
      <c r="R132" s="287" t="s">
        <v>394</v>
      </c>
      <c r="S132" s="25">
        <v>43160</v>
      </c>
      <c r="T132" s="25">
        <v>43160</v>
      </c>
      <c r="U132" s="4">
        <v>43160</v>
      </c>
      <c r="V132" s="311" t="s">
        <v>1464</v>
      </c>
      <c r="W132" s="4">
        <v>43221</v>
      </c>
      <c r="X132" s="4">
        <v>43221</v>
      </c>
      <c r="Y132" s="3"/>
      <c r="Z132" s="4"/>
      <c r="AA132" s="54"/>
      <c r="AB132" s="25"/>
      <c r="AE132" s="4"/>
      <c r="AF132" s="4"/>
      <c r="AI132" s="6"/>
    </row>
    <row r="133" spans="1:35" ht="15" customHeight="1">
      <c r="A133" s="139" t="s">
        <v>125</v>
      </c>
      <c r="B133" s="246" t="s">
        <v>387</v>
      </c>
      <c r="C133" s="246" t="s">
        <v>395</v>
      </c>
      <c r="D133" s="246" t="s">
        <v>0</v>
      </c>
      <c r="E133" s="246" t="s">
        <v>282</v>
      </c>
      <c r="F133" s="246" t="s">
        <v>393</v>
      </c>
      <c r="G133" s="246" t="s">
        <v>237</v>
      </c>
      <c r="H133" s="246" t="s">
        <v>364</v>
      </c>
      <c r="I133" s="246">
        <v>8</v>
      </c>
      <c r="J133" s="246"/>
      <c r="K133" s="246"/>
      <c r="L133" s="246"/>
      <c r="M133" s="246"/>
      <c r="N133" s="246"/>
      <c r="O133" s="246" t="s">
        <v>826</v>
      </c>
      <c r="P133" s="246" t="s">
        <v>395</v>
      </c>
      <c r="Q133" s="246" t="s">
        <v>373</v>
      </c>
      <c r="R133" s="287" t="s">
        <v>394</v>
      </c>
      <c r="S133" s="25">
        <v>43160</v>
      </c>
      <c r="T133" s="25">
        <v>43160</v>
      </c>
      <c r="U133" s="4">
        <v>43160</v>
      </c>
      <c r="V133" s="311" t="s">
        <v>1464</v>
      </c>
      <c r="W133" s="4">
        <v>43221</v>
      </c>
      <c r="X133" s="4">
        <v>43221</v>
      </c>
      <c r="Y133" s="3"/>
      <c r="Z133" s="4"/>
      <c r="AA133" s="54"/>
      <c r="AB133" s="25"/>
      <c r="AI133" s="6"/>
    </row>
    <row r="134" spans="1:35" ht="15" customHeight="1">
      <c r="A134" s="139" t="s">
        <v>126</v>
      </c>
      <c r="B134" s="246" t="s">
        <v>387</v>
      </c>
      <c r="C134" s="246" t="s">
        <v>396</v>
      </c>
      <c r="D134" s="246" t="s">
        <v>0</v>
      </c>
      <c r="E134" s="246" t="s">
        <v>282</v>
      </c>
      <c r="F134" s="246" t="s">
        <v>393</v>
      </c>
      <c r="G134" s="246" t="s">
        <v>397</v>
      </c>
      <c r="H134" s="246" t="s">
        <v>364</v>
      </c>
      <c r="I134" s="246">
        <v>8</v>
      </c>
      <c r="J134" s="246"/>
      <c r="K134" s="246"/>
      <c r="L134" s="246"/>
      <c r="M134" s="246"/>
      <c r="N134" s="246"/>
      <c r="O134" s="246" t="s">
        <v>827</v>
      </c>
      <c r="P134" s="246" t="s">
        <v>396</v>
      </c>
      <c r="Q134" s="246" t="s">
        <v>373</v>
      </c>
      <c r="R134" s="287" t="s">
        <v>394</v>
      </c>
      <c r="S134" s="25">
        <v>43160</v>
      </c>
      <c r="T134" s="25">
        <v>43160</v>
      </c>
      <c r="U134" s="4">
        <v>43160</v>
      </c>
      <c r="V134" s="311" t="s">
        <v>1464</v>
      </c>
      <c r="W134" s="4">
        <v>43221</v>
      </c>
      <c r="X134" s="4">
        <v>43221</v>
      </c>
      <c r="Y134" s="3"/>
      <c r="Z134" s="4"/>
      <c r="AA134" s="54"/>
      <c r="AB134" s="25"/>
      <c r="AI134" s="6"/>
    </row>
    <row r="135" spans="1:35" ht="15" customHeight="1">
      <c r="A135" s="139" t="s">
        <v>127</v>
      </c>
      <c r="B135" s="246" t="s">
        <v>387</v>
      </c>
      <c r="C135" s="246" t="s">
        <v>398</v>
      </c>
      <c r="D135" s="246" t="s">
        <v>0</v>
      </c>
      <c r="E135" s="246" t="s">
        <v>282</v>
      </c>
      <c r="F135" s="246" t="s">
        <v>393</v>
      </c>
      <c r="G135" s="246" t="s">
        <v>399</v>
      </c>
      <c r="H135" s="246" t="s">
        <v>364</v>
      </c>
      <c r="I135" s="246">
        <v>8</v>
      </c>
      <c r="J135" s="246"/>
      <c r="K135" s="246"/>
      <c r="L135" s="246"/>
      <c r="M135" s="246"/>
      <c r="N135" s="246"/>
      <c r="O135" s="246" t="s">
        <v>828</v>
      </c>
      <c r="P135" s="246" t="s">
        <v>398</v>
      </c>
      <c r="Q135" s="246" t="s">
        <v>373</v>
      </c>
      <c r="R135" s="287" t="s">
        <v>391</v>
      </c>
      <c r="S135" s="25">
        <v>43070</v>
      </c>
      <c r="T135" s="25">
        <v>43070</v>
      </c>
      <c r="U135" s="25">
        <v>43070</v>
      </c>
      <c r="W135" s="25">
        <v>43160</v>
      </c>
      <c r="X135" s="25">
        <v>43160</v>
      </c>
      <c r="Z135" s="4"/>
      <c r="AA135" s="54"/>
      <c r="AB135" s="25"/>
      <c r="AE135" s="4"/>
      <c r="AF135" s="4"/>
      <c r="AI135" s="6"/>
    </row>
    <row r="136" spans="1:35" ht="15" customHeight="1">
      <c r="A136" s="139" t="s">
        <v>128</v>
      </c>
      <c r="B136" s="246" t="s">
        <v>387</v>
      </c>
      <c r="C136" s="246" t="s">
        <v>400</v>
      </c>
      <c r="D136" s="246" t="s">
        <v>0</v>
      </c>
      <c r="E136" s="246" t="s">
        <v>282</v>
      </c>
      <c r="F136" s="246" t="s">
        <v>393</v>
      </c>
      <c r="G136" s="246" t="s">
        <v>401</v>
      </c>
      <c r="H136" s="246" t="s">
        <v>364</v>
      </c>
      <c r="I136" s="246">
        <v>8</v>
      </c>
      <c r="J136" s="246"/>
      <c r="K136" s="246"/>
      <c r="L136" s="246"/>
      <c r="M136" s="246"/>
      <c r="N136" s="246"/>
      <c r="O136" s="246" t="s">
        <v>829</v>
      </c>
      <c r="P136" s="246" t="s">
        <v>400</v>
      </c>
      <c r="Q136" s="246" t="s">
        <v>373</v>
      </c>
      <c r="R136" s="287" t="s">
        <v>394</v>
      </c>
      <c r="S136" s="25">
        <v>43160</v>
      </c>
      <c r="T136" s="25">
        <v>43160</v>
      </c>
      <c r="U136" s="4">
        <v>43160</v>
      </c>
      <c r="V136" s="311" t="s">
        <v>1464</v>
      </c>
      <c r="W136" s="4">
        <v>43221</v>
      </c>
      <c r="X136" s="4">
        <v>43221</v>
      </c>
      <c r="Y136" s="3"/>
      <c r="Z136" s="4"/>
      <c r="AA136" s="54"/>
      <c r="AB136" s="25"/>
    </row>
    <row r="137" spans="1:35" ht="15" customHeight="1">
      <c r="A137" s="139" t="s">
        <v>129</v>
      </c>
      <c r="B137" s="246" t="s">
        <v>387</v>
      </c>
      <c r="C137" s="246" t="s">
        <v>402</v>
      </c>
      <c r="D137" s="246" t="s">
        <v>0</v>
      </c>
      <c r="E137" s="246" t="s">
        <v>282</v>
      </c>
      <c r="F137" s="246" t="s">
        <v>393</v>
      </c>
      <c r="G137" s="246" t="s">
        <v>319</v>
      </c>
      <c r="H137" s="246" t="s">
        <v>364</v>
      </c>
      <c r="I137" s="246">
        <v>8</v>
      </c>
      <c r="J137" s="246"/>
      <c r="K137" s="246"/>
      <c r="L137" s="246"/>
      <c r="M137" s="246"/>
      <c r="N137" s="246"/>
      <c r="O137" s="246" t="s">
        <v>830</v>
      </c>
      <c r="P137" s="246" t="s">
        <v>402</v>
      </c>
      <c r="Q137" s="246" t="s">
        <v>373</v>
      </c>
      <c r="R137" s="287" t="s">
        <v>394</v>
      </c>
      <c r="S137" s="25">
        <v>43160</v>
      </c>
      <c r="T137" s="25">
        <v>43160</v>
      </c>
      <c r="U137" s="4">
        <v>43160</v>
      </c>
      <c r="V137" s="311" t="s">
        <v>1464</v>
      </c>
      <c r="W137" s="4">
        <v>43221</v>
      </c>
      <c r="X137" s="4">
        <v>43221</v>
      </c>
      <c r="Y137" s="3"/>
      <c r="Z137" s="4"/>
      <c r="AA137" s="54"/>
      <c r="AB137" s="25"/>
    </row>
    <row r="138" spans="1:35" ht="15" customHeight="1">
      <c r="A138" s="139" t="s">
        <v>130</v>
      </c>
      <c r="B138" s="246" t="s">
        <v>387</v>
      </c>
      <c r="C138" s="246" t="s">
        <v>403</v>
      </c>
      <c r="D138" s="246" t="s">
        <v>0</v>
      </c>
      <c r="E138" s="246" t="s">
        <v>282</v>
      </c>
      <c r="F138" s="246" t="s">
        <v>404</v>
      </c>
      <c r="G138" s="246" t="s">
        <v>397</v>
      </c>
      <c r="H138" s="246" t="s">
        <v>364</v>
      </c>
      <c r="I138" s="246">
        <v>8</v>
      </c>
      <c r="J138" s="246"/>
      <c r="K138" s="246"/>
      <c r="L138" s="246"/>
      <c r="M138" s="246"/>
      <c r="N138" s="246"/>
      <c r="O138" s="246" t="s">
        <v>831</v>
      </c>
      <c r="P138" s="246" t="s">
        <v>403</v>
      </c>
      <c r="Q138" s="246" t="s">
        <v>373</v>
      </c>
      <c r="R138" s="287" t="s">
        <v>391</v>
      </c>
      <c r="S138" s="25">
        <v>43070</v>
      </c>
      <c r="T138" s="25">
        <v>43070</v>
      </c>
      <c r="U138" s="25">
        <v>43070</v>
      </c>
      <c r="W138" s="25">
        <v>43160</v>
      </c>
      <c r="X138" s="25">
        <v>43160</v>
      </c>
      <c r="Z138" s="4"/>
      <c r="AA138" s="54"/>
      <c r="AB138" s="25"/>
      <c r="AI138" s="6"/>
    </row>
    <row r="139" spans="1:35" ht="15" customHeight="1">
      <c r="A139" s="139" t="s">
        <v>131</v>
      </c>
      <c r="B139" s="246" t="s">
        <v>387</v>
      </c>
      <c r="C139" s="246" t="s">
        <v>405</v>
      </c>
      <c r="D139" s="246" t="s">
        <v>0</v>
      </c>
      <c r="E139" s="246" t="s">
        <v>282</v>
      </c>
      <c r="F139" s="246" t="s">
        <v>404</v>
      </c>
      <c r="G139" s="246" t="s">
        <v>399</v>
      </c>
      <c r="H139" s="246" t="s">
        <v>364</v>
      </c>
      <c r="I139" s="246">
        <v>8</v>
      </c>
      <c r="J139" s="246"/>
      <c r="K139" s="246"/>
      <c r="L139" s="246"/>
      <c r="M139" s="246"/>
      <c r="N139" s="246"/>
      <c r="O139" s="246" t="s">
        <v>832</v>
      </c>
      <c r="P139" s="246" t="s">
        <v>405</v>
      </c>
      <c r="Q139" s="246" t="s">
        <v>373</v>
      </c>
      <c r="R139" s="287" t="s">
        <v>391</v>
      </c>
      <c r="S139" s="25">
        <v>43070</v>
      </c>
      <c r="T139" s="25">
        <v>43070</v>
      </c>
      <c r="U139" s="25">
        <v>43070</v>
      </c>
      <c r="V139" s="54"/>
      <c r="W139" s="25">
        <v>43160</v>
      </c>
      <c r="X139" s="25">
        <v>43160</v>
      </c>
      <c r="Z139" s="4"/>
      <c r="AA139" s="54"/>
      <c r="AB139" s="25"/>
      <c r="AI139" s="6"/>
    </row>
    <row r="140" spans="1:35" ht="15" customHeight="1">
      <c r="A140" s="139" t="s">
        <v>132</v>
      </c>
      <c r="B140" s="246" t="s">
        <v>406</v>
      </c>
      <c r="C140" s="246" t="s">
        <v>407</v>
      </c>
      <c r="D140" s="246" t="s">
        <v>0</v>
      </c>
      <c r="E140" s="246" t="s">
        <v>282</v>
      </c>
      <c r="F140" s="246" t="s">
        <v>408</v>
      </c>
      <c r="G140" s="246" t="s">
        <v>229</v>
      </c>
      <c r="H140" s="246" t="s">
        <v>364</v>
      </c>
      <c r="I140" s="246">
        <v>5</v>
      </c>
      <c r="J140" s="246"/>
      <c r="K140" s="246"/>
      <c r="L140" s="246"/>
      <c r="M140" s="246"/>
      <c r="N140" s="246"/>
      <c r="O140" s="246" t="s">
        <v>409</v>
      </c>
      <c r="P140" s="246" t="s">
        <v>410</v>
      </c>
      <c r="Q140" s="246" t="s">
        <v>373</v>
      </c>
      <c r="R140" s="287" t="s">
        <v>374</v>
      </c>
      <c r="S140" s="25">
        <v>43210</v>
      </c>
      <c r="T140" s="25">
        <v>43210</v>
      </c>
      <c r="V140" s="54"/>
      <c r="W140" s="4">
        <v>43252</v>
      </c>
      <c r="X140" s="4">
        <v>43252</v>
      </c>
      <c r="Y140" s="3"/>
      <c r="Z140" s="4"/>
      <c r="AA140" s="54"/>
      <c r="AB140" s="25"/>
      <c r="AI140" s="6"/>
    </row>
    <row r="141" spans="1:35" ht="15" customHeight="1">
      <c r="A141" s="139" t="s">
        <v>133</v>
      </c>
      <c r="B141" s="246" t="s">
        <v>245</v>
      </c>
      <c r="C141" s="246" t="s">
        <v>411</v>
      </c>
      <c r="D141" s="246" t="s">
        <v>0</v>
      </c>
      <c r="E141" s="246" t="s">
        <v>412</v>
      </c>
      <c r="F141" s="246" t="s">
        <v>413</v>
      </c>
      <c r="G141" s="246" t="s">
        <v>217</v>
      </c>
      <c r="H141" s="246" t="s">
        <v>364</v>
      </c>
      <c r="I141" s="246">
        <v>8</v>
      </c>
      <c r="J141" s="246"/>
      <c r="K141" s="246"/>
      <c r="L141" s="246"/>
      <c r="M141" s="246"/>
      <c r="N141" s="246"/>
      <c r="O141" s="246" t="s">
        <v>414</v>
      </c>
      <c r="P141" s="246" t="s">
        <v>411</v>
      </c>
      <c r="Q141" s="246" t="s">
        <v>373</v>
      </c>
      <c r="R141" s="287" t="s">
        <v>415</v>
      </c>
      <c r="S141" s="25">
        <v>43196</v>
      </c>
      <c r="T141" s="25">
        <v>43196</v>
      </c>
      <c r="V141" s="54"/>
      <c r="W141" s="4">
        <v>43257</v>
      </c>
      <c r="X141" s="4">
        <v>43257</v>
      </c>
      <c r="Y141" s="3"/>
      <c r="Z141" s="4"/>
      <c r="AA141" s="54"/>
      <c r="AB141" s="25"/>
      <c r="AI141" s="6"/>
    </row>
    <row r="142" spans="1:35" ht="15" customHeight="1">
      <c r="A142" s="139" t="s">
        <v>134</v>
      </c>
      <c r="B142" s="246" t="s">
        <v>245</v>
      </c>
      <c r="C142" s="246" t="s">
        <v>411</v>
      </c>
      <c r="D142" s="246" t="s">
        <v>0</v>
      </c>
      <c r="E142" s="246" t="s">
        <v>412</v>
      </c>
      <c r="F142" s="246" t="s">
        <v>416</v>
      </c>
      <c r="G142" s="246" t="s">
        <v>217</v>
      </c>
      <c r="H142" s="246" t="s">
        <v>364</v>
      </c>
      <c r="I142" s="246">
        <v>8</v>
      </c>
      <c r="J142" s="246"/>
      <c r="K142" s="246"/>
      <c r="L142" s="246"/>
      <c r="M142" s="246"/>
      <c r="N142" s="246"/>
      <c r="O142" s="246" t="s">
        <v>414</v>
      </c>
      <c r="P142" s="246" t="s">
        <v>411</v>
      </c>
      <c r="Q142" s="246" t="s">
        <v>373</v>
      </c>
      <c r="R142" s="287" t="s">
        <v>415</v>
      </c>
      <c r="S142" s="25">
        <v>43196</v>
      </c>
      <c r="T142" s="25">
        <v>43196</v>
      </c>
      <c r="V142" s="54"/>
      <c r="W142" s="4">
        <v>43257</v>
      </c>
      <c r="X142" s="4">
        <v>43257</v>
      </c>
      <c r="Y142" s="3"/>
      <c r="Z142" s="4"/>
      <c r="AA142" s="54"/>
      <c r="AB142" s="25"/>
      <c r="AI142" s="6"/>
    </row>
    <row r="143" spans="1:35" ht="15" customHeight="1">
      <c r="A143" s="139" t="s">
        <v>135</v>
      </c>
      <c r="B143" s="246" t="s">
        <v>228</v>
      </c>
      <c r="C143" s="246" t="s">
        <v>417</v>
      </c>
      <c r="D143" s="246" t="s">
        <v>0</v>
      </c>
      <c r="E143" s="246" t="s">
        <v>412</v>
      </c>
      <c r="F143" s="246" t="s">
        <v>418</v>
      </c>
      <c r="G143" s="246" t="s">
        <v>229</v>
      </c>
      <c r="H143" s="246" t="s">
        <v>364</v>
      </c>
      <c r="I143" s="246"/>
      <c r="J143" s="246"/>
      <c r="K143" s="246"/>
      <c r="L143" s="246"/>
      <c r="M143" s="246"/>
      <c r="N143" s="246"/>
      <c r="O143" s="246" t="s">
        <v>419</v>
      </c>
      <c r="P143" s="246" t="s">
        <v>417</v>
      </c>
      <c r="Q143" s="246" t="s">
        <v>420</v>
      </c>
      <c r="R143" s="35"/>
      <c r="S143" s="25">
        <v>43160</v>
      </c>
      <c r="T143" s="25">
        <v>43205</v>
      </c>
      <c r="V143" s="311" t="s">
        <v>1467</v>
      </c>
      <c r="W143" s="25">
        <v>43191</v>
      </c>
      <c r="X143" s="25">
        <v>43261</v>
      </c>
      <c r="Y143" s="3"/>
      <c r="Z143" s="4"/>
      <c r="AA143" s="54"/>
      <c r="AB143" s="25"/>
    </row>
    <row r="144" spans="1:35" ht="15" customHeight="1">
      <c r="A144" s="139" t="s">
        <v>136</v>
      </c>
      <c r="B144" s="246" t="s">
        <v>240</v>
      </c>
      <c r="C144" s="246" t="s">
        <v>421</v>
      </c>
      <c r="D144" s="246" t="s">
        <v>0</v>
      </c>
      <c r="E144" s="246" t="s">
        <v>282</v>
      </c>
      <c r="F144" s="246" t="s">
        <v>422</v>
      </c>
      <c r="G144" s="246" t="s">
        <v>229</v>
      </c>
      <c r="H144" s="246" t="s">
        <v>364</v>
      </c>
      <c r="I144" s="246">
        <v>12</v>
      </c>
      <c r="J144" s="246"/>
      <c r="K144" s="246"/>
      <c r="L144" s="246"/>
      <c r="M144" s="246"/>
      <c r="N144" s="246"/>
      <c r="O144" s="246" t="s">
        <v>423</v>
      </c>
      <c r="P144" s="246" t="s">
        <v>421</v>
      </c>
      <c r="Q144" s="246" t="s">
        <v>366</v>
      </c>
      <c r="R144" s="286" t="s">
        <v>424</v>
      </c>
      <c r="S144" s="25">
        <v>43179</v>
      </c>
      <c r="T144" s="25">
        <v>43179</v>
      </c>
      <c r="W144" s="25">
        <f>S144+I144*7</f>
        <v>43263</v>
      </c>
      <c r="X144" s="25">
        <v>43263</v>
      </c>
      <c r="Y144" s="3"/>
      <c r="Z144" s="4"/>
      <c r="AA144" s="54"/>
      <c r="AB144" s="25"/>
    </row>
    <row r="145" spans="1:35" ht="132.6" customHeight="1">
      <c r="A145" s="139" t="s">
        <v>137</v>
      </c>
      <c r="B145" s="246" t="s">
        <v>240</v>
      </c>
      <c r="C145" s="246" t="s">
        <v>421</v>
      </c>
      <c r="D145" s="246" t="s">
        <v>0</v>
      </c>
      <c r="E145" s="246" t="s">
        <v>282</v>
      </c>
      <c r="F145" s="246" t="s">
        <v>425</v>
      </c>
      <c r="G145" s="246" t="s">
        <v>229</v>
      </c>
      <c r="H145" s="246" t="s">
        <v>364</v>
      </c>
      <c r="I145" s="246">
        <v>12</v>
      </c>
      <c r="J145" s="246"/>
      <c r="K145" s="246"/>
      <c r="L145" s="246"/>
      <c r="M145" s="246"/>
      <c r="N145" s="246"/>
      <c r="O145" s="246" t="s">
        <v>423</v>
      </c>
      <c r="P145" s="246" t="s">
        <v>421</v>
      </c>
      <c r="Q145" s="246" t="s">
        <v>366</v>
      </c>
      <c r="R145" s="286" t="s">
        <v>424</v>
      </c>
      <c r="S145" s="25" t="s">
        <v>1575</v>
      </c>
      <c r="T145" s="25">
        <v>43179</v>
      </c>
      <c r="W145" s="25" t="e">
        <f>S145+I145*7</f>
        <v>#VALUE!</v>
      </c>
      <c r="X145" s="25">
        <v>43263</v>
      </c>
      <c r="Y145" s="3"/>
      <c r="Z145" s="4"/>
      <c r="AA145" s="54"/>
      <c r="AB145" s="25"/>
      <c r="AE145" s="4"/>
      <c r="AF145" s="4"/>
    </row>
    <row r="146" spans="1:35" ht="15" customHeight="1">
      <c r="A146" s="139" t="s">
        <v>138</v>
      </c>
      <c r="B146" s="246" t="s">
        <v>426</v>
      </c>
      <c r="C146" s="246" t="s">
        <v>427</v>
      </c>
      <c r="D146" s="246" t="s">
        <v>0</v>
      </c>
      <c r="E146" s="246" t="s">
        <v>282</v>
      </c>
      <c r="F146" s="246" t="s">
        <v>428</v>
      </c>
      <c r="G146" s="246" t="s">
        <v>218</v>
      </c>
      <c r="H146" s="246" t="s">
        <v>364</v>
      </c>
      <c r="I146" s="246">
        <v>12</v>
      </c>
      <c r="J146" s="246"/>
      <c r="K146" s="246"/>
      <c r="L146" s="246"/>
      <c r="M146" s="246"/>
      <c r="N146" s="246"/>
      <c r="O146" s="246" t="s">
        <v>429</v>
      </c>
      <c r="P146" s="246" t="s">
        <v>427</v>
      </c>
      <c r="Q146" s="246" t="s">
        <v>384</v>
      </c>
      <c r="R146" s="286" t="s">
        <v>385</v>
      </c>
      <c r="S146" s="25">
        <v>43142</v>
      </c>
      <c r="T146" s="25">
        <v>43160</v>
      </c>
      <c r="U146" s="4">
        <v>43160</v>
      </c>
      <c r="V146" s="311"/>
      <c r="W146" s="4">
        <v>43238</v>
      </c>
      <c r="X146" s="4">
        <v>43238</v>
      </c>
      <c r="Y146" s="3"/>
      <c r="Z146" s="4"/>
      <c r="AA146" s="54"/>
      <c r="AB146" s="25"/>
    </row>
    <row r="147" spans="1:35" ht="15" customHeight="1">
      <c r="A147" s="139" t="s">
        <v>139</v>
      </c>
      <c r="B147" s="246" t="s">
        <v>426</v>
      </c>
      <c r="C147" s="246" t="s">
        <v>427</v>
      </c>
      <c r="D147" s="246" t="s">
        <v>0</v>
      </c>
      <c r="E147" s="246" t="s">
        <v>282</v>
      </c>
      <c r="F147" s="246" t="s">
        <v>430</v>
      </c>
      <c r="G147" s="246" t="s">
        <v>218</v>
      </c>
      <c r="H147" s="246" t="s">
        <v>364</v>
      </c>
      <c r="I147" s="246">
        <v>12</v>
      </c>
      <c r="J147" s="246"/>
      <c r="K147" s="246"/>
      <c r="L147" s="246"/>
      <c r="M147" s="246"/>
      <c r="N147" s="246"/>
      <c r="O147" s="246" t="s">
        <v>429</v>
      </c>
      <c r="P147" s="246" t="s">
        <v>427</v>
      </c>
      <c r="Q147" s="246" t="s">
        <v>384</v>
      </c>
      <c r="R147" s="286" t="s">
        <v>385</v>
      </c>
      <c r="S147" s="25">
        <v>43142</v>
      </c>
      <c r="T147" s="25">
        <v>43160</v>
      </c>
      <c r="U147" s="4">
        <v>43160</v>
      </c>
      <c r="V147" s="311"/>
      <c r="W147" s="4">
        <v>43238</v>
      </c>
      <c r="X147" s="4">
        <v>43238</v>
      </c>
      <c r="Y147" s="3"/>
      <c r="Z147" s="4"/>
      <c r="AA147" s="54"/>
      <c r="AB147" s="25"/>
      <c r="AE147" s="4"/>
      <c r="AF147" s="4"/>
    </row>
    <row r="148" spans="1:35" ht="15" customHeight="1">
      <c r="A148" s="139" t="s">
        <v>140</v>
      </c>
      <c r="B148" s="246" t="s">
        <v>426</v>
      </c>
      <c r="C148" s="246" t="s">
        <v>431</v>
      </c>
      <c r="D148" s="246" t="s">
        <v>0</v>
      </c>
      <c r="E148" s="246" t="s">
        <v>282</v>
      </c>
      <c r="F148" s="246" t="s">
        <v>432</v>
      </c>
      <c r="G148" s="246" t="s">
        <v>217</v>
      </c>
      <c r="H148" s="246" t="s">
        <v>364</v>
      </c>
      <c r="I148" s="246">
        <v>16</v>
      </c>
      <c r="J148" s="246"/>
      <c r="K148" s="246"/>
      <c r="L148" s="246"/>
      <c r="M148" s="246"/>
      <c r="N148" s="246"/>
      <c r="O148" s="246" t="s">
        <v>433</v>
      </c>
      <c r="P148" s="246" t="s">
        <v>431</v>
      </c>
      <c r="Q148" s="246" t="s">
        <v>384</v>
      </c>
      <c r="R148" s="286" t="s">
        <v>434</v>
      </c>
      <c r="S148" s="25">
        <v>43137</v>
      </c>
      <c r="T148" s="25">
        <v>43137</v>
      </c>
      <c r="U148" s="25">
        <v>43137</v>
      </c>
      <c r="W148" s="4">
        <v>43266</v>
      </c>
      <c r="X148" s="4">
        <v>43266</v>
      </c>
      <c r="Y148" s="3"/>
      <c r="Z148" s="7"/>
      <c r="AA148" s="54"/>
      <c r="AB148" s="25"/>
      <c r="AE148" s="4"/>
      <c r="AF148" s="4"/>
      <c r="AI148" s="6"/>
    </row>
    <row r="149" spans="1:35" ht="15" customHeight="1">
      <c r="A149" s="139" t="s">
        <v>141</v>
      </c>
      <c r="B149" s="246" t="s">
        <v>426</v>
      </c>
      <c r="C149" s="246" t="s">
        <v>431</v>
      </c>
      <c r="D149" s="246" t="s">
        <v>0</v>
      </c>
      <c r="E149" s="246" t="s">
        <v>282</v>
      </c>
      <c r="F149" s="246" t="s">
        <v>432</v>
      </c>
      <c r="G149" s="246" t="s">
        <v>218</v>
      </c>
      <c r="H149" s="246" t="s">
        <v>364</v>
      </c>
      <c r="I149" s="246">
        <v>16</v>
      </c>
      <c r="J149" s="246"/>
      <c r="K149" s="246"/>
      <c r="L149" s="246"/>
      <c r="M149" s="246"/>
      <c r="N149" s="246"/>
      <c r="O149" s="246" t="s">
        <v>433</v>
      </c>
      <c r="P149" s="246" t="s">
        <v>431</v>
      </c>
      <c r="Q149" s="246" t="s">
        <v>384</v>
      </c>
      <c r="R149" s="286" t="s">
        <v>434</v>
      </c>
      <c r="S149" s="25">
        <v>43137</v>
      </c>
      <c r="T149" s="25">
        <v>43137</v>
      </c>
      <c r="U149" s="25">
        <v>43137</v>
      </c>
      <c r="V149" s="247"/>
      <c r="W149" s="4">
        <v>43266</v>
      </c>
      <c r="X149" s="4">
        <v>43266</v>
      </c>
      <c r="Y149" s="3"/>
      <c r="Z149" s="7"/>
      <c r="AA149" s="54"/>
      <c r="AB149" s="25"/>
      <c r="AE149" s="4"/>
      <c r="AF149" s="4"/>
      <c r="AI149" s="6"/>
    </row>
    <row r="150" spans="1:35" ht="15" customHeight="1">
      <c r="A150" s="139" t="s">
        <v>142</v>
      </c>
      <c r="B150" s="246" t="s">
        <v>426</v>
      </c>
      <c r="C150" s="246" t="s">
        <v>431</v>
      </c>
      <c r="D150" s="246" t="s">
        <v>0</v>
      </c>
      <c r="E150" s="246" t="s">
        <v>282</v>
      </c>
      <c r="F150" s="246" t="s">
        <v>432</v>
      </c>
      <c r="G150" s="246" t="s">
        <v>220</v>
      </c>
      <c r="H150" s="246" t="s">
        <v>364</v>
      </c>
      <c r="I150" s="246">
        <v>16</v>
      </c>
      <c r="J150" s="246" t="s">
        <v>433</v>
      </c>
      <c r="K150" s="246" t="s">
        <v>431</v>
      </c>
      <c r="L150" s="246" t="s">
        <v>384</v>
      </c>
      <c r="M150" s="246"/>
      <c r="N150" s="246"/>
      <c r="O150" s="246" t="s">
        <v>433</v>
      </c>
      <c r="P150" s="246" t="s">
        <v>431</v>
      </c>
      <c r="Q150" s="246" t="s">
        <v>384</v>
      </c>
      <c r="R150" s="286" t="s">
        <v>434</v>
      </c>
      <c r="S150" s="25">
        <v>43137</v>
      </c>
      <c r="T150" s="25">
        <v>43137</v>
      </c>
      <c r="U150" s="25">
        <v>43137</v>
      </c>
      <c r="V150" s="247"/>
      <c r="W150" s="4">
        <v>43266</v>
      </c>
      <c r="X150" s="4">
        <v>43266</v>
      </c>
      <c r="Y150" s="3"/>
      <c r="Z150" s="7"/>
      <c r="AA150" s="54"/>
      <c r="AB150" s="25"/>
      <c r="AE150" s="4"/>
      <c r="AF150" s="4"/>
      <c r="AI150" s="6"/>
    </row>
    <row r="151" spans="1:35" ht="15" customHeight="1">
      <c r="A151" s="139" t="s">
        <v>143</v>
      </c>
      <c r="B151" s="246" t="s">
        <v>426</v>
      </c>
      <c r="C151" s="246" t="s">
        <v>431</v>
      </c>
      <c r="D151" s="246" t="s">
        <v>0</v>
      </c>
      <c r="E151" s="246" t="s">
        <v>282</v>
      </c>
      <c r="F151" s="246" t="s">
        <v>432</v>
      </c>
      <c r="G151" s="246" t="s">
        <v>221</v>
      </c>
      <c r="H151" s="246" t="s">
        <v>364</v>
      </c>
      <c r="I151" s="246">
        <v>16</v>
      </c>
      <c r="J151" s="246"/>
      <c r="K151" s="246"/>
      <c r="L151" s="246"/>
      <c r="M151" s="246"/>
      <c r="N151" s="246"/>
      <c r="O151" s="246" t="s">
        <v>433</v>
      </c>
      <c r="P151" s="246" t="s">
        <v>431</v>
      </c>
      <c r="Q151" s="246" t="s">
        <v>384</v>
      </c>
      <c r="R151" s="286" t="s">
        <v>434</v>
      </c>
      <c r="S151" s="25">
        <v>43137</v>
      </c>
      <c r="T151" s="25">
        <v>43137</v>
      </c>
      <c r="U151" s="25">
        <v>43137</v>
      </c>
      <c r="V151" s="248"/>
      <c r="W151" s="4">
        <v>43266</v>
      </c>
      <c r="X151" s="4">
        <v>43266</v>
      </c>
      <c r="Y151" s="3"/>
      <c r="Z151" s="4"/>
      <c r="AA151" s="54"/>
      <c r="AB151" s="25"/>
      <c r="AI151" s="6"/>
    </row>
    <row r="152" spans="1:35" ht="15" customHeight="1">
      <c r="A152" s="139" t="s">
        <v>144</v>
      </c>
      <c r="B152" s="246" t="s">
        <v>426</v>
      </c>
      <c r="C152" s="246" t="s">
        <v>431</v>
      </c>
      <c r="D152" s="246" t="s">
        <v>0</v>
      </c>
      <c r="E152" s="246" t="s">
        <v>282</v>
      </c>
      <c r="F152" s="246" t="s">
        <v>432</v>
      </c>
      <c r="G152" s="246" t="s">
        <v>223</v>
      </c>
      <c r="H152" s="246" t="s">
        <v>364</v>
      </c>
      <c r="I152" s="246">
        <v>16</v>
      </c>
      <c r="J152" s="246"/>
      <c r="K152" s="246"/>
      <c r="L152" s="246"/>
      <c r="M152" s="246"/>
      <c r="N152" s="246"/>
      <c r="O152" s="246" t="s">
        <v>433</v>
      </c>
      <c r="P152" s="246" t="s">
        <v>431</v>
      </c>
      <c r="Q152" s="246" t="s">
        <v>384</v>
      </c>
      <c r="R152" s="286" t="s">
        <v>434</v>
      </c>
      <c r="S152" s="25">
        <v>43137</v>
      </c>
      <c r="T152" s="25">
        <v>43137</v>
      </c>
      <c r="U152" s="25">
        <v>43137</v>
      </c>
      <c r="V152" s="248"/>
      <c r="W152" s="4">
        <v>43266</v>
      </c>
      <c r="X152" s="4">
        <v>43266</v>
      </c>
      <c r="Y152" s="3"/>
      <c r="Z152" s="4"/>
      <c r="AA152" s="54"/>
      <c r="AB152" s="25"/>
    </row>
    <row r="153" spans="1:35" ht="15" customHeight="1">
      <c r="A153" s="139" t="s">
        <v>145</v>
      </c>
      <c r="B153" s="246" t="s">
        <v>426</v>
      </c>
      <c r="C153" s="246" t="s">
        <v>431</v>
      </c>
      <c r="D153" s="246" t="s">
        <v>0</v>
      </c>
      <c r="E153" s="246" t="s">
        <v>282</v>
      </c>
      <c r="F153" s="246" t="s">
        <v>432</v>
      </c>
      <c r="G153" s="246" t="s">
        <v>224</v>
      </c>
      <c r="H153" s="246" t="s">
        <v>364</v>
      </c>
      <c r="I153" s="246">
        <v>16</v>
      </c>
      <c r="J153" s="246"/>
      <c r="K153" s="246"/>
      <c r="L153" s="246"/>
      <c r="M153" s="246"/>
      <c r="N153" s="246"/>
      <c r="O153" s="246" t="s">
        <v>433</v>
      </c>
      <c r="P153" s="246" t="s">
        <v>431</v>
      </c>
      <c r="Q153" s="246" t="s">
        <v>384</v>
      </c>
      <c r="R153" s="286" t="s">
        <v>434</v>
      </c>
      <c r="S153" s="25">
        <v>43137</v>
      </c>
      <c r="T153" s="25">
        <v>43137</v>
      </c>
      <c r="U153" s="25">
        <v>43137</v>
      </c>
      <c r="V153" s="248"/>
      <c r="W153" s="4">
        <v>43266</v>
      </c>
      <c r="X153" s="4">
        <v>43266</v>
      </c>
      <c r="Y153" s="3"/>
      <c r="Z153" s="4"/>
      <c r="AA153" s="54"/>
      <c r="AB153" s="25"/>
    </row>
    <row r="154" spans="1:35" ht="15" customHeight="1">
      <c r="A154" s="139" t="s">
        <v>146</v>
      </c>
      <c r="B154" s="246" t="s">
        <v>426</v>
      </c>
      <c r="C154" s="246" t="s">
        <v>431</v>
      </c>
      <c r="D154" s="246" t="s">
        <v>0</v>
      </c>
      <c r="E154" s="246" t="s">
        <v>282</v>
      </c>
      <c r="F154" s="246" t="s">
        <v>432</v>
      </c>
      <c r="G154" s="246" t="s">
        <v>225</v>
      </c>
      <c r="H154" s="246" t="s">
        <v>364</v>
      </c>
      <c r="I154" s="246">
        <v>16</v>
      </c>
      <c r="J154" s="246"/>
      <c r="K154" s="246"/>
      <c r="L154" s="246"/>
      <c r="M154" s="246"/>
      <c r="N154" s="246"/>
      <c r="O154" s="246" t="s">
        <v>433</v>
      </c>
      <c r="P154" s="246" t="s">
        <v>431</v>
      </c>
      <c r="Q154" s="246" t="s">
        <v>384</v>
      </c>
      <c r="R154" s="286" t="s">
        <v>434</v>
      </c>
      <c r="S154" s="25">
        <v>43137</v>
      </c>
      <c r="T154" s="25">
        <v>43137</v>
      </c>
      <c r="U154" s="25">
        <v>43137</v>
      </c>
      <c r="V154" s="248"/>
      <c r="W154" s="4">
        <v>43266</v>
      </c>
      <c r="X154" s="4">
        <v>43266</v>
      </c>
      <c r="Y154" s="3"/>
      <c r="Z154" s="4"/>
      <c r="AA154" s="54"/>
      <c r="AB154" s="25"/>
    </row>
    <row r="155" spans="1:35" ht="15" customHeight="1">
      <c r="A155" s="139" t="s">
        <v>147</v>
      </c>
      <c r="B155" s="246" t="s">
        <v>426</v>
      </c>
      <c r="C155" s="246" t="s">
        <v>431</v>
      </c>
      <c r="D155" s="246" t="s">
        <v>0</v>
      </c>
      <c r="E155" s="246" t="s">
        <v>282</v>
      </c>
      <c r="F155" s="246" t="s">
        <v>432</v>
      </c>
      <c r="G155" s="246" t="s">
        <v>226</v>
      </c>
      <c r="H155" s="246" t="s">
        <v>364</v>
      </c>
      <c r="I155" s="246">
        <v>16</v>
      </c>
      <c r="J155" s="246"/>
      <c r="K155" s="246"/>
      <c r="L155" s="246"/>
      <c r="M155" s="246"/>
      <c r="N155" s="246"/>
      <c r="O155" s="246" t="s">
        <v>433</v>
      </c>
      <c r="P155" s="246" t="s">
        <v>431</v>
      </c>
      <c r="Q155" s="246" t="s">
        <v>384</v>
      </c>
      <c r="R155" s="286" t="s">
        <v>434</v>
      </c>
      <c r="S155" s="25">
        <v>43137</v>
      </c>
      <c r="T155" s="25">
        <v>43137</v>
      </c>
      <c r="U155" s="25">
        <v>43137</v>
      </c>
      <c r="V155" s="248"/>
      <c r="W155" s="4">
        <v>43266</v>
      </c>
      <c r="X155" s="4">
        <v>43266</v>
      </c>
      <c r="Y155" s="3"/>
      <c r="Z155" s="4"/>
      <c r="AA155" s="54"/>
      <c r="AB155" s="25"/>
    </row>
    <row r="156" spans="1:35" ht="15" customHeight="1">
      <c r="A156" s="139" t="s">
        <v>148</v>
      </c>
      <c r="B156" s="246" t="s">
        <v>426</v>
      </c>
      <c r="C156" s="246" t="s">
        <v>431</v>
      </c>
      <c r="D156" s="246" t="s">
        <v>0</v>
      </c>
      <c r="E156" s="246" t="s">
        <v>282</v>
      </c>
      <c r="F156" s="246" t="s">
        <v>432</v>
      </c>
      <c r="G156" s="246" t="s">
        <v>227</v>
      </c>
      <c r="H156" s="246" t="s">
        <v>364</v>
      </c>
      <c r="I156" s="246">
        <v>16</v>
      </c>
      <c r="J156" s="246"/>
      <c r="K156" s="246"/>
      <c r="L156" s="246"/>
      <c r="M156" s="246"/>
      <c r="N156" s="246"/>
      <c r="O156" s="246" t="s">
        <v>433</v>
      </c>
      <c r="P156" s="246" t="s">
        <v>431</v>
      </c>
      <c r="Q156" s="246" t="s">
        <v>384</v>
      </c>
      <c r="R156" s="286" t="s">
        <v>434</v>
      </c>
      <c r="S156" s="25">
        <v>43137</v>
      </c>
      <c r="T156" s="25">
        <v>43137</v>
      </c>
      <c r="U156" s="25">
        <v>43137</v>
      </c>
      <c r="V156" s="248"/>
      <c r="W156" s="4">
        <v>43266</v>
      </c>
      <c r="X156" s="4">
        <v>43266</v>
      </c>
      <c r="Y156" s="3"/>
      <c r="Z156" s="4"/>
      <c r="AA156" s="54"/>
      <c r="AB156" s="25"/>
      <c r="AI156" s="6"/>
    </row>
    <row r="157" spans="1:35" ht="15" customHeight="1">
      <c r="A157" s="139" t="s">
        <v>149</v>
      </c>
      <c r="B157" s="246" t="s">
        <v>426</v>
      </c>
      <c r="C157" s="246" t="s">
        <v>435</v>
      </c>
      <c r="D157" s="246" t="s">
        <v>0</v>
      </c>
      <c r="E157" s="246" t="s">
        <v>282</v>
      </c>
      <c r="F157" s="246" t="s">
        <v>436</v>
      </c>
      <c r="G157" s="246" t="s">
        <v>229</v>
      </c>
      <c r="H157" s="246" t="s">
        <v>364</v>
      </c>
      <c r="I157" s="246">
        <v>8</v>
      </c>
      <c r="J157" s="246"/>
      <c r="K157" s="246"/>
      <c r="L157" s="246"/>
      <c r="M157" s="246"/>
      <c r="N157" s="246"/>
      <c r="O157" s="246" t="s">
        <v>437</v>
      </c>
      <c r="P157" s="246" t="s">
        <v>435</v>
      </c>
      <c r="Q157" s="246" t="s">
        <v>384</v>
      </c>
      <c r="R157" s="286" t="s">
        <v>434</v>
      </c>
      <c r="S157" s="25">
        <v>43187</v>
      </c>
      <c r="T157" s="25">
        <v>43187</v>
      </c>
      <c r="U157" s="25"/>
      <c r="V157" s="248"/>
      <c r="W157" s="4">
        <v>43251</v>
      </c>
      <c r="X157" s="4">
        <v>43251</v>
      </c>
      <c r="Y157" s="3"/>
      <c r="Z157" s="4"/>
      <c r="AA157" s="54"/>
      <c r="AB157" s="25"/>
    </row>
    <row r="158" spans="1:35" ht="15" customHeight="1">
      <c r="A158" s="139" t="s">
        <v>150</v>
      </c>
      <c r="B158" s="246" t="s">
        <v>241</v>
      </c>
      <c r="C158" s="246" t="s">
        <v>438</v>
      </c>
      <c r="D158" s="246" t="s">
        <v>0</v>
      </c>
      <c r="E158" s="246" t="s">
        <v>282</v>
      </c>
      <c r="F158" s="246" t="s">
        <v>439</v>
      </c>
      <c r="G158" s="246" t="s">
        <v>229</v>
      </c>
      <c r="H158" s="246" t="s">
        <v>364</v>
      </c>
      <c r="I158" s="246">
        <v>20</v>
      </c>
      <c r="J158" s="246"/>
      <c r="K158" s="246"/>
      <c r="L158" s="246"/>
      <c r="M158" s="246"/>
      <c r="N158" s="246"/>
      <c r="O158" s="307" t="s">
        <v>440</v>
      </c>
      <c r="P158" s="246" t="s">
        <v>438</v>
      </c>
      <c r="Q158" s="246" t="s">
        <v>384</v>
      </c>
      <c r="R158" s="286" t="s">
        <v>441</v>
      </c>
      <c r="S158" s="25">
        <v>43120</v>
      </c>
      <c r="T158" s="25">
        <v>43174</v>
      </c>
      <c r="U158" s="25">
        <v>43174</v>
      </c>
      <c r="V158" s="248"/>
      <c r="W158" s="4">
        <v>43279</v>
      </c>
      <c r="X158" s="4">
        <v>43277</v>
      </c>
      <c r="Y158" s="3"/>
      <c r="Z158" s="4"/>
      <c r="AA158" s="54"/>
      <c r="AB158" s="25"/>
      <c r="AI158" s="6"/>
    </row>
    <row r="159" spans="1:35" ht="15" customHeight="1">
      <c r="A159" s="139" t="s">
        <v>151</v>
      </c>
      <c r="B159" s="246" t="s">
        <v>241</v>
      </c>
      <c r="C159" s="246" t="s">
        <v>442</v>
      </c>
      <c r="D159" s="246" t="s">
        <v>0</v>
      </c>
      <c r="E159" s="246" t="s">
        <v>282</v>
      </c>
      <c r="F159" s="246" t="s">
        <v>443</v>
      </c>
      <c r="G159" s="246" t="s">
        <v>229</v>
      </c>
      <c r="H159" s="246" t="s">
        <v>364</v>
      </c>
      <c r="I159" s="246">
        <v>20</v>
      </c>
      <c r="J159" s="246"/>
      <c r="K159" s="246"/>
      <c r="L159" s="246"/>
      <c r="M159" s="246"/>
      <c r="N159" s="246"/>
      <c r="O159" s="307" t="s">
        <v>440</v>
      </c>
      <c r="P159" s="246" t="s">
        <v>438</v>
      </c>
      <c r="Q159" s="246" t="s">
        <v>384</v>
      </c>
      <c r="R159" s="286" t="s">
        <v>441</v>
      </c>
      <c r="S159" s="25">
        <v>43120</v>
      </c>
      <c r="T159" s="25">
        <v>43174</v>
      </c>
      <c r="U159" s="25">
        <v>43174</v>
      </c>
      <c r="W159" s="4">
        <v>43279</v>
      </c>
      <c r="X159" s="4">
        <v>43277</v>
      </c>
      <c r="Y159" s="3"/>
      <c r="Z159" s="7" t="s">
        <v>481</v>
      </c>
      <c r="AA159" s="54"/>
      <c r="AB159" s="25"/>
    </row>
    <row r="160" spans="1:35" ht="15" customHeight="1">
      <c r="A160" s="139" t="s">
        <v>152</v>
      </c>
      <c r="B160" s="246" t="s">
        <v>241</v>
      </c>
      <c r="C160" s="246" t="s">
        <v>438</v>
      </c>
      <c r="D160" s="246" t="s">
        <v>0</v>
      </c>
      <c r="E160" s="246" t="s">
        <v>282</v>
      </c>
      <c r="F160" s="246" t="s">
        <v>444</v>
      </c>
      <c r="G160" s="246" t="s">
        <v>229</v>
      </c>
      <c r="H160" s="246" t="s">
        <v>364</v>
      </c>
      <c r="I160" s="246">
        <v>20</v>
      </c>
      <c r="J160" s="246"/>
      <c r="K160" s="246"/>
      <c r="L160" s="246"/>
      <c r="M160" s="246"/>
      <c r="N160" s="246"/>
      <c r="O160" s="307" t="s">
        <v>440</v>
      </c>
      <c r="P160" s="246" t="s">
        <v>438</v>
      </c>
      <c r="Q160" s="246" t="s">
        <v>384</v>
      </c>
      <c r="R160" s="286" t="s">
        <v>441</v>
      </c>
      <c r="S160" s="25">
        <v>43120</v>
      </c>
      <c r="T160" s="25">
        <v>43174</v>
      </c>
      <c r="U160" s="25">
        <v>43174</v>
      </c>
      <c r="W160" s="4">
        <v>43279</v>
      </c>
      <c r="X160" s="4">
        <v>43277</v>
      </c>
      <c r="Y160" s="3"/>
      <c r="Z160" s="4"/>
      <c r="AA160" s="54"/>
      <c r="AB160" s="25"/>
      <c r="AI160" s="6"/>
    </row>
    <row r="161" spans="1:35" ht="15" customHeight="1">
      <c r="A161" s="139" t="s">
        <v>153</v>
      </c>
      <c r="B161" s="246" t="s">
        <v>241</v>
      </c>
      <c r="C161" s="246" t="s">
        <v>438</v>
      </c>
      <c r="D161" s="246" t="s">
        <v>0</v>
      </c>
      <c r="E161" s="246" t="s">
        <v>282</v>
      </c>
      <c r="F161" s="246" t="s">
        <v>445</v>
      </c>
      <c r="G161" s="246" t="s">
        <v>229</v>
      </c>
      <c r="H161" s="246" t="s">
        <v>364</v>
      </c>
      <c r="I161" s="246">
        <v>20</v>
      </c>
      <c r="J161" s="246"/>
      <c r="K161" s="246"/>
      <c r="L161" s="246"/>
      <c r="M161" s="246"/>
      <c r="N161" s="246"/>
      <c r="O161" s="307" t="s">
        <v>440</v>
      </c>
      <c r="P161" s="246" t="s">
        <v>438</v>
      </c>
      <c r="Q161" s="246" t="s">
        <v>384</v>
      </c>
      <c r="R161" s="286" t="s">
        <v>441</v>
      </c>
      <c r="S161" s="25">
        <v>43120</v>
      </c>
      <c r="T161" s="25">
        <v>43174</v>
      </c>
      <c r="U161" s="25">
        <v>43174</v>
      </c>
      <c r="W161" s="4">
        <v>43279</v>
      </c>
      <c r="X161" s="4">
        <v>43277</v>
      </c>
      <c r="Y161" s="3"/>
      <c r="Z161" s="4"/>
      <c r="AA161" s="54"/>
      <c r="AB161" s="25"/>
      <c r="AI161" s="6"/>
    </row>
    <row r="162" spans="1:35" ht="15" customHeight="1">
      <c r="A162" s="139" t="s">
        <v>154</v>
      </c>
      <c r="B162" s="246" t="s">
        <v>241</v>
      </c>
      <c r="C162" s="246" t="s">
        <v>438</v>
      </c>
      <c r="D162" s="246" t="s">
        <v>0</v>
      </c>
      <c r="E162" s="246" t="s">
        <v>282</v>
      </c>
      <c r="F162" s="246" t="s">
        <v>445</v>
      </c>
      <c r="G162" s="246" t="s">
        <v>322</v>
      </c>
      <c r="H162" s="246" t="s">
        <v>364</v>
      </c>
      <c r="I162" s="246">
        <v>20</v>
      </c>
      <c r="J162" s="246"/>
      <c r="K162" s="246"/>
      <c r="L162" s="246"/>
      <c r="M162" s="246"/>
      <c r="N162" s="246"/>
      <c r="O162" s="307" t="s">
        <v>440</v>
      </c>
      <c r="P162" s="246" t="s">
        <v>438</v>
      </c>
      <c r="Q162" s="246" t="s">
        <v>384</v>
      </c>
      <c r="R162" s="286" t="s">
        <v>441</v>
      </c>
      <c r="S162" s="25">
        <v>43120</v>
      </c>
      <c r="T162" s="25">
        <v>43174</v>
      </c>
      <c r="U162" s="25">
        <v>43174</v>
      </c>
      <c r="W162" s="4">
        <v>43279</v>
      </c>
      <c r="X162" s="4">
        <v>43277</v>
      </c>
      <c r="Y162" s="3"/>
      <c r="Z162" s="4"/>
      <c r="AA162" s="54"/>
      <c r="AB162" s="25"/>
      <c r="AI162" s="6"/>
    </row>
    <row r="163" spans="1:35" ht="15" customHeight="1">
      <c r="A163" s="139" t="s">
        <v>155</v>
      </c>
      <c r="B163" s="246" t="s">
        <v>241</v>
      </c>
      <c r="C163" s="246" t="s">
        <v>438</v>
      </c>
      <c r="D163" s="246" t="s">
        <v>0</v>
      </c>
      <c r="E163" s="246" t="s">
        <v>282</v>
      </c>
      <c r="F163" s="246" t="s">
        <v>446</v>
      </c>
      <c r="G163" s="246" t="s">
        <v>229</v>
      </c>
      <c r="H163" s="246" t="s">
        <v>364</v>
      </c>
      <c r="I163" s="246">
        <v>20</v>
      </c>
      <c r="J163" s="246"/>
      <c r="K163" s="246"/>
      <c r="L163" s="246"/>
      <c r="M163" s="246"/>
      <c r="N163" s="246"/>
      <c r="O163" s="307" t="s">
        <v>440</v>
      </c>
      <c r="P163" s="246" t="s">
        <v>438</v>
      </c>
      <c r="Q163" s="246" t="s">
        <v>384</v>
      </c>
      <c r="R163" s="286" t="s">
        <v>441</v>
      </c>
      <c r="S163" s="25">
        <v>43120</v>
      </c>
      <c r="T163" s="25">
        <v>43174</v>
      </c>
      <c r="U163" s="25">
        <v>43174</v>
      </c>
      <c r="W163" s="4">
        <v>43279</v>
      </c>
      <c r="X163" s="4">
        <v>43277</v>
      </c>
      <c r="Y163" s="3"/>
      <c r="Z163" s="4"/>
      <c r="AA163" s="54"/>
      <c r="AB163" s="25"/>
      <c r="AI163" s="6"/>
    </row>
    <row r="164" spans="1:35" ht="15" customHeight="1">
      <c r="A164" s="139" t="s">
        <v>156</v>
      </c>
      <c r="B164" s="246" t="s">
        <v>241</v>
      </c>
      <c r="C164" s="246" t="s">
        <v>438</v>
      </c>
      <c r="D164" s="246" t="s">
        <v>0</v>
      </c>
      <c r="E164" s="246" t="s">
        <v>282</v>
      </c>
      <c r="F164" s="246" t="s">
        <v>447</v>
      </c>
      <c r="G164" s="246" t="s">
        <v>229</v>
      </c>
      <c r="H164" s="246" t="s">
        <v>364</v>
      </c>
      <c r="I164" s="246">
        <v>20</v>
      </c>
      <c r="J164" s="246"/>
      <c r="K164" s="246"/>
      <c r="L164" s="246"/>
      <c r="M164" s="246"/>
      <c r="N164" s="246"/>
      <c r="O164" s="307" t="s">
        <v>440</v>
      </c>
      <c r="P164" s="246" t="s">
        <v>438</v>
      </c>
      <c r="Q164" s="246" t="s">
        <v>384</v>
      </c>
      <c r="R164" s="286" t="s">
        <v>441</v>
      </c>
      <c r="S164" s="25">
        <v>43120</v>
      </c>
      <c r="T164" s="25">
        <v>43174</v>
      </c>
      <c r="U164" s="25">
        <v>43174</v>
      </c>
      <c r="W164" s="4">
        <v>43279</v>
      </c>
      <c r="X164" s="4">
        <v>43277</v>
      </c>
      <c r="Y164" s="3"/>
      <c r="Z164" s="4"/>
      <c r="AA164" s="54"/>
      <c r="AB164" s="25"/>
      <c r="AE164" s="4"/>
      <c r="AF164" s="4"/>
      <c r="AI164" s="6"/>
    </row>
    <row r="165" spans="1:35" ht="15" customHeight="1">
      <c r="A165" s="139" t="s">
        <v>157</v>
      </c>
      <c r="B165" s="246" t="s">
        <v>241</v>
      </c>
      <c r="C165" s="246" t="s">
        <v>442</v>
      </c>
      <c r="D165" s="246" t="s">
        <v>0</v>
      </c>
      <c r="E165" s="246" t="s">
        <v>282</v>
      </c>
      <c r="F165" s="246" t="s">
        <v>448</v>
      </c>
      <c r="G165" s="246" t="s">
        <v>217</v>
      </c>
      <c r="H165" s="246" t="s">
        <v>364</v>
      </c>
      <c r="I165" s="246">
        <v>20</v>
      </c>
      <c r="J165" s="246"/>
      <c r="K165" s="246"/>
      <c r="L165" s="246"/>
      <c r="M165" s="246"/>
      <c r="N165" s="246"/>
      <c r="O165" s="307" t="s">
        <v>449</v>
      </c>
      <c r="P165" s="246" t="s">
        <v>442</v>
      </c>
      <c r="Q165" s="246" t="s">
        <v>384</v>
      </c>
      <c r="R165" s="286" t="s">
        <v>441</v>
      </c>
      <c r="S165" s="25">
        <v>43120</v>
      </c>
      <c r="T165" s="25">
        <v>43174</v>
      </c>
      <c r="U165" s="4">
        <v>43174</v>
      </c>
      <c r="W165" s="4">
        <v>43279</v>
      </c>
      <c r="X165" s="288">
        <v>43373</v>
      </c>
      <c r="Y165" s="3"/>
      <c r="Z165" s="4" t="s">
        <v>1465</v>
      </c>
      <c r="AA165" s="54"/>
      <c r="AB165" s="25"/>
      <c r="AI165" s="6"/>
    </row>
    <row r="166" spans="1:35" ht="15" customHeight="1">
      <c r="A166" s="139" t="s">
        <v>158</v>
      </c>
      <c r="B166" s="246" t="s">
        <v>241</v>
      </c>
      <c r="C166" s="246" t="s">
        <v>442</v>
      </c>
      <c r="D166" s="246" t="s">
        <v>0</v>
      </c>
      <c r="E166" s="246" t="s">
        <v>282</v>
      </c>
      <c r="F166" s="246" t="s">
        <v>448</v>
      </c>
      <c r="G166" s="246" t="s">
        <v>218</v>
      </c>
      <c r="H166" s="246" t="s">
        <v>364</v>
      </c>
      <c r="I166" s="246">
        <v>20</v>
      </c>
      <c r="J166" s="246"/>
      <c r="K166" s="246"/>
      <c r="L166" s="246"/>
      <c r="M166" s="246"/>
      <c r="N166" s="246"/>
      <c r="O166" s="307" t="s">
        <v>449</v>
      </c>
      <c r="P166" s="246" t="s">
        <v>442</v>
      </c>
      <c r="Q166" s="246" t="s">
        <v>384</v>
      </c>
      <c r="R166" s="286" t="s">
        <v>441</v>
      </c>
      <c r="S166" s="25">
        <v>43120</v>
      </c>
      <c r="T166" s="25">
        <v>43174</v>
      </c>
      <c r="U166" s="4">
        <v>43174</v>
      </c>
      <c r="W166" s="4">
        <v>43279</v>
      </c>
      <c r="X166" s="288">
        <v>43373</v>
      </c>
      <c r="Y166" s="3"/>
      <c r="Z166" s="4" t="s">
        <v>1465</v>
      </c>
      <c r="AA166" s="54"/>
      <c r="AB166" s="25"/>
      <c r="AI166" s="6"/>
    </row>
    <row r="167" spans="1:35" ht="15" customHeight="1">
      <c r="A167" s="139" t="s">
        <v>159</v>
      </c>
      <c r="B167" s="246" t="s">
        <v>241</v>
      </c>
      <c r="C167" s="246" t="s">
        <v>442</v>
      </c>
      <c r="D167" s="246" t="s">
        <v>0</v>
      </c>
      <c r="E167" s="246" t="s">
        <v>282</v>
      </c>
      <c r="F167" s="246" t="s">
        <v>448</v>
      </c>
      <c r="G167" s="246" t="s">
        <v>219</v>
      </c>
      <c r="H167" s="246" t="s">
        <v>364</v>
      </c>
      <c r="I167" s="246">
        <v>20</v>
      </c>
      <c r="J167" s="246"/>
      <c r="K167" s="246"/>
      <c r="L167" s="246"/>
      <c r="M167" s="246"/>
      <c r="N167" s="246"/>
      <c r="O167" s="307" t="s">
        <v>449</v>
      </c>
      <c r="P167" s="246" t="s">
        <v>442</v>
      </c>
      <c r="Q167" s="246" t="s">
        <v>384</v>
      </c>
      <c r="R167" s="286" t="s">
        <v>441</v>
      </c>
      <c r="S167" s="25">
        <v>43120</v>
      </c>
      <c r="T167" s="25">
        <v>43174</v>
      </c>
      <c r="U167" s="4">
        <v>43174</v>
      </c>
      <c r="W167" s="4">
        <v>43279</v>
      </c>
      <c r="X167" s="288">
        <v>43373</v>
      </c>
      <c r="Y167" s="3"/>
      <c r="Z167" s="4" t="s">
        <v>1465</v>
      </c>
      <c r="AA167" s="54"/>
      <c r="AB167" s="25"/>
      <c r="AI167" s="6"/>
    </row>
    <row r="168" spans="1:35" ht="15" customHeight="1">
      <c r="A168" s="139" t="s">
        <v>160</v>
      </c>
      <c r="B168" s="246" t="s">
        <v>241</v>
      </c>
      <c r="C168" s="246" t="s">
        <v>442</v>
      </c>
      <c r="D168" s="246" t="s">
        <v>0</v>
      </c>
      <c r="E168" s="246" t="s">
        <v>282</v>
      </c>
      <c r="F168" s="246" t="s">
        <v>448</v>
      </c>
      <c r="G168" s="246" t="s">
        <v>220</v>
      </c>
      <c r="H168" s="246" t="s">
        <v>364</v>
      </c>
      <c r="I168" s="246">
        <v>20</v>
      </c>
      <c r="J168" s="246"/>
      <c r="K168" s="246"/>
      <c r="L168" s="246"/>
      <c r="M168" s="246"/>
      <c r="N168" s="246"/>
      <c r="O168" s="307" t="s">
        <v>449</v>
      </c>
      <c r="P168" s="246" t="s">
        <v>442</v>
      </c>
      <c r="Q168" s="246" t="s">
        <v>384</v>
      </c>
      <c r="R168" s="286" t="s">
        <v>441</v>
      </c>
      <c r="S168" s="25">
        <v>43120</v>
      </c>
      <c r="T168" s="25">
        <v>43174</v>
      </c>
      <c r="U168" s="4">
        <v>43174</v>
      </c>
      <c r="W168" s="4">
        <v>43279</v>
      </c>
      <c r="X168" s="288">
        <v>43373</v>
      </c>
      <c r="Y168" s="3"/>
      <c r="Z168" s="4" t="s">
        <v>1465</v>
      </c>
      <c r="AA168" s="54"/>
      <c r="AB168" s="25"/>
      <c r="AI168" s="6"/>
    </row>
    <row r="169" spans="1:35" ht="15" customHeight="1">
      <c r="A169" s="139" t="s">
        <v>161</v>
      </c>
      <c r="B169" s="246" t="s">
        <v>241</v>
      </c>
      <c r="C169" s="246" t="s">
        <v>442</v>
      </c>
      <c r="D169" s="246" t="s">
        <v>0</v>
      </c>
      <c r="E169" s="246" t="s">
        <v>282</v>
      </c>
      <c r="F169" s="246" t="s">
        <v>448</v>
      </c>
      <c r="G169" s="246" t="s">
        <v>221</v>
      </c>
      <c r="H169" s="246" t="s">
        <v>364</v>
      </c>
      <c r="I169" s="246">
        <v>20</v>
      </c>
      <c r="J169" s="246"/>
      <c r="K169" s="246"/>
      <c r="L169" s="246"/>
      <c r="M169" s="246"/>
      <c r="N169" s="246"/>
      <c r="O169" s="307" t="s">
        <v>449</v>
      </c>
      <c r="P169" s="246" t="s">
        <v>442</v>
      </c>
      <c r="Q169" s="246" t="s">
        <v>384</v>
      </c>
      <c r="R169" s="286" t="s">
        <v>441</v>
      </c>
      <c r="S169" s="25">
        <v>43120</v>
      </c>
      <c r="T169" s="25">
        <v>43174</v>
      </c>
      <c r="U169" s="4">
        <v>43174</v>
      </c>
      <c r="W169" s="4">
        <v>43279</v>
      </c>
      <c r="X169" s="288">
        <v>43373</v>
      </c>
      <c r="Y169" s="3"/>
      <c r="Z169" s="4" t="s">
        <v>1465</v>
      </c>
      <c r="AA169" s="54"/>
      <c r="AB169" s="25"/>
      <c r="AI169" s="6"/>
    </row>
    <row r="170" spans="1:35" ht="15" customHeight="1">
      <c r="A170" s="139" t="s">
        <v>162</v>
      </c>
      <c r="B170" s="246" t="s">
        <v>241</v>
      </c>
      <c r="C170" s="246" t="s">
        <v>442</v>
      </c>
      <c r="D170" s="246" t="s">
        <v>0</v>
      </c>
      <c r="E170" s="246" t="s">
        <v>282</v>
      </c>
      <c r="F170" s="246" t="s">
        <v>448</v>
      </c>
      <c r="G170" s="246" t="s">
        <v>222</v>
      </c>
      <c r="H170" s="246" t="s">
        <v>364</v>
      </c>
      <c r="I170" s="246">
        <v>20</v>
      </c>
      <c r="J170" s="246"/>
      <c r="K170" s="246"/>
      <c r="L170" s="246"/>
      <c r="M170" s="246"/>
      <c r="N170" s="246"/>
      <c r="O170" s="307" t="s">
        <v>449</v>
      </c>
      <c r="P170" s="246" t="s">
        <v>442</v>
      </c>
      <c r="Q170" s="246" t="s">
        <v>384</v>
      </c>
      <c r="R170" s="286" t="s">
        <v>441</v>
      </c>
      <c r="S170" s="25">
        <v>43120</v>
      </c>
      <c r="T170" s="25">
        <v>43174</v>
      </c>
      <c r="U170" s="4">
        <v>43174</v>
      </c>
      <c r="W170" s="4">
        <v>43279</v>
      </c>
      <c r="X170" s="288">
        <v>43373</v>
      </c>
      <c r="Y170" s="3"/>
      <c r="Z170" s="4" t="s">
        <v>1465</v>
      </c>
      <c r="AA170" s="54"/>
      <c r="AB170" s="25"/>
      <c r="AE170" s="4"/>
      <c r="AF170" s="4"/>
      <c r="AI170" s="6"/>
    </row>
    <row r="171" spans="1:35" ht="15" customHeight="1">
      <c r="A171" s="139" t="s">
        <v>163</v>
      </c>
      <c r="B171" s="246" t="s">
        <v>450</v>
      </c>
      <c r="C171" s="246" t="s">
        <v>451</v>
      </c>
      <c r="D171" s="246" t="s">
        <v>0</v>
      </c>
      <c r="E171" s="246" t="s">
        <v>282</v>
      </c>
      <c r="F171" s="246" t="s">
        <v>452</v>
      </c>
      <c r="G171" s="246" t="s">
        <v>229</v>
      </c>
      <c r="H171" s="246" t="s">
        <v>364</v>
      </c>
      <c r="I171" s="246">
        <v>12</v>
      </c>
      <c r="J171" s="246"/>
      <c r="K171" s="246"/>
      <c r="L171" s="246"/>
      <c r="M171" s="246"/>
      <c r="N171" s="246"/>
      <c r="O171" s="246" t="s">
        <v>453</v>
      </c>
      <c r="P171" s="246" t="s">
        <v>451</v>
      </c>
      <c r="Q171" s="246" t="s">
        <v>366</v>
      </c>
      <c r="R171" s="286" t="s">
        <v>378</v>
      </c>
      <c r="S171" s="25">
        <v>43115</v>
      </c>
      <c r="T171" s="25">
        <v>43115</v>
      </c>
      <c r="U171" s="25">
        <v>43115</v>
      </c>
      <c r="W171" s="25">
        <f>S171+I171*7</f>
        <v>43199</v>
      </c>
      <c r="X171" s="4">
        <v>43199</v>
      </c>
      <c r="Y171" s="3"/>
      <c r="Z171" s="4"/>
      <c r="AA171" s="54"/>
      <c r="AB171" s="25"/>
      <c r="AI171" s="6"/>
    </row>
    <row r="172" spans="1:35" ht="15" customHeight="1">
      <c r="A172" s="139" t="s">
        <v>164</v>
      </c>
      <c r="B172" s="246" t="s">
        <v>450</v>
      </c>
      <c r="C172" s="246" t="s">
        <v>451</v>
      </c>
      <c r="D172" s="246" t="s">
        <v>0</v>
      </c>
      <c r="E172" s="246" t="s">
        <v>282</v>
      </c>
      <c r="F172" s="246" t="s">
        <v>454</v>
      </c>
      <c r="G172" s="246" t="s">
        <v>229</v>
      </c>
      <c r="H172" s="246" t="s">
        <v>364</v>
      </c>
      <c r="I172" s="246">
        <v>12</v>
      </c>
      <c r="J172" s="246"/>
      <c r="K172" s="246"/>
      <c r="L172" s="246"/>
      <c r="M172" s="246"/>
      <c r="N172" s="246"/>
      <c r="O172" s="246" t="s">
        <v>453</v>
      </c>
      <c r="P172" s="246" t="s">
        <v>451</v>
      </c>
      <c r="Q172" s="246" t="s">
        <v>366</v>
      </c>
      <c r="R172" s="286" t="s">
        <v>378</v>
      </c>
      <c r="S172" s="25">
        <v>43115</v>
      </c>
      <c r="T172" s="25">
        <v>43115</v>
      </c>
      <c r="U172" s="25">
        <v>43115</v>
      </c>
      <c r="W172" s="25">
        <f>S172+I172*7</f>
        <v>43199</v>
      </c>
      <c r="X172" s="4">
        <v>43199</v>
      </c>
      <c r="Y172" s="3"/>
      <c r="Z172" s="4"/>
      <c r="AA172" s="54"/>
      <c r="AB172" s="25"/>
      <c r="AE172" s="4"/>
      <c r="AF172" s="4"/>
      <c r="AI172" s="6"/>
    </row>
    <row r="173" spans="1:35" ht="15" customHeight="1">
      <c r="A173" s="139" t="s">
        <v>165</v>
      </c>
      <c r="B173" s="246" t="s">
        <v>244</v>
      </c>
      <c r="C173" s="246" t="s">
        <v>455</v>
      </c>
      <c r="D173" s="246" t="s">
        <v>0</v>
      </c>
      <c r="E173" s="246" t="s">
        <v>282</v>
      </c>
      <c r="F173" s="246" t="s">
        <v>456</v>
      </c>
      <c r="G173" s="246" t="s">
        <v>217</v>
      </c>
      <c r="H173" s="246" t="s">
        <v>364</v>
      </c>
      <c r="I173" s="246">
        <v>16</v>
      </c>
      <c r="J173" s="246"/>
      <c r="K173" s="246"/>
      <c r="L173" s="246"/>
      <c r="M173" s="246"/>
      <c r="N173" s="246"/>
      <c r="O173" s="246" t="s">
        <v>457</v>
      </c>
      <c r="P173" s="246" t="s">
        <v>455</v>
      </c>
      <c r="Q173" s="246" t="s">
        <v>384</v>
      </c>
      <c r="R173" s="286" t="s">
        <v>391</v>
      </c>
      <c r="S173" s="25">
        <v>43139</v>
      </c>
      <c r="T173" s="25">
        <v>43139</v>
      </c>
      <c r="U173" s="25">
        <v>43139</v>
      </c>
      <c r="W173" s="4">
        <v>43266</v>
      </c>
      <c r="X173" s="4">
        <v>43266</v>
      </c>
      <c r="Y173" s="3"/>
      <c r="Z173" s="4"/>
      <c r="AA173" s="54"/>
      <c r="AB173" s="25"/>
      <c r="AI173" s="6"/>
    </row>
    <row r="174" spans="1:35" ht="24.75" customHeight="1">
      <c r="A174" s="139" t="s">
        <v>166</v>
      </c>
      <c r="B174" s="246" t="s">
        <v>244</v>
      </c>
      <c r="C174" s="246" t="s">
        <v>455</v>
      </c>
      <c r="D174" s="246" t="s">
        <v>0</v>
      </c>
      <c r="E174" s="246" t="s">
        <v>282</v>
      </c>
      <c r="F174" s="246" t="s">
        <v>456</v>
      </c>
      <c r="G174" s="246" t="s">
        <v>219</v>
      </c>
      <c r="H174" s="246" t="s">
        <v>364</v>
      </c>
      <c r="I174" s="246">
        <v>16</v>
      </c>
      <c r="J174" s="246"/>
      <c r="K174" s="246"/>
      <c r="L174" s="246"/>
      <c r="M174" s="246"/>
      <c r="N174" s="246"/>
      <c r="O174" s="246" t="s">
        <v>457</v>
      </c>
      <c r="P174" s="246" t="s">
        <v>455</v>
      </c>
      <c r="Q174" s="246" t="s">
        <v>384</v>
      </c>
      <c r="R174" s="286" t="s">
        <v>391</v>
      </c>
      <c r="S174" s="25">
        <v>43139</v>
      </c>
      <c r="T174" s="25">
        <v>43139</v>
      </c>
      <c r="U174" s="25">
        <v>43139</v>
      </c>
      <c r="W174" s="4">
        <v>43266</v>
      </c>
      <c r="X174" s="4">
        <v>43266</v>
      </c>
      <c r="Y174" s="3"/>
      <c r="Z174" s="4"/>
      <c r="AA174" s="54"/>
      <c r="AB174" s="25"/>
      <c r="AI174" s="6"/>
    </row>
    <row r="175" spans="1:35" ht="15" customHeight="1">
      <c r="A175" s="139" t="s">
        <v>167</v>
      </c>
      <c r="B175" s="246" t="s">
        <v>244</v>
      </c>
      <c r="C175" s="246" t="s">
        <v>455</v>
      </c>
      <c r="D175" s="246" t="s">
        <v>0</v>
      </c>
      <c r="E175" s="246" t="s">
        <v>282</v>
      </c>
      <c r="F175" s="246" t="s">
        <v>456</v>
      </c>
      <c r="G175" s="246" t="s">
        <v>220</v>
      </c>
      <c r="H175" s="246" t="s">
        <v>364</v>
      </c>
      <c r="I175" s="246">
        <v>16</v>
      </c>
      <c r="J175" s="246"/>
      <c r="K175" s="246"/>
      <c r="L175" s="246"/>
      <c r="M175" s="246"/>
      <c r="N175" s="246"/>
      <c r="O175" s="246" t="s">
        <v>457</v>
      </c>
      <c r="P175" s="246" t="s">
        <v>455</v>
      </c>
      <c r="Q175" s="246" t="s">
        <v>384</v>
      </c>
      <c r="R175" s="286" t="s">
        <v>391</v>
      </c>
      <c r="S175" s="25">
        <v>43139</v>
      </c>
      <c r="T175" s="25">
        <v>43139</v>
      </c>
      <c r="U175" s="25">
        <v>43139</v>
      </c>
      <c r="W175" s="4">
        <v>43266</v>
      </c>
      <c r="X175" s="4">
        <v>43266</v>
      </c>
      <c r="Y175" s="3"/>
      <c r="Z175" s="4"/>
      <c r="AA175" s="54"/>
      <c r="AB175" s="25"/>
      <c r="AI175" s="6"/>
    </row>
    <row r="176" spans="1:35" ht="15" customHeight="1">
      <c r="A176" s="139" t="s">
        <v>168</v>
      </c>
      <c r="B176" s="246" t="s">
        <v>244</v>
      </c>
      <c r="C176" s="246" t="s">
        <v>455</v>
      </c>
      <c r="D176" s="246" t="s">
        <v>0</v>
      </c>
      <c r="E176" s="246" t="s">
        <v>282</v>
      </c>
      <c r="F176" s="246" t="s">
        <v>456</v>
      </c>
      <c r="G176" s="246" t="s">
        <v>218</v>
      </c>
      <c r="H176" s="246" t="s">
        <v>364</v>
      </c>
      <c r="I176" s="246">
        <v>16</v>
      </c>
      <c r="J176" s="246"/>
      <c r="K176" s="246"/>
      <c r="L176" s="246"/>
      <c r="M176" s="246"/>
      <c r="N176" s="246"/>
      <c r="O176" s="246" t="s">
        <v>457</v>
      </c>
      <c r="P176" s="246" t="s">
        <v>455</v>
      </c>
      <c r="Q176" s="246" t="s">
        <v>384</v>
      </c>
      <c r="R176" s="286" t="s">
        <v>391</v>
      </c>
      <c r="S176" s="25">
        <v>43139</v>
      </c>
      <c r="T176" s="25">
        <v>43139</v>
      </c>
      <c r="U176" s="25">
        <v>43139</v>
      </c>
      <c r="W176" s="4">
        <v>43266</v>
      </c>
      <c r="X176" s="4">
        <v>43266</v>
      </c>
      <c r="Y176" s="3"/>
      <c r="Z176" s="4"/>
      <c r="AA176" s="54"/>
      <c r="AB176" s="25"/>
      <c r="AI176" s="6"/>
    </row>
    <row r="177" spans="1:35" ht="15" customHeight="1">
      <c r="A177" s="139" t="s">
        <v>783</v>
      </c>
      <c r="B177" s="246" t="s">
        <v>244</v>
      </c>
      <c r="C177" s="246" t="s">
        <v>455</v>
      </c>
      <c r="D177" s="246" t="s">
        <v>0</v>
      </c>
      <c r="E177" s="246" t="s">
        <v>282</v>
      </c>
      <c r="F177" s="246" t="s">
        <v>456</v>
      </c>
      <c r="G177" s="246" t="s">
        <v>222</v>
      </c>
      <c r="H177" s="246" t="s">
        <v>364</v>
      </c>
      <c r="I177" s="246">
        <v>16</v>
      </c>
      <c r="J177" s="246"/>
      <c r="K177" s="246"/>
      <c r="L177" s="246"/>
      <c r="M177" s="246"/>
      <c r="N177" s="246"/>
      <c r="O177" s="246" t="s">
        <v>457</v>
      </c>
      <c r="P177" s="246" t="s">
        <v>455</v>
      </c>
      <c r="Q177" s="246" t="s">
        <v>384</v>
      </c>
      <c r="R177" s="286" t="s">
        <v>391</v>
      </c>
      <c r="S177" s="25">
        <v>43139</v>
      </c>
      <c r="T177" s="25">
        <v>43139</v>
      </c>
      <c r="U177" s="25">
        <v>43139</v>
      </c>
      <c r="W177" s="4">
        <v>43266</v>
      </c>
      <c r="X177" s="4">
        <v>43266</v>
      </c>
      <c r="Y177" s="3"/>
      <c r="Z177" s="4"/>
      <c r="AA177" s="54"/>
      <c r="AB177" s="25"/>
      <c r="AI177" s="6"/>
    </row>
    <row r="178" spans="1:35" ht="15" customHeight="1">
      <c r="A178" s="139" t="s">
        <v>784</v>
      </c>
      <c r="B178" s="246" t="s">
        <v>458</v>
      </c>
      <c r="C178" s="246" t="s">
        <v>459</v>
      </c>
      <c r="D178" s="246" t="s">
        <v>0</v>
      </c>
      <c r="E178" s="246" t="s">
        <v>282</v>
      </c>
      <c r="F178" s="246" t="s">
        <v>460</v>
      </c>
      <c r="G178" s="246" t="s">
        <v>235</v>
      </c>
      <c r="H178" s="246" t="s">
        <v>364</v>
      </c>
      <c r="I178" s="246"/>
      <c r="J178" s="246"/>
      <c r="K178" s="246"/>
      <c r="L178" s="246"/>
      <c r="M178" s="246"/>
      <c r="N178" s="246"/>
      <c r="O178" s="246" t="s">
        <v>461</v>
      </c>
      <c r="P178" s="246" t="s">
        <v>459</v>
      </c>
      <c r="Q178" s="246" t="s">
        <v>420</v>
      </c>
      <c r="R178" s="286" t="s">
        <v>441</v>
      </c>
      <c r="S178" s="25">
        <v>43164</v>
      </c>
      <c r="T178" s="25">
        <v>43240</v>
      </c>
      <c r="V178" s="61" t="s">
        <v>1466</v>
      </c>
      <c r="W178" s="4">
        <v>43276</v>
      </c>
      <c r="X178" s="328">
        <v>43332</v>
      </c>
      <c r="Y178" s="3"/>
      <c r="Z178" s="4"/>
      <c r="AA178" s="54"/>
      <c r="AB178" s="25"/>
      <c r="AI178" s="6"/>
    </row>
    <row r="179" spans="1:35" ht="15" customHeight="1">
      <c r="A179" s="139" t="s">
        <v>785</v>
      </c>
      <c r="B179" s="246" t="s">
        <v>458</v>
      </c>
      <c r="C179" s="246" t="s">
        <v>459</v>
      </c>
      <c r="D179" s="246" t="s">
        <v>0</v>
      </c>
      <c r="E179" s="246" t="s">
        <v>282</v>
      </c>
      <c r="F179" s="246" t="s">
        <v>460</v>
      </c>
      <c r="G179" s="246" t="s">
        <v>462</v>
      </c>
      <c r="H179" s="246" t="s">
        <v>364</v>
      </c>
      <c r="I179" s="246"/>
      <c r="J179" s="246"/>
      <c r="K179" s="246"/>
      <c r="L179" s="246"/>
      <c r="M179" s="246"/>
      <c r="N179" s="246"/>
      <c r="O179" s="246" t="s">
        <v>461</v>
      </c>
      <c r="P179" s="246" t="s">
        <v>459</v>
      </c>
      <c r="Q179" s="246" t="s">
        <v>420</v>
      </c>
      <c r="R179" s="286" t="s">
        <v>441</v>
      </c>
      <c r="S179" s="25">
        <v>43164</v>
      </c>
      <c r="T179" s="25">
        <v>43240</v>
      </c>
      <c r="V179" s="61" t="s">
        <v>1466</v>
      </c>
      <c r="W179" s="4">
        <v>43276</v>
      </c>
      <c r="X179" s="328">
        <v>43332</v>
      </c>
      <c r="Y179" s="3"/>
      <c r="Z179" s="4"/>
      <c r="AA179" s="54"/>
      <c r="AB179" s="25"/>
      <c r="AI179" s="6"/>
    </row>
    <row r="180" spans="1:35" ht="15" customHeight="1">
      <c r="A180" s="139" t="s">
        <v>786</v>
      </c>
      <c r="B180" s="246" t="s">
        <v>458</v>
      </c>
      <c r="C180" s="246" t="s">
        <v>459</v>
      </c>
      <c r="D180" s="246" t="s">
        <v>0</v>
      </c>
      <c r="E180" s="246" t="s">
        <v>282</v>
      </c>
      <c r="F180" s="246" t="s">
        <v>460</v>
      </c>
      <c r="G180" s="246" t="s">
        <v>463</v>
      </c>
      <c r="H180" s="246" t="s">
        <v>364</v>
      </c>
      <c r="I180" s="246"/>
      <c r="J180" s="246"/>
      <c r="K180" s="246"/>
      <c r="L180" s="246"/>
      <c r="M180" s="246"/>
      <c r="N180" s="246"/>
      <c r="O180" s="246" t="s">
        <v>461</v>
      </c>
      <c r="P180" s="246" t="s">
        <v>459</v>
      </c>
      <c r="Q180" s="246" t="s">
        <v>420</v>
      </c>
      <c r="R180" s="286" t="s">
        <v>441</v>
      </c>
      <c r="S180" s="25">
        <v>43164</v>
      </c>
      <c r="T180" s="25">
        <v>43240</v>
      </c>
      <c r="V180" s="61" t="s">
        <v>1466</v>
      </c>
      <c r="W180" s="4">
        <v>43276</v>
      </c>
      <c r="X180" s="328">
        <v>43332</v>
      </c>
      <c r="Y180" s="3"/>
      <c r="Z180" s="3"/>
      <c r="AA180" s="54"/>
      <c r="AB180" s="25"/>
      <c r="AI180" s="6"/>
    </row>
    <row r="181" spans="1:35" ht="16.5" customHeight="1">
      <c r="A181" s="139" t="s">
        <v>787</v>
      </c>
      <c r="B181" s="246" t="s">
        <v>458</v>
      </c>
      <c r="C181" s="246" t="s">
        <v>459</v>
      </c>
      <c r="D181" s="246" t="s">
        <v>0</v>
      </c>
      <c r="E181" s="246" t="s">
        <v>282</v>
      </c>
      <c r="F181" s="246" t="s">
        <v>460</v>
      </c>
      <c r="G181" s="246" t="s">
        <v>464</v>
      </c>
      <c r="H181" s="246" t="s">
        <v>364</v>
      </c>
      <c r="I181" s="246"/>
      <c r="J181" s="246"/>
      <c r="K181" s="246"/>
      <c r="L181" s="246"/>
      <c r="M181" s="246"/>
      <c r="N181" s="246"/>
      <c r="O181" s="246" t="s">
        <v>461</v>
      </c>
      <c r="P181" s="246" t="s">
        <v>459</v>
      </c>
      <c r="Q181" s="246" t="s">
        <v>420</v>
      </c>
      <c r="R181" s="286" t="s">
        <v>441</v>
      </c>
      <c r="S181" s="25">
        <v>43164</v>
      </c>
      <c r="T181" s="25">
        <v>43240</v>
      </c>
      <c r="V181" s="61" t="s">
        <v>1466</v>
      </c>
      <c r="W181" s="4">
        <v>43276</v>
      </c>
      <c r="X181" s="328">
        <v>43332</v>
      </c>
      <c r="Y181" s="3"/>
      <c r="Z181" s="3"/>
      <c r="AA181" s="54"/>
      <c r="AB181" s="25"/>
      <c r="AI181" s="6"/>
    </row>
    <row r="182" spans="1:35" ht="15" customHeight="1">
      <c r="A182" s="139" t="s">
        <v>788</v>
      </c>
      <c r="B182" s="246" t="s">
        <v>465</v>
      </c>
      <c r="C182" s="246" t="s">
        <v>466</v>
      </c>
      <c r="D182" s="246" t="s">
        <v>0</v>
      </c>
      <c r="E182" s="246" t="s">
        <v>467</v>
      </c>
      <c r="F182" s="246" t="s">
        <v>468</v>
      </c>
      <c r="G182" s="246" t="s">
        <v>229</v>
      </c>
      <c r="H182" s="246" t="s">
        <v>364</v>
      </c>
      <c r="I182" s="246">
        <v>5</v>
      </c>
      <c r="J182" s="246"/>
      <c r="K182" s="246"/>
      <c r="L182" s="246"/>
      <c r="M182" s="246"/>
      <c r="N182" s="246"/>
      <c r="O182" s="246" t="s">
        <v>469</v>
      </c>
      <c r="P182" s="246" t="s">
        <v>470</v>
      </c>
      <c r="Q182" s="246" t="s">
        <v>373</v>
      </c>
      <c r="R182" s="287" t="s">
        <v>374</v>
      </c>
      <c r="S182" s="25">
        <v>43210</v>
      </c>
      <c r="T182" s="25">
        <v>43210</v>
      </c>
      <c r="W182" s="4">
        <v>43252</v>
      </c>
      <c r="X182" s="4">
        <v>43252</v>
      </c>
      <c r="Y182" s="3"/>
      <c r="Z182" s="4"/>
      <c r="AA182" s="54"/>
      <c r="AB182" s="25"/>
      <c r="AI182" s="6"/>
    </row>
    <row r="183" spans="1:35" ht="15" customHeight="1">
      <c r="A183" s="139" t="s">
        <v>789</v>
      </c>
      <c r="B183" s="246" t="s">
        <v>465</v>
      </c>
      <c r="C183" s="246" t="s">
        <v>466</v>
      </c>
      <c r="D183" s="246" t="s">
        <v>0</v>
      </c>
      <c r="E183" s="246" t="s">
        <v>471</v>
      </c>
      <c r="F183" s="246" t="s">
        <v>472</v>
      </c>
      <c r="G183" s="246" t="s">
        <v>473</v>
      </c>
      <c r="H183" s="246" t="s">
        <v>364</v>
      </c>
      <c r="I183" s="246">
        <v>5</v>
      </c>
      <c r="J183" s="246"/>
      <c r="K183" s="246"/>
      <c r="L183" s="246"/>
      <c r="M183" s="246"/>
      <c r="N183" s="246"/>
      <c r="O183" s="246" t="s">
        <v>474</v>
      </c>
      <c r="P183" s="246" t="s">
        <v>466</v>
      </c>
      <c r="Q183" s="246" t="s">
        <v>373</v>
      </c>
      <c r="R183" s="287" t="s">
        <v>374</v>
      </c>
      <c r="S183" s="25">
        <v>43210</v>
      </c>
      <c r="T183" s="25">
        <v>43210</v>
      </c>
      <c r="W183" s="4">
        <v>43252</v>
      </c>
      <c r="X183" s="4">
        <v>43252</v>
      </c>
      <c r="Y183" s="3"/>
      <c r="Z183" s="4"/>
      <c r="AA183" s="54"/>
      <c r="AB183" s="25"/>
      <c r="AI183" s="6"/>
    </row>
    <row r="184" spans="1:35" ht="15" customHeight="1">
      <c r="A184" s="139" t="s">
        <v>790</v>
      </c>
      <c r="B184" s="246" t="s">
        <v>465</v>
      </c>
      <c r="C184" s="246" t="s">
        <v>466</v>
      </c>
      <c r="D184" s="246" t="s">
        <v>0</v>
      </c>
      <c r="E184" s="246" t="s">
        <v>282</v>
      </c>
      <c r="F184" s="246" t="s">
        <v>475</v>
      </c>
      <c r="G184" s="246" t="s">
        <v>229</v>
      </c>
      <c r="H184" s="246" t="s">
        <v>364</v>
      </c>
      <c r="I184" s="246">
        <v>5</v>
      </c>
      <c r="J184" s="246"/>
      <c r="K184" s="246"/>
      <c r="L184" s="246"/>
      <c r="M184" s="246"/>
      <c r="N184" s="246"/>
      <c r="O184" s="246" t="s">
        <v>474</v>
      </c>
      <c r="P184" s="246" t="s">
        <v>466</v>
      </c>
      <c r="Q184" s="246" t="s">
        <v>373</v>
      </c>
      <c r="R184" s="287" t="s">
        <v>374</v>
      </c>
      <c r="S184" s="25">
        <v>43210</v>
      </c>
      <c r="T184" s="25">
        <v>43210</v>
      </c>
      <c r="W184" s="4">
        <v>43252</v>
      </c>
      <c r="X184" s="4">
        <v>43252</v>
      </c>
      <c r="Y184" s="3"/>
      <c r="Z184" s="4"/>
      <c r="AA184" s="54"/>
      <c r="AB184" s="25"/>
      <c r="AI184" s="6"/>
    </row>
    <row r="185" spans="1:35" ht="15" customHeight="1">
      <c r="A185" s="139" t="s">
        <v>791</v>
      </c>
      <c r="B185" s="35" t="s">
        <v>239</v>
      </c>
      <c r="C185" s="46" t="s">
        <v>476</v>
      </c>
      <c r="D185" s="246" t="s">
        <v>0</v>
      </c>
      <c r="E185" s="15" t="s">
        <v>412</v>
      </c>
      <c r="F185" s="15" t="s">
        <v>477</v>
      </c>
      <c r="G185" s="15" t="s">
        <v>229</v>
      </c>
      <c r="H185" s="246" t="s">
        <v>364</v>
      </c>
      <c r="I185" s="246">
        <v>7</v>
      </c>
      <c r="J185" s="65"/>
      <c r="K185" s="65"/>
      <c r="L185" s="65"/>
      <c r="M185" s="15"/>
      <c r="N185" s="15"/>
      <c r="O185" s="287" t="s">
        <v>478</v>
      </c>
      <c r="P185" s="46" t="s">
        <v>476</v>
      </c>
      <c r="Q185" s="246" t="s">
        <v>366</v>
      </c>
      <c r="R185" s="286" t="s">
        <v>479</v>
      </c>
      <c r="S185" s="4">
        <v>43090</v>
      </c>
      <c r="T185" s="4">
        <v>42840</v>
      </c>
      <c r="V185" s="61" t="s">
        <v>1458</v>
      </c>
      <c r="W185" s="25">
        <f>S185+I185*7</f>
        <v>43139</v>
      </c>
      <c r="X185" s="4">
        <v>43235</v>
      </c>
      <c r="Y185" s="3"/>
      <c r="Z185" s="309" t="s">
        <v>1207</v>
      </c>
      <c r="AA185" s="61"/>
      <c r="AB185" s="25"/>
      <c r="AC185" s="308"/>
      <c r="AI185" s="6"/>
    </row>
    <row r="186" spans="1:35" ht="15" customHeight="1">
      <c r="A186" s="139" t="s">
        <v>792</v>
      </c>
      <c r="B186" s="35" t="s">
        <v>239</v>
      </c>
      <c r="C186" s="46" t="s">
        <v>476</v>
      </c>
      <c r="D186" s="246" t="s">
        <v>0</v>
      </c>
      <c r="E186" s="246" t="s">
        <v>282</v>
      </c>
      <c r="F186" s="15" t="s">
        <v>480</v>
      </c>
      <c r="G186" s="15" t="s">
        <v>229</v>
      </c>
      <c r="H186" s="246" t="s">
        <v>364</v>
      </c>
      <c r="I186" s="246">
        <v>7</v>
      </c>
      <c r="J186" s="65"/>
      <c r="K186" s="65"/>
      <c r="L186" s="65"/>
      <c r="M186" s="15"/>
      <c r="N186" s="15"/>
      <c r="O186" s="287" t="s">
        <v>478</v>
      </c>
      <c r="P186" s="46" t="s">
        <v>476</v>
      </c>
      <c r="Q186" s="246" t="s">
        <v>366</v>
      </c>
      <c r="R186" s="286" t="s">
        <v>479</v>
      </c>
      <c r="S186" s="4">
        <v>43090</v>
      </c>
      <c r="T186" s="4">
        <v>42840</v>
      </c>
      <c r="V186" s="61" t="s">
        <v>1458</v>
      </c>
      <c r="W186" s="25">
        <f>S186+I186*7</f>
        <v>43139</v>
      </c>
      <c r="X186" s="4">
        <v>43235</v>
      </c>
      <c r="Y186" s="3"/>
      <c r="Z186" s="309" t="s">
        <v>1208</v>
      </c>
      <c r="AA186" s="61"/>
      <c r="AB186" s="25"/>
      <c r="AI186" s="6"/>
    </row>
    <row r="187" spans="1:35" ht="14.25" customHeight="1">
      <c r="A187" s="139" t="s">
        <v>793</v>
      </c>
      <c r="B187" s="35" t="s">
        <v>481</v>
      </c>
      <c r="C187" s="35" t="s">
        <v>482</v>
      </c>
      <c r="D187" s="246" t="s">
        <v>0</v>
      </c>
      <c r="E187" s="246" t="s">
        <v>282</v>
      </c>
      <c r="F187" s="86" t="s">
        <v>834</v>
      </c>
      <c r="G187" s="15" t="s">
        <v>322</v>
      </c>
      <c r="H187" s="246" t="s">
        <v>364</v>
      </c>
      <c r="I187" s="30"/>
      <c r="J187" s="65"/>
      <c r="K187" s="65"/>
      <c r="L187" s="65"/>
      <c r="M187" s="15"/>
      <c r="N187" s="15"/>
      <c r="O187" s="287" t="s">
        <v>483</v>
      </c>
      <c r="P187" s="35" t="s">
        <v>482</v>
      </c>
      <c r="Q187" s="246" t="s">
        <v>1206</v>
      </c>
      <c r="R187" s="287" t="s">
        <v>485</v>
      </c>
      <c r="S187" s="25">
        <v>43105</v>
      </c>
      <c r="T187" s="25">
        <v>43156</v>
      </c>
      <c r="V187" s="61" t="s">
        <v>1459</v>
      </c>
      <c r="W187" s="4">
        <v>43159</v>
      </c>
      <c r="X187" s="4">
        <v>43159</v>
      </c>
      <c r="Y187" s="3"/>
      <c r="Z187" s="309" t="s">
        <v>1213</v>
      </c>
      <c r="AA187" s="54"/>
      <c r="AB187" s="25"/>
      <c r="AC187" s="10"/>
    </row>
    <row r="188" spans="1:35" ht="15" customHeight="1">
      <c r="A188" s="139" t="s">
        <v>794</v>
      </c>
      <c r="B188" s="35" t="s">
        <v>481</v>
      </c>
      <c r="C188" s="35" t="s">
        <v>482</v>
      </c>
      <c r="D188" s="246" t="s">
        <v>0</v>
      </c>
      <c r="E188" s="246" t="s">
        <v>282</v>
      </c>
      <c r="F188" s="86" t="s">
        <v>834</v>
      </c>
      <c r="G188" s="15" t="s">
        <v>237</v>
      </c>
      <c r="H188" s="246" t="s">
        <v>364</v>
      </c>
      <c r="I188" s="30"/>
      <c r="J188" s="65"/>
      <c r="K188" s="65"/>
      <c r="L188" s="65"/>
      <c r="M188" s="15"/>
      <c r="N188" s="15"/>
      <c r="O188" s="287" t="s">
        <v>483</v>
      </c>
      <c r="P188" s="35" t="s">
        <v>482</v>
      </c>
      <c r="Q188" s="246" t="s">
        <v>1206</v>
      </c>
      <c r="R188" s="287" t="s">
        <v>485</v>
      </c>
      <c r="S188" s="25">
        <v>43105</v>
      </c>
      <c r="T188" s="25">
        <v>43156</v>
      </c>
      <c r="V188" s="61" t="s">
        <v>1459</v>
      </c>
      <c r="W188" s="4">
        <v>43159</v>
      </c>
      <c r="X188" s="4">
        <v>43159</v>
      </c>
      <c r="Y188" s="3"/>
      <c r="Z188" s="309" t="s">
        <v>1214</v>
      </c>
      <c r="AA188" s="54"/>
      <c r="AB188" s="25"/>
      <c r="AC188" s="10"/>
      <c r="AE188" s="4"/>
      <c r="AF188" s="4"/>
      <c r="AI188" s="6"/>
    </row>
    <row r="189" spans="1:35" ht="15" customHeight="1">
      <c r="A189" s="139" t="s">
        <v>795</v>
      </c>
      <c r="B189" s="35"/>
      <c r="C189" s="35" t="s">
        <v>835</v>
      </c>
      <c r="D189" s="246" t="s">
        <v>0</v>
      </c>
      <c r="E189" s="35" t="s">
        <v>833</v>
      </c>
      <c r="F189" s="35" t="s">
        <v>836</v>
      </c>
      <c r="G189" s="35" t="s">
        <v>837</v>
      </c>
      <c r="H189" s="246" t="s">
        <v>364</v>
      </c>
      <c r="I189" s="35"/>
      <c r="J189" s="65"/>
      <c r="K189" s="65"/>
      <c r="L189" s="65"/>
      <c r="M189" s="15"/>
      <c r="N189" s="15"/>
      <c r="O189" s="289" t="s">
        <v>838</v>
      </c>
      <c r="P189" s="35" t="s">
        <v>835</v>
      </c>
      <c r="Q189" s="246" t="s">
        <v>373</v>
      </c>
      <c r="R189" s="35"/>
      <c r="S189" s="25">
        <v>43296</v>
      </c>
      <c r="T189" s="25">
        <v>43296</v>
      </c>
      <c r="W189" s="288">
        <v>43403</v>
      </c>
      <c r="X189" s="288">
        <v>43373</v>
      </c>
      <c r="Y189" s="3"/>
      <c r="Z189" s="3"/>
      <c r="AA189" s="54"/>
      <c r="AB189" s="25"/>
      <c r="AI189" s="6"/>
    </row>
    <row r="190" spans="1:35" ht="15" customHeight="1">
      <c r="A190" s="139" t="s">
        <v>796</v>
      </c>
      <c r="B190" s="35"/>
      <c r="C190" s="35" t="s">
        <v>839</v>
      </c>
      <c r="D190" s="246" t="s">
        <v>0</v>
      </c>
      <c r="E190" s="35" t="s">
        <v>833</v>
      </c>
      <c r="F190" s="35" t="s">
        <v>840</v>
      </c>
      <c r="G190" s="35" t="s">
        <v>841</v>
      </c>
      <c r="H190" s="246" t="s">
        <v>364</v>
      </c>
      <c r="I190" s="35"/>
      <c r="J190" s="65"/>
      <c r="K190" s="65"/>
      <c r="L190" s="65"/>
      <c r="M190" s="15"/>
      <c r="N190" s="15"/>
      <c r="O190" s="289" t="s">
        <v>842</v>
      </c>
      <c r="P190" s="35" t="s">
        <v>839</v>
      </c>
      <c r="Q190" s="246" t="s">
        <v>373</v>
      </c>
      <c r="R190" s="35"/>
      <c r="S190" s="25">
        <v>43296</v>
      </c>
      <c r="T190" s="25">
        <v>43296</v>
      </c>
      <c r="W190" s="288">
        <v>43403</v>
      </c>
      <c r="X190" s="288">
        <v>43373</v>
      </c>
      <c r="Y190" s="3"/>
      <c r="Z190" s="3"/>
      <c r="AA190" s="54"/>
      <c r="AB190" s="25"/>
      <c r="AI190" s="6"/>
    </row>
    <row r="191" spans="1:35" ht="15" customHeight="1">
      <c r="A191" s="139" t="s">
        <v>797</v>
      </c>
      <c r="B191" s="35"/>
      <c r="C191" s="35" t="s">
        <v>839</v>
      </c>
      <c r="D191" s="246" t="s">
        <v>0</v>
      </c>
      <c r="E191" s="35" t="s">
        <v>833</v>
      </c>
      <c r="F191" s="35" t="s">
        <v>843</v>
      </c>
      <c r="G191" s="35" t="s">
        <v>841</v>
      </c>
      <c r="H191" s="246" t="s">
        <v>364</v>
      </c>
      <c r="I191" s="35"/>
      <c r="J191" s="65"/>
      <c r="K191" s="65"/>
      <c r="L191" s="65"/>
      <c r="M191" s="15"/>
      <c r="N191" s="15"/>
      <c r="O191" s="289" t="s">
        <v>842</v>
      </c>
      <c r="P191" s="35" t="s">
        <v>839</v>
      </c>
      <c r="Q191" s="246" t="s">
        <v>373</v>
      </c>
      <c r="R191" s="35"/>
      <c r="S191" s="25">
        <v>43296</v>
      </c>
      <c r="T191" s="25">
        <v>43296</v>
      </c>
      <c r="W191" s="288">
        <v>43403</v>
      </c>
      <c r="X191" s="288">
        <v>43373</v>
      </c>
      <c r="Y191" s="3"/>
      <c r="Z191" s="3"/>
      <c r="AA191" s="54"/>
      <c r="AB191" s="25"/>
      <c r="AI191" s="6"/>
    </row>
    <row r="192" spans="1:35" ht="15" customHeight="1">
      <c r="A192" s="139" t="s">
        <v>798</v>
      </c>
      <c r="B192" s="35"/>
      <c r="C192" s="35" t="s">
        <v>839</v>
      </c>
      <c r="D192" s="246" t="s">
        <v>0</v>
      </c>
      <c r="E192" s="35" t="s">
        <v>833</v>
      </c>
      <c r="F192" s="35" t="s">
        <v>844</v>
      </c>
      <c r="G192" s="35" t="s">
        <v>845</v>
      </c>
      <c r="H192" s="246" t="s">
        <v>364</v>
      </c>
      <c r="I192" s="35"/>
      <c r="J192" s="65"/>
      <c r="K192" s="65"/>
      <c r="L192" s="65"/>
      <c r="M192" s="15"/>
      <c r="N192" s="15"/>
      <c r="O192" s="289" t="s">
        <v>842</v>
      </c>
      <c r="P192" s="35" t="s">
        <v>839</v>
      </c>
      <c r="Q192" s="246" t="s">
        <v>373</v>
      </c>
      <c r="R192" s="35"/>
      <c r="S192" s="25">
        <v>43296</v>
      </c>
      <c r="T192" s="25">
        <v>43296</v>
      </c>
      <c r="W192" s="288">
        <v>43403</v>
      </c>
      <c r="X192" s="288">
        <v>43373</v>
      </c>
      <c r="Y192" s="3"/>
      <c r="Z192" s="3"/>
      <c r="AA192" s="54"/>
      <c r="AB192" s="25"/>
      <c r="AI192" s="6"/>
    </row>
    <row r="193" spans="1:35" ht="15" customHeight="1">
      <c r="A193" s="139" t="s">
        <v>799</v>
      </c>
      <c r="B193" s="35"/>
      <c r="C193" s="35" t="s">
        <v>839</v>
      </c>
      <c r="D193" s="246" t="s">
        <v>0</v>
      </c>
      <c r="E193" s="35" t="s">
        <v>833</v>
      </c>
      <c r="F193" s="35" t="s">
        <v>846</v>
      </c>
      <c r="G193" s="35" t="s">
        <v>845</v>
      </c>
      <c r="H193" s="246" t="s">
        <v>364</v>
      </c>
      <c r="I193" s="35"/>
      <c r="J193" s="65"/>
      <c r="K193" s="65"/>
      <c r="L193" s="65"/>
      <c r="M193" s="15"/>
      <c r="N193" s="15"/>
      <c r="O193" s="289" t="s">
        <v>842</v>
      </c>
      <c r="P193" s="35" t="s">
        <v>839</v>
      </c>
      <c r="Q193" s="246" t="s">
        <v>373</v>
      </c>
      <c r="R193" s="35"/>
      <c r="S193" s="25">
        <v>43296</v>
      </c>
      <c r="T193" s="25">
        <v>43296</v>
      </c>
      <c r="W193" s="288">
        <v>43403</v>
      </c>
      <c r="X193" s="288">
        <v>43373</v>
      </c>
      <c r="Y193" s="3"/>
      <c r="Z193" s="3"/>
      <c r="AA193" s="54"/>
      <c r="AB193" s="25"/>
      <c r="AE193" s="4"/>
      <c r="AF193" s="4"/>
      <c r="AI193" s="6"/>
    </row>
    <row r="194" spans="1:35" ht="15" customHeight="1">
      <c r="A194" s="139" t="s">
        <v>800</v>
      </c>
      <c r="B194" s="35"/>
      <c r="C194" s="35" t="s">
        <v>847</v>
      </c>
      <c r="D194" s="246" t="s">
        <v>0</v>
      </c>
      <c r="E194" s="35" t="s">
        <v>833</v>
      </c>
      <c r="F194" s="35" t="s">
        <v>848</v>
      </c>
      <c r="G194" s="35" t="s">
        <v>464</v>
      </c>
      <c r="H194" s="246" t="s">
        <v>364</v>
      </c>
      <c r="I194" s="35"/>
      <c r="J194" s="65"/>
      <c r="K194" s="65"/>
      <c r="L194" s="65"/>
      <c r="M194" s="15"/>
      <c r="N194" s="15"/>
      <c r="O194" s="289" t="s">
        <v>842</v>
      </c>
      <c r="P194" s="35" t="s">
        <v>847</v>
      </c>
      <c r="Q194" s="246" t="s">
        <v>373</v>
      </c>
      <c r="R194" s="35"/>
      <c r="S194" s="25">
        <v>43296</v>
      </c>
      <c r="T194" s="25">
        <v>43296</v>
      </c>
      <c r="W194" s="288">
        <v>43403</v>
      </c>
      <c r="X194" s="288">
        <v>43373</v>
      </c>
      <c r="Y194" s="3"/>
      <c r="Z194" s="3"/>
      <c r="AA194" s="54"/>
      <c r="AB194" s="25"/>
      <c r="AE194" s="4"/>
      <c r="AF194" s="4"/>
      <c r="AI194" s="6"/>
    </row>
    <row r="195" spans="1:35" ht="15" customHeight="1">
      <c r="A195" s="139" t="s">
        <v>801</v>
      </c>
      <c r="B195" s="35"/>
      <c r="C195" s="35" t="s">
        <v>847</v>
      </c>
      <c r="D195" s="246" t="s">
        <v>0</v>
      </c>
      <c r="E195" s="35" t="s">
        <v>833</v>
      </c>
      <c r="F195" s="35" t="s">
        <v>849</v>
      </c>
      <c r="G195" s="35" t="s">
        <v>464</v>
      </c>
      <c r="H195" s="246" t="s">
        <v>364</v>
      </c>
      <c r="I195" s="35"/>
      <c r="J195" s="65"/>
      <c r="K195" s="65"/>
      <c r="L195" s="65"/>
      <c r="M195" s="15"/>
      <c r="N195" s="15"/>
      <c r="O195" s="289" t="s">
        <v>842</v>
      </c>
      <c r="P195" s="35" t="s">
        <v>847</v>
      </c>
      <c r="Q195" s="246" t="s">
        <v>373</v>
      </c>
      <c r="R195" s="35"/>
      <c r="S195" s="25">
        <v>43296</v>
      </c>
      <c r="T195" s="25">
        <v>43296</v>
      </c>
      <c r="W195" s="288">
        <v>43403</v>
      </c>
      <c r="X195" s="288">
        <v>43373</v>
      </c>
      <c r="Y195" s="3"/>
      <c r="Z195" s="3"/>
      <c r="AA195" s="54"/>
      <c r="AB195" s="25"/>
    </row>
    <row r="196" spans="1:35" ht="15" customHeight="1">
      <c r="A196" s="139" t="s">
        <v>802</v>
      </c>
      <c r="B196" s="35"/>
      <c r="C196" s="35" t="s">
        <v>850</v>
      </c>
      <c r="D196" s="246" t="s">
        <v>0</v>
      </c>
      <c r="E196" s="35" t="s">
        <v>833</v>
      </c>
      <c r="F196" s="35">
        <v>17682</v>
      </c>
      <c r="G196" s="35" t="s">
        <v>851</v>
      </c>
      <c r="H196" s="246" t="s">
        <v>364</v>
      </c>
      <c r="I196" s="35"/>
      <c r="J196" s="65"/>
      <c r="K196" s="65"/>
      <c r="L196" s="65"/>
      <c r="M196" s="15"/>
      <c r="N196" s="15"/>
      <c r="O196" s="289" t="s">
        <v>852</v>
      </c>
      <c r="P196" s="35" t="s">
        <v>850</v>
      </c>
      <c r="Q196" s="246" t="s">
        <v>484</v>
      </c>
      <c r="R196" s="35"/>
      <c r="S196" s="25">
        <v>43296</v>
      </c>
      <c r="T196" s="25">
        <v>43296</v>
      </c>
      <c r="W196" s="288">
        <v>43403</v>
      </c>
      <c r="X196" s="288">
        <v>43373</v>
      </c>
      <c r="Y196" s="3"/>
      <c r="Z196" s="3"/>
      <c r="AA196" s="54"/>
      <c r="AB196" s="25"/>
      <c r="AI196" s="6"/>
    </row>
    <row r="197" spans="1:35" ht="15" customHeight="1">
      <c r="A197" s="139" t="s">
        <v>803</v>
      </c>
      <c r="B197" s="35"/>
      <c r="C197" s="35" t="s">
        <v>850</v>
      </c>
      <c r="D197" s="246" t="s">
        <v>0</v>
      </c>
      <c r="E197" s="35" t="s">
        <v>833</v>
      </c>
      <c r="F197" s="35">
        <v>17682</v>
      </c>
      <c r="G197" s="35" t="s">
        <v>853</v>
      </c>
      <c r="H197" s="246" t="s">
        <v>364</v>
      </c>
      <c r="I197" s="35"/>
      <c r="J197" s="65"/>
      <c r="K197" s="65"/>
      <c r="L197" s="65"/>
      <c r="M197" s="15"/>
      <c r="N197" s="15"/>
      <c r="O197" s="289" t="s">
        <v>852</v>
      </c>
      <c r="P197" s="35" t="s">
        <v>850</v>
      </c>
      <c r="Q197" s="246" t="s">
        <v>484</v>
      </c>
      <c r="R197" s="35"/>
      <c r="S197" s="25">
        <v>43296</v>
      </c>
      <c r="T197" s="25">
        <v>43296</v>
      </c>
      <c r="W197" s="288">
        <v>43403</v>
      </c>
      <c r="X197" s="288">
        <v>43373</v>
      </c>
      <c r="Y197" s="3"/>
      <c r="Z197" s="3"/>
      <c r="AA197" s="54"/>
      <c r="AB197" s="25"/>
      <c r="AI197" s="6"/>
    </row>
    <row r="198" spans="1:35" ht="15" customHeight="1">
      <c r="A198" s="139" t="s">
        <v>804</v>
      </c>
      <c r="B198" s="35"/>
      <c r="C198" s="35" t="s">
        <v>850</v>
      </c>
      <c r="D198" s="246" t="s">
        <v>0</v>
      </c>
      <c r="E198" s="35" t="s">
        <v>833</v>
      </c>
      <c r="F198" s="35">
        <v>17682</v>
      </c>
      <c r="G198" s="35" t="s">
        <v>854</v>
      </c>
      <c r="H198" s="246" t="s">
        <v>364</v>
      </c>
      <c r="I198" s="35"/>
      <c r="J198" s="65"/>
      <c r="K198" s="65"/>
      <c r="L198" s="65"/>
      <c r="M198" s="15"/>
      <c r="N198" s="15"/>
      <c r="O198" s="289" t="s">
        <v>852</v>
      </c>
      <c r="P198" s="35" t="s">
        <v>850</v>
      </c>
      <c r="Q198" s="246" t="s">
        <v>484</v>
      </c>
      <c r="R198" s="35"/>
      <c r="S198" s="25">
        <v>43296</v>
      </c>
      <c r="T198" s="25">
        <v>43296</v>
      </c>
      <c r="W198" s="288">
        <v>43403</v>
      </c>
      <c r="X198" s="288">
        <v>43373</v>
      </c>
      <c r="Y198" s="3"/>
      <c r="Z198" s="3"/>
      <c r="AA198" s="54"/>
      <c r="AB198" s="25"/>
      <c r="AC198" s="17"/>
      <c r="AE198" s="4"/>
      <c r="AF198" s="4"/>
      <c r="AI198" s="6"/>
    </row>
    <row r="199" spans="1:35" ht="15" customHeight="1">
      <c r="A199" s="139" t="s">
        <v>805</v>
      </c>
      <c r="B199" s="35"/>
      <c r="C199" s="35" t="s">
        <v>850</v>
      </c>
      <c r="D199" s="246" t="s">
        <v>0</v>
      </c>
      <c r="E199" s="35" t="s">
        <v>833</v>
      </c>
      <c r="F199" s="35">
        <v>17682</v>
      </c>
      <c r="G199" s="35" t="s">
        <v>855</v>
      </c>
      <c r="H199" s="246" t="s">
        <v>364</v>
      </c>
      <c r="I199" s="35"/>
      <c r="J199" s="65"/>
      <c r="K199" s="65"/>
      <c r="L199" s="65"/>
      <c r="M199" s="15"/>
      <c r="N199" s="15"/>
      <c r="O199" s="289" t="s">
        <v>852</v>
      </c>
      <c r="P199" s="35" t="s">
        <v>850</v>
      </c>
      <c r="Q199" s="246" t="s">
        <v>484</v>
      </c>
      <c r="R199" s="35"/>
      <c r="S199" s="25">
        <v>43296</v>
      </c>
      <c r="T199" s="25">
        <v>43296</v>
      </c>
      <c r="U199" s="7"/>
      <c r="V199" s="62"/>
      <c r="W199" s="288">
        <v>43403</v>
      </c>
      <c r="X199" s="288">
        <v>43373</v>
      </c>
      <c r="Y199" s="3"/>
      <c r="Z199" s="3"/>
      <c r="AA199" s="54"/>
      <c r="AB199" s="25"/>
      <c r="AC199" s="10"/>
      <c r="AE199" s="4"/>
      <c r="AF199" s="4"/>
      <c r="AI199" s="6"/>
    </row>
    <row r="200" spans="1:35" ht="15" customHeight="1">
      <c r="A200" s="139" t="s">
        <v>806</v>
      </c>
      <c r="B200" s="35"/>
      <c r="C200" s="35" t="s">
        <v>850</v>
      </c>
      <c r="D200" s="246" t="s">
        <v>0</v>
      </c>
      <c r="E200" s="35" t="s">
        <v>833</v>
      </c>
      <c r="F200" s="35">
        <v>17683</v>
      </c>
      <c r="G200" s="35" t="s">
        <v>851</v>
      </c>
      <c r="H200" s="246" t="s">
        <v>364</v>
      </c>
      <c r="I200" s="35"/>
      <c r="J200" s="65"/>
      <c r="K200" s="65"/>
      <c r="L200" s="65"/>
      <c r="M200" s="15"/>
      <c r="N200" s="15"/>
      <c r="O200" s="289" t="s">
        <v>852</v>
      </c>
      <c r="P200" s="35" t="s">
        <v>850</v>
      </c>
      <c r="Q200" s="246" t="s">
        <v>484</v>
      </c>
      <c r="R200" s="35"/>
      <c r="S200" s="25">
        <v>43296</v>
      </c>
      <c r="T200" s="25">
        <v>43296</v>
      </c>
      <c r="W200" s="288">
        <v>43403</v>
      </c>
      <c r="X200" s="288">
        <v>43373</v>
      </c>
      <c r="Y200" s="3"/>
      <c r="Z200" s="3"/>
      <c r="AA200" s="54"/>
      <c r="AB200" s="25"/>
      <c r="AI200" s="6"/>
    </row>
    <row r="201" spans="1:35" ht="15" customHeight="1">
      <c r="A201" s="139" t="s">
        <v>807</v>
      </c>
      <c r="B201" s="35"/>
      <c r="C201" s="35" t="s">
        <v>850</v>
      </c>
      <c r="D201" s="246" t="s">
        <v>0</v>
      </c>
      <c r="E201" s="35" t="s">
        <v>833</v>
      </c>
      <c r="F201" s="35">
        <v>17683</v>
      </c>
      <c r="G201" s="35" t="s">
        <v>853</v>
      </c>
      <c r="H201" s="246" t="s">
        <v>364</v>
      </c>
      <c r="I201" s="35"/>
      <c r="J201" s="65"/>
      <c r="K201" s="65"/>
      <c r="L201" s="65"/>
      <c r="M201" s="15"/>
      <c r="N201" s="15"/>
      <c r="O201" s="289" t="s">
        <v>852</v>
      </c>
      <c r="P201" s="35" t="s">
        <v>850</v>
      </c>
      <c r="Q201" s="246" t="s">
        <v>484</v>
      </c>
      <c r="R201" s="35"/>
      <c r="S201" s="25">
        <v>43296</v>
      </c>
      <c r="T201" s="25">
        <v>43296</v>
      </c>
      <c r="U201" s="7"/>
      <c r="V201" s="247"/>
      <c r="W201" s="288">
        <v>43403</v>
      </c>
      <c r="X201" s="288">
        <v>43373</v>
      </c>
      <c r="Y201" s="3"/>
      <c r="Z201" s="3"/>
      <c r="AA201" s="54"/>
      <c r="AB201" s="25"/>
      <c r="AD201" s="10"/>
      <c r="AI201" s="6"/>
    </row>
    <row r="202" spans="1:35" ht="15" customHeight="1">
      <c r="A202" s="139" t="s">
        <v>808</v>
      </c>
      <c r="B202" s="35"/>
      <c r="C202" s="35" t="s">
        <v>850</v>
      </c>
      <c r="D202" s="246" t="s">
        <v>0</v>
      </c>
      <c r="E202" s="35" t="s">
        <v>833</v>
      </c>
      <c r="F202" s="35">
        <v>17683</v>
      </c>
      <c r="G202" s="35" t="s">
        <v>854</v>
      </c>
      <c r="H202" s="246" t="s">
        <v>364</v>
      </c>
      <c r="I202" s="35"/>
      <c r="J202" s="65"/>
      <c r="K202" s="65"/>
      <c r="L202" s="65"/>
      <c r="M202" s="15"/>
      <c r="N202" s="15"/>
      <c r="O202" s="289" t="s">
        <v>852</v>
      </c>
      <c r="P202" s="35" t="s">
        <v>850</v>
      </c>
      <c r="Q202" s="246" t="s">
        <v>484</v>
      </c>
      <c r="R202" s="35"/>
      <c r="S202" s="25">
        <v>43296</v>
      </c>
      <c r="T202" s="25">
        <v>43296</v>
      </c>
      <c r="W202" s="288">
        <v>43403</v>
      </c>
      <c r="X202" s="288">
        <v>43373</v>
      </c>
      <c r="Y202" s="3"/>
      <c r="Z202" s="3"/>
      <c r="AA202" s="54"/>
      <c r="AB202" s="25"/>
    </row>
    <row r="203" spans="1:35" ht="15" customHeight="1">
      <c r="A203" s="139" t="s">
        <v>809</v>
      </c>
      <c r="B203" s="35"/>
      <c r="C203" s="35" t="s">
        <v>850</v>
      </c>
      <c r="D203" s="246" t="s">
        <v>0</v>
      </c>
      <c r="E203" s="35" t="s">
        <v>833</v>
      </c>
      <c r="F203" s="35">
        <v>17683</v>
      </c>
      <c r="G203" s="35" t="s">
        <v>855</v>
      </c>
      <c r="H203" s="246" t="s">
        <v>364</v>
      </c>
      <c r="I203" s="35"/>
      <c r="J203" s="65"/>
      <c r="K203" s="65"/>
      <c r="L203" s="65"/>
      <c r="M203" s="15"/>
      <c r="N203" s="15"/>
      <c r="O203" s="289" t="s">
        <v>852</v>
      </c>
      <c r="P203" s="35" t="s">
        <v>850</v>
      </c>
      <c r="Q203" s="246" t="s">
        <v>484</v>
      </c>
      <c r="R203" s="35"/>
      <c r="S203" s="25">
        <v>43296</v>
      </c>
      <c r="T203" s="25">
        <v>43296</v>
      </c>
      <c r="W203" s="288">
        <v>43403</v>
      </c>
      <c r="X203" s="288">
        <v>43373</v>
      </c>
      <c r="Y203" s="3"/>
      <c r="Z203" s="3"/>
      <c r="AA203" s="54"/>
      <c r="AB203" s="25"/>
    </row>
    <row r="204" spans="1:35" ht="15" customHeight="1">
      <c r="A204" s="139" t="s">
        <v>810</v>
      </c>
      <c r="B204" s="35"/>
      <c r="C204" s="35" t="s">
        <v>856</v>
      </c>
      <c r="D204" s="246" t="s">
        <v>0</v>
      </c>
      <c r="E204" s="35" t="s">
        <v>857</v>
      </c>
      <c r="F204" s="35" t="s">
        <v>858</v>
      </c>
      <c r="G204" s="35" t="s">
        <v>219</v>
      </c>
      <c r="H204" s="246" t="s">
        <v>364</v>
      </c>
      <c r="I204" s="30">
        <v>16</v>
      </c>
      <c r="J204" s="65"/>
      <c r="K204" s="65"/>
      <c r="L204" s="65"/>
      <c r="M204" s="15"/>
      <c r="N204" s="15"/>
      <c r="O204" s="289" t="s">
        <v>859</v>
      </c>
      <c r="P204" s="35" t="s">
        <v>856</v>
      </c>
      <c r="Q204" s="246" t="s">
        <v>420</v>
      </c>
      <c r="R204" s="35" t="s">
        <v>860</v>
      </c>
      <c r="S204" s="25">
        <v>43296</v>
      </c>
      <c r="T204" s="25">
        <v>43296</v>
      </c>
      <c r="W204" s="288">
        <v>43403</v>
      </c>
      <c r="X204" s="301">
        <v>43403</v>
      </c>
      <c r="Y204" s="3"/>
      <c r="Z204" s="3"/>
      <c r="AA204" s="54"/>
      <c r="AB204" s="25"/>
      <c r="AE204" s="4"/>
      <c r="AF204" s="4"/>
      <c r="AI204" s="6"/>
    </row>
    <row r="205" spans="1:35" ht="15" customHeight="1">
      <c r="A205" s="139" t="s">
        <v>811</v>
      </c>
      <c r="B205" s="35"/>
      <c r="C205" s="35" t="s">
        <v>856</v>
      </c>
      <c r="D205" s="246" t="s">
        <v>0</v>
      </c>
      <c r="E205" s="35" t="s">
        <v>857</v>
      </c>
      <c r="F205" s="35" t="s">
        <v>861</v>
      </c>
      <c r="G205" s="35" t="s">
        <v>219</v>
      </c>
      <c r="H205" s="246" t="s">
        <v>364</v>
      </c>
      <c r="I205" s="30">
        <v>16</v>
      </c>
      <c r="J205" s="65"/>
      <c r="K205" s="65"/>
      <c r="L205" s="65"/>
      <c r="M205" s="15"/>
      <c r="N205" s="15"/>
      <c r="O205" s="289" t="s">
        <v>859</v>
      </c>
      <c r="P205" s="35" t="s">
        <v>856</v>
      </c>
      <c r="Q205" s="246" t="s">
        <v>420</v>
      </c>
      <c r="R205" s="35" t="s">
        <v>860</v>
      </c>
      <c r="S205" s="25">
        <v>43296</v>
      </c>
      <c r="T205" s="25">
        <v>43296</v>
      </c>
      <c r="W205" s="288">
        <v>43403</v>
      </c>
      <c r="X205" s="301">
        <v>43403</v>
      </c>
      <c r="Y205" s="3"/>
      <c r="Z205" s="3"/>
      <c r="AA205" s="54"/>
      <c r="AB205" s="25"/>
    </row>
    <row r="206" spans="1:35" ht="15" customHeight="1">
      <c r="A206" s="139" t="s">
        <v>812</v>
      </c>
      <c r="B206" s="35"/>
      <c r="C206" s="35" t="s">
        <v>856</v>
      </c>
      <c r="D206" s="246" t="s">
        <v>0</v>
      </c>
      <c r="E206" s="35" t="s">
        <v>857</v>
      </c>
      <c r="F206" s="35" t="s">
        <v>862</v>
      </c>
      <c r="G206" s="35" t="s">
        <v>219</v>
      </c>
      <c r="H206" s="246" t="s">
        <v>364</v>
      </c>
      <c r="I206" s="30">
        <v>16</v>
      </c>
      <c r="J206" s="65"/>
      <c r="K206" s="65"/>
      <c r="L206" s="65"/>
      <c r="M206" s="15"/>
      <c r="N206" s="15"/>
      <c r="O206" s="289" t="s">
        <v>859</v>
      </c>
      <c r="P206" s="35" t="s">
        <v>856</v>
      </c>
      <c r="Q206" s="246" t="s">
        <v>420</v>
      </c>
      <c r="R206" s="35" t="s">
        <v>860</v>
      </c>
      <c r="S206" s="25">
        <v>43296</v>
      </c>
      <c r="T206" s="25">
        <v>43296</v>
      </c>
      <c r="W206" s="288">
        <v>43403</v>
      </c>
      <c r="X206" s="301">
        <v>43403</v>
      </c>
      <c r="Y206" s="3"/>
      <c r="Z206" s="3"/>
      <c r="AA206" s="54"/>
      <c r="AB206" s="25"/>
      <c r="AI206" s="6"/>
    </row>
    <row r="207" spans="1:35" ht="15" customHeight="1">
      <c r="A207" s="139" t="s">
        <v>813</v>
      </c>
      <c r="B207" s="35"/>
      <c r="C207" s="35" t="s">
        <v>856</v>
      </c>
      <c r="D207" s="246" t="s">
        <v>0</v>
      </c>
      <c r="E207" s="35" t="s">
        <v>857</v>
      </c>
      <c r="F207" s="35" t="s">
        <v>863</v>
      </c>
      <c r="G207" s="35" t="s">
        <v>219</v>
      </c>
      <c r="H207" s="246" t="s">
        <v>364</v>
      </c>
      <c r="I207" s="30">
        <v>16</v>
      </c>
      <c r="J207" s="65"/>
      <c r="K207" s="65"/>
      <c r="L207" s="65"/>
      <c r="M207" s="15"/>
      <c r="N207" s="15"/>
      <c r="O207" s="289" t="s">
        <v>859</v>
      </c>
      <c r="P207" s="35" t="s">
        <v>856</v>
      </c>
      <c r="Q207" s="246" t="s">
        <v>420</v>
      </c>
      <c r="R207" s="35" t="s">
        <v>860</v>
      </c>
      <c r="S207" s="25">
        <v>43296</v>
      </c>
      <c r="T207" s="25">
        <v>43296</v>
      </c>
      <c r="W207" s="288">
        <v>43403</v>
      </c>
      <c r="X207" s="301">
        <v>43403</v>
      </c>
      <c r="Y207" s="3"/>
      <c r="Z207" s="3"/>
      <c r="AA207" s="54"/>
      <c r="AB207" s="25"/>
      <c r="AI207" s="6"/>
    </row>
    <row r="208" spans="1:35" ht="15" customHeight="1">
      <c r="A208" s="139" t="s">
        <v>814</v>
      </c>
      <c r="B208" s="35"/>
      <c r="C208" s="35" t="s">
        <v>856</v>
      </c>
      <c r="D208" s="246" t="s">
        <v>0</v>
      </c>
      <c r="E208" s="35" t="s">
        <v>864</v>
      </c>
      <c r="F208" s="35" t="s">
        <v>858</v>
      </c>
      <c r="G208" s="35" t="s">
        <v>865</v>
      </c>
      <c r="H208" s="246" t="s">
        <v>364</v>
      </c>
      <c r="I208" s="30">
        <v>16</v>
      </c>
      <c r="J208" s="65"/>
      <c r="K208" s="65"/>
      <c r="L208" s="65"/>
      <c r="M208" s="15"/>
      <c r="N208" s="15"/>
      <c r="O208" s="289" t="s">
        <v>859</v>
      </c>
      <c r="P208" s="35" t="s">
        <v>856</v>
      </c>
      <c r="Q208" s="246" t="s">
        <v>420</v>
      </c>
      <c r="R208" s="35" t="s">
        <v>860</v>
      </c>
      <c r="S208" s="25">
        <v>43296</v>
      </c>
      <c r="T208" s="25">
        <v>43296</v>
      </c>
      <c r="W208" s="288">
        <v>43403</v>
      </c>
      <c r="X208" s="301">
        <v>43403</v>
      </c>
      <c r="Y208" s="3"/>
      <c r="Z208" s="3"/>
      <c r="AA208" s="54"/>
      <c r="AB208" s="25"/>
      <c r="AI208" s="6"/>
    </row>
    <row r="209" spans="1:35" ht="15" customHeight="1">
      <c r="A209" s="139" t="s">
        <v>815</v>
      </c>
      <c r="B209" s="35"/>
      <c r="C209" s="35" t="s">
        <v>856</v>
      </c>
      <c r="D209" s="246" t="s">
        <v>0</v>
      </c>
      <c r="E209" s="35" t="s">
        <v>864</v>
      </c>
      <c r="F209" s="35" t="s">
        <v>861</v>
      </c>
      <c r="G209" s="35" t="s">
        <v>865</v>
      </c>
      <c r="H209" s="246" t="s">
        <v>364</v>
      </c>
      <c r="I209" s="30">
        <v>16</v>
      </c>
      <c r="J209" s="65"/>
      <c r="K209" s="65"/>
      <c r="L209" s="65"/>
      <c r="M209" s="15"/>
      <c r="N209" s="15"/>
      <c r="O209" s="289" t="s">
        <v>859</v>
      </c>
      <c r="P209" s="35" t="s">
        <v>856</v>
      </c>
      <c r="Q209" s="246" t="s">
        <v>420</v>
      </c>
      <c r="R209" s="35" t="s">
        <v>860</v>
      </c>
      <c r="S209" s="25">
        <v>43296</v>
      </c>
      <c r="T209" s="25">
        <v>43296</v>
      </c>
      <c r="W209" s="288">
        <v>43403</v>
      </c>
      <c r="X209" s="301">
        <v>43403</v>
      </c>
      <c r="Y209" s="3"/>
      <c r="Z209" s="3"/>
      <c r="AA209" s="54"/>
      <c r="AB209" s="25"/>
      <c r="AI209" s="6"/>
    </row>
    <row r="210" spans="1:35" ht="15" customHeight="1">
      <c r="A210" s="139" t="s">
        <v>816</v>
      </c>
      <c r="B210" s="35"/>
      <c r="C210" s="35" t="s">
        <v>856</v>
      </c>
      <c r="D210" s="246" t="s">
        <v>0</v>
      </c>
      <c r="E210" s="35" t="s">
        <v>864</v>
      </c>
      <c r="F210" s="35" t="s">
        <v>866</v>
      </c>
      <c r="G210" s="35" t="s">
        <v>865</v>
      </c>
      <c r="H210" s="246" t="s">
        <v>364</v>
      </c>
      <c r="I210" s="30">
        <v>16</v>
      </c>
      <c r="J210" s="65"/>
      <c r="K210" s="65"/>
      <c r="L210" s="65"/>
      <c r="M210" s="15"/>
      <c r="N210" s="15"/>
      <c r="O210" s="289" t="s">
        <v>859</v>
      </c>
      <c r="P210" s="35" t="s">
        <v>856</v>
      </c>
      <c r="Q210" s="246" t="s">
        <v>420</v>
      </c>
      <c r="R210" s="35" t="s">
        <v>860</v>
      </c>
      <c r="S210" s="25">
        <v>43296</v>
      </c>
      <c r="T210" s="25">
        <v>43296</v>
      </c>
      <c r="W210" s="288">
        <v>43403</v>
      </c>
      <c r="X210" s="301">
        <v>43403</v>
      </c>
      <c r="Y210" s="3"/>
      <c r="Z210" s="3"/>
      <c r="AA210" s="54"/>
      <c r="AB210" s="25"/>
    </row>
    <row r="211" spans="1:35" ht="15" customHeight="1">
      <c r="A211" s="139" t="s">
        <v>817</v>
      </c>
      <c r="B211" s="35"/>
      <c r="C211" s="35" t="s">
        <v>856</v>
      </c>
      <c r="D211" s="246" t="s">
        <v>0</v>
      </c>
      <c r="E211" s="35" t="s">
        <v>864</v>
      </c>
      <c r="F211" s="35" t="s">
        <v>867</v>
      </c>
      <c r="G211" s="35" t="s">
        <v>865</v>
      </c>
      <c r="H211" s="246" t="s">
        <v>364</v>
      </c>
      <c r="I211" s="30">
        <v>16</v>
      </c>
      <c r="J211" s="65"/>
      <c r="K211" s="65"/>
      <c r="L211" s="65"/>
      <c r="M211" s="15"/>
      <c r="N211" s="15"/>
      <c r="O211" s="289" t="s">
        <v>859</v>
      </c>
      <c r="P211" s="35" t="s">
        <v>856</v>
      </c>
      <c r="Q211" s="246" t="s">
        <v>420</v>
      </c>
      <c r="R211" s="35" t="s">
        <v>860</v>
      </c>
      <c r="S211" s="25">
        <v>43296</v>
      </c>
      <c r="T211" s="25">
        <v>43296</v>
      </c>
      <c r="W211" s="288">
        <v>43403</v>
      </c>
      <c r="X211" s="301">
        <v>43403</v>
      </c>
      <c r="Y211" s="3"/>
      <c r="Z211" s="3"/>
      <c r="AA211" s="54"/>
      <c r="AB211" s="25"/>
    </row>
    <row r="212" spans="1:35" ht="15" customHeight="1">
      <c r="A212" s="139" t="s">
        <v>818</v>
      </c>
      <c r="B212" s="35"/>
      <c r="C212" s="35" t="s">
        <v>868</v>
      </c>
      <c r="D212" s="246" t="s">
        <v>0</v>
      </c>
      <c r="E212" s="35" t="s">
        <v>833</v>
      </c>
      <c r="F212" s="35" t="s">
        <v>869</v>
      </c>
      <c r="G212" s="35" t="s">
        <v>235</v>
      </c>
      <c r="H212" s="246" t="s">
        <v>364</v>
      </c>
      <c r="I212" s="30">
        <v>16</v>
      </c>
      <c r="J212" s="65"/>
      <c r="K212" s="65"/>
      <c r="L212" s="65"/>
      <c r="M212" s="15"/>
      <c r="N212" s="15"/>
      <c r="O212" s="289" t="s">
        <v>870</v>
      </c>
      <c r="P212" s="35" t="s">
        <v>868</v>
      </c>
      <c r="Q212" s="246" t="s">
        <v>420</v>
      </c>
      <c r="R212" s="35" t="s">
        <v>871</v>
      </c>
      <c r="S212" s="25">
        <v>43296</v>
      </c>
      <c r="T212" s="25">
        <v>43296</v>
      </c>
      <c r="W212" s="288">
        <v>43403</v>
      </c>
      <c r="X212" s="288">
        <v>43373</v>
      </c>
      <c r="Y212" s="3"/>
      <c r="Z212" s="4"/>
      <c r="AA212" s="54"/>
      <c r="AB212" s="25"/>
      <c r="AI212" s="6"/>
    </row>
    <row r="213" spans="1:35" ht="15" customHeight="1">
      <c r="A213" s="139" t="s">
        <v>819</v>
      </c>
      <c r="B213" s="35"/>
      <c r="C213" s="35" t="s">
        <v>486</v>
      </c>
      <c r="D213" s="246" t="s">
        <v>0</v>
      </c>
      <c r="E213" s="15" t="s">
        <v>282</v>
      </c>
      <c r="F213" s="15" t="s">
        <v>487</v>
      </c>
      <c r="G213" s="15" t="s">
        <v>322</v>
      </c>
      <c r="H213" s="246" t="s">
        <v>364</v>
      </c>
      <c r="I213" s="30"/>
      <c r="J213" s="65"/>
      <c r="K213" s="65"/>
      <c r="L213" s="65"/>
      <c r="M213" s="15"/>
      <c r="N213" s="15"/>
      <c r="O213" s="35" t="s">
        <v>872</v>
      </c>
      <c r="P213" s="35" t="s">
        <v>486</v>
      </c>
      <c r="Q213" s="246" t="s">
        <v>484</v>
      </c>
      <c r="R213" s="287" t="s">
        <v>485</v>
      </c>
      <c r="S213" s="25">
        <v>43185</v>
      </c>
      <c r="T213" s="25">
        <v>43185</v>
      </c>
      <c r="W213" s="4">
        <v>43278</v>
      </c>
      <c r="X213" s="4">
        <v>43277</v>
      </c>
      <c r="Y213" s="3"/>
      <c r="Z213" s="4"/>
      <c r="AA213" s="54"/>
      <c r="AB213" s="25"/>
    </row>
    <row r="214" spans="1:35" ht="15" customHeight="1">
      <c r="A214" s="139" t="s">
        <v>820</v>
      </c>
      <c r="B214" s="35"/>
      <c r="C214" s="35" t="s">
        <v>488</v>
      </c>
      <c r="D214" s="246" t="s">
        <v>0</v>
      </c>
      <c r="E214" s="246" t="s">
        <v>282</v>
      </c>
      <c r="F214" s="15" t="s">
        <v>489</v>
      </c>
      <c r="G214" s="15" t="s">
        <v>229</v>
      </c>
      <c r="H214" s="246" t="s">
        <v>364</v>
      </c>
      <c r="I214" s="30">
        <v>16</v>
      </c>
      <c r="J214" s="65"/>
      <c r="K214" s="65"/>
      <c r="L214" s="65"/>
      <c r="M214" s="15"/>
      <c r="N214" s="15"/>
      <c r="O214" s="287" t="s">
        <v>490</v>
      </c>
      <c r="P214" s="35" t="s">
        <v>1194</v>
      </c>
      <c r="Q214" s="246" t="s">
        <v>491</v>
      </c>
      <c r="R214" s="35"/>
      <c r="S214" s="25">
        <v>43178</v>
      </c>
      <c r="T214" s="25">
        <v>43178</v>
      </c>
      <c r="W214" s="25">
        <f t="shared" ref="W214:W221" si="4">S214+I214*7</f>
        <v>43290</v>
      </c>
      <c r="X214" s="4">
        <v>43277</v>
      </c>
      <c r="Y214" s="3"/>
      <c r="Z214" s="4"/>
      <c r="AA214" s="54"/>
      <c r="AB214" s="25"/>
    </row>
    <row r="215" spans="1:35" ht="15" customHeight="1">
      <c r="A215" s="139" t="s">
        <v>821</v>
      </c>
      <c r="B215" s="35"/>
      <c r="C215" s="35" t="s">
        <v>488</v>
      </c>
      <c r="D215" s="246" t="s">
        <v>0</v>
      </c>
      <c r="E215" s="246" t="s">
        <v>282</v>
      </c>
      <c r="F215" s="15" t="s">
        <v>492</v>
      </c>
      <c r="G215" s="15" t="s">
        <v>229</v>
      </c>
      <c r="H215" s="246" t="s">
        <v>364</v>
      </c>
      <c r="I215" s="30">
        <v>16</v>
      </c>
      <c r="J215" s="65"/>
      <c r="K215" s="65"/>
      <c r="L215" s="65"/>
      <c r="M215" s="15"/>
      <c r="N215" s="15"/>
      <c r="O215" s="287" t="s">
        <v>490</v>
      </c>
      <c r="P215" s="35" t="s">
        <v>488</v>
      </c>
      <c r="Q215" s="246" t="s">
        <v>491</v>
      </c>
      <c r="R215" s="35"/>
      <c r="S215" s="25">
        <v>43178</v>
      </c>
      <c r="T215" s="25">
        <v>43178</v>
      </c>
      <c r="W215" s="25">
        <f t="shared" si="4"/>
        <v>43290</v>
      </c>
      <c r="X215" s="4">
        <v>43277</v>
      </c>
      <c r="Y215" s="3"/>
      <c r="Z215" s="4"/>
      <c r="AA215" s="54"/>
      <c r="AB215" s="25"/>
    </row>
    <row r="216" spans="1:35" ht="15" customHeight="1">
      <c r="A216" s="139" t="s">
        <v>822</v>
      </c>
      <c r="B216" s="35"/>
      <c r="C216" s="35" t="s">
        <v>488</v>
      </c>
      <c r="D216" s="246" t="s">
        <v>0</v>
      </c>
      <c r="E216" s="246" t="s">
        <v>282</v>
      </c>
      <c r="F216" s="15" t="s">
        <v>493</v>
      </c>
      <c r="G216" s="15" t="s">
        <v>229</v>
      </c>
      <c r="H216" s="246" t="s">
        <v>364</v>
      </c>
      <c r="I216" s="30">
        <v>16</v>
      </c>
      <c r="J216" s="65"/>
      <c r="K216" s="65"/>
      <c r="L216" s="65"/>
      <c r="M216" s="15"/>
      <c r="N216" s="15"/>
      <c r="O216" s="287" t="s">
        <v>490</v>
      </c>
      <c r="P216" s="35" t="s">
        <v>488</v>
      </c>
      <c r="Q216" s="246" t="s">
        <v>491</v>
      </c>
      <c r="R216" s="35"/>
      <c r="S216" s="25">
        <v>43178</v>
      </c>
      <c r="T216" s="25">
        <v>43178</v>
      </c>
      <c r="U216" s="7"/>
      <c r="V216" s="249"/>
      <c r="W216" s="25">
        <f t="shared" si="4"/>
        <v>43290</v>
      </c>
      <c r="X216" s="4">
        <v>43277</v>
      </c>
      <c r="Y216" s="3"/>
      <c r="Z216" s="4"/>
      <c r="AA216" s="54"/>
      <c r="AB216" s="25"/>
      <c r="AE216" s="4"/>
      <c r="AF216" s="4"/>
      <c r="AG216" s="4"/>
    </row>
    <row r="217" spans="1:35" ht="15" customHeight="1">
      <c r="A217" s="139" t="s">
        <v>974</v>
      </c>
      <c r="B217" s="35"/>
      <c r="C217" s="35" t="s">
        <v>488</v>
      </c>
      <c r="D217" s="246" t="s">
        <v>0</v>
      </c>
      <c r="E217" s="246" t="s">
        <v>282</v>
      </c>
      <c r="F217" s="15" t="s">
        <v>494</v>
      </c>
      <c r="G217" s="15" t="s">
        <v>229</v>
      </c>
      <c r="H217" s="246" t="s">
        <v>364</v>
      </c>
      <c r="I217" s="30">
        <v>16</v>
      </c>
      <c r="J217" s="65"/>
      <c r="K217" s="65"/>
      <c r="L217" s="65"/>
      <c r="M217" s="15"/>
      <c r="N217" s="15"/>
      <c r="O217" s="287" t="s">
        <v>490</v>
      </c>
      <c r="P217" s="35" t="s">
        <v>488</v>
      </c>
      <c r="Q217" s="246" t="s">
        <v>491</v>
      </c>
      <c r="R217" s="35"/>
      <c r="S217" s="25">
        <v>43178</v>
      </c>
      <c r="T217" s="25">
        <v>43178</v>
      </c>
      <c r="U217" s="7"/>
      <c r="V217" s="249"/>
      <c r="W217" s="25">
        <f t="shared" si="4"/>
        <v>43290</v>
      </c>
      <c r="X217" s="4">
        <v>43277</v>
      </c>
      <c r="Y217" s="3"/>
      <c r="Z217" s="4"/>
      <c r="AA217" s="54"/>
      <c r="AB217" s="25"/>
      <c r="AE217" s="4"/>
      <c r="AF217" s="4"/>
      <c r="AG217" s="4"/>
    </row>
    <row r="218" spans="1:35" ht="15" customHeight="1">
      <c r="A218" s="139" t="s">
        <v>975</v>
      </c>
      <c r="B218" s="35"/>
      <c r="C218" s="35" t="s">
        <v>488</v>
      </c>
      <c r="D218" s="246" t="s">
        <v>0</v>
      </c>
      <c r="E218" s="246" t="s">
        <v>282</v>
      </c>
      <c r="F218" s="15" t="s">
        <v>495</v>
      </c>
      <c r="G218" s="15" t="s">
        <v>229</v>
      </c>
      <c r="H218" s="246" t="s">
        <v>364</v>
      </c>
      <c r="I218" s="30">
        <v>16</v>
      </c>
      <c r="J218" s="65"/>
      <c r="K218" s="65"/>
      <c r="L218" s="65"/>
      <c r="M218" s="15"/>
      <c r="N218" s="15"/>
      <c r="O218" s="287" t="s">
        <v>490</v>
      </c>
      <c r="P218" s="35" t="s">
        <v>488</v>
      </c>
      <c r="Q218" s="246" t="s">
        <v>491</v>
      </c>
      <c r="R218" s="35"/>
      <c r="S218" s="25">
        <v>43178</v>
      </c>
      <c r="T218" s="25">
        <v>43178</v>
      </c>
      <c r="W218" s="25">
        <f t="shared" si="4"/>
        <v>43290</v>
      </c>
      <c r="X218" s="4">
        <v>43277</v>
      </c>
      <c r="Y218" s="3"/>
      <c r="Z218" s="4"/>
      <c r="AA218" s="54"/>
      <c r="AB218" s="25"/>
    </row>
    <row r="219" spans="1:35" ht="15" customHeight="1">
      <c r="A219" s="139" t="s">
        <v>976</v>
      </c>
      <c r="B219" s="35"/>
      <c r="C219" s="35" t="s">
        <v>488</v>
      </c>
      <c r="D219" s="246" t="s">
        <v>0</v>
      </c>
      <c r="E219" s="246" t="s">
        <v>282</v>
      </c>
      <c r="F219" s="15" t="s">
        <v>496</v>
      </c>
      <c r="G219" s="15" t="s">
        <v>229</v>
      </c>
      <c r="H219" s="246" t="s">
        <v>364</v>
      </c>
      <c r="I219" s="30">
        <v>16</v>
      </c>
      <c r="J219" s="65"/>
      <c r="K219" s="65"/>
      <c r="L219" s="65"/>
      <c r="M219" s="15"/>
      <c r="N219" s="15"/>
      <c r="O219" s="287" t="s">
        <v>490</v>
      </c>
      <c r="P219" s="35" t="s">
        <v>488</v>
      </c>
      <c r="Q219" s="246" t="s">
        <v>491</v>
      </c>
      <c r="R219" s="35"/>
      <c r="S219" s="25">
        <v>43178</v>
      </c>
      <c r="T219" s="25">
        <v>43178</v>
      </c>
      <c r="W219" s="25">
        <f t="shared" si="4"/>
        <v>43290</v>
      </c>
      <c r="X219" s="4">
        <v>43277</v>
      </c>
      <c r="Y219" s="3"/>
      <c r="Z219" s="3"/>
      <c r="AA219" s="54"/>
      <c r="AB219" s="25"/>
      <c r="AI219" s="6"/>
    </row>
    <row r="220" spans="1:35" ht="15" customHeight="1">
      <c r="A220" s="139" t="s">
        <v>977</v>
      </c>
      <c r="B220" s="35"/>
      <c r="C220" s="35" t="s">
        <v>488</v>
      </c>
      <c r="D220" s="246" t="s">
        <v>0</v>
      </c>
      <c r="E220" s="246" t="s">
        <v>282</v>
      </c>
      <c r="F220" s="15" t="s">
        <v>497</v>
      </c>
      <c r="G220" s="15" t="s">
        <v>229</v>
      </c>
      <c r="H220" s="246" t="s">
        <v>364</v>
      </c>
      <c r="I220" s="30">
        <v>16</v>
      </c>
      <c r="J220" s="65"/>
      <c r="K220" s="65"/>
      <c r="L220" s="65"/>
      <c r="M220" s="15"/>
      <c r="N220" s="15"/>
      <c r="O220" s="287" t="s">
        <v>490</v>
      </c>
      <c r="P220" s="35" t="s">
        <v>488</v>
      </c>
      <c r="Q220" s="246" t="s">
        <v>491</v>
      </c>
      <c r="R220" s="35"/>
      <c r="S220" s="25">
        <v>43178</v>
      </c>
      <c r="T220" s="25">
        <v>43178</v>
      </c>
      <c r="W220" s="25">
        <f t="shared" si="4"/>
        <v>43290</v>
      </c>
      <c r="X220" s="4">
        <v>43277</v>
      </c>
      <c r="Y220" s="3"/>
      <c r="Z220" s="3"/>
      <c r="AA220" s="54"/>
      <c r="AB220" s="25"/>
      <c r="AI220" s="6"/>
    </row>
    <row r="221" spans="1:35" ht="15" customHeight="1">
      <c r="A221" s="139" t="s">
        <v>978</v>
      </c>
      <c r="B221" s="35"/>
      <c r="C221" s="35" t="s">
        <v>488</v>
      </c>
      <c r="D221" s="246" t="s">
        <v>0</v>
      </c>
      <c r="E221" s="246" t="s">
        <v>282</v>
      </c>
      <c r="F221" s="15" t="s">
        <v>497</v>
      </c>
      <c r="G221" s="15" t="s">
        <v>229</v>
      </c>
      <c r="H221" s="246" t="s">
        <v>364</v>
      </c>
      <c r="I221" s="30">
        <v>16</v>
      </c>
      <c r="J221" s="65"/>
      <c r="K221" s="65"/>
      <c r="L221" s="65"/>
      <c r="M221" s="15"/>
      <c r="N221" s="15"/>
      <c r="O221" s="287" t="s">
        <v>490</v>
      </c>
      <c r="P221" s="35" t="s">
        <v>488</v>
      </c>
      <c r="Q221" s="246" t="s">
        <v>491</v>
      </c>
      <c r="R221" s="35"/>
      <c r="S221" s="25">
        <v>43178</v>
      </c>
      <c r="T221" s="25">
        <v>43178</v>
      </c>
      <c r="W221" s="25">
        <f t="shared" si="4"/>
        <v>43290</v>
      </c>
      <c r="X221" s="4">
        <v>43277</v>
      </c>
      <c r="Y221" s="3"/>
      <c r="Z221" s="3"/>
      <c r="AA221" s="54"/>
      <c r="AB221" s="25"/>
      <c r="AI221" s="6"/>
    </row>
    <row r="222" spans="1:35" ht="18" customHeight="1">
      <c r="A222" s="139" t="s">
        <v>979</v>
      </c>
      <c r="B222" s="21" t="s">
        <v>64</v>
      </c>
      <c r="C222" s="46" t="s">
        <v>577</v>
      </c>
      <c r="D222" s="21" t="s">
        <v>876</v>
      </c>
      <c r="E222" s="298" t="s">
        <v>602</v>
      </c>
      <c r="F222" s="298" t="s">
        <v>877</v>
      </c>
      <c r="G222" s="298" t="s">
        <v>878</v>
      </c>
      <c r="H222" s="19" t="s">
        <v>58</v>
      </c>
      <c r="I222" s="209">
        <v>12</v>
      </c>
      <c r="J222" s="25">
        <v>43160</v>
      </c>
      <c r="K222" s="25"/>
      <c r="L222" s="34" t="s">
        <v>578</v>
      </c>
      <c r="M222" s="34" t="s">
        <v>579</v>
      </c>
      <c r="N222" s="25">
        <v>43160</v>
      </c>
      <c r="O222" s="10" t="s">
        <v>1358</v>
      </c>
      <c r="Q222" s="3"/>
      <c r="S222" s="25">
        <v>43160</v>
      </c>
      <c r="T222" s="25">
        <v>43191</v>
      </c>
      <c r="U222" s="236"/>
      <c r="V222" s="3" t="s">
        <v>1211</v>
      </c>
      <c r="W222" s="25">
        <v>43271</v>
      </c>
      <c r="X222" s="25">
        <v>43263</v>
      </c>
      <c r="Y222" s="107"/>
      <c r="Z222" s="71"/>
      <c r="AA222" s="25"/>
      <c r="AH222" s="6"/>
    </row>
    <row r="223" spans="1:35" ht="18" customHeight="1">
      <c r="A223" s="139" t="s">
        <v>980</v>
      </c>
      <c r="B223" s="21" t="s">
        <v>64</v>
      </c>
      <c r="C223" s="46" t="s">
        <v>577</v>
      </c>
      <c r="D223" s="21" t="s">
        <v>879</v>
      </c>
      <c r="E223" s="298" t="s">
        <v>602</v>
      </c>
      <c r="F223" s="298" t="s">
        <v>877</v>
      </c>
      <c r="G223" s="298" t="s">
        <v>880</v>
      </c>
      <c r="H223" s="19" t="s">
        <v>58</v>
      </c>
      <c r="I223" s="209">
        <v>12</v>
      </c>
      <c r="J223" s="25">
        <v>43160</v>
      </c>
      <c r="K223" s="25"/>
      <c r="L223" s="34" t="s">
        <v>578</v>
      </c>
      <c r="M223" s="34" t="s">
        <v>579</v>
      </c>
      <c r="N223" s="25">
        <v>43160</v>
      </c>
      <c r="O223" s="10" t="s">
        <v>1358</v>
      </c>
      <c r="Q223" s="3"/>
      <c r="S223" s="25">
        <v>43160</v>
      </c>
      <c r="T223" s="25">
        <v>43191</v>
      </c>
      <c r="U223" s="236"/>
      <c r="V223" s="3" t="s">
        <v>1211</v>
      </c>
      <c r="W223" s="25">
        <v>43271</v>
      </c>
      <c r="X223" s="25">
        <v>43263</v>
      </c>
      <c r="Y223" s="107"/>
      <c r="Z223" s="71"/>
      <c r="AA223" s="25"/>
    </row>
    <row r="224" spans="1:35" ht="18" customHeight="1">
      <c r="A224" s="139" t="s">
        <v>981</v>
      </c>
      <c r="B224" s="21" t="s">
        <v>64</v>
      </c>
      <c r="C224" s="46" t="s">
        <v>577</v>
      </c>
      <c r="D224" s="21" t="s">
        <v>879</v>
      </c>
      <c r="E224" s="298" t="s">
        <v>602</v>
      </c>
      <c r="F224" s="298" t="s">
        <v>877</v>
      </c>
      <c r="G224" s="298" t="s">
        <v>881</v>
      </c>
      <c r="H224" s="19" t="s">
        <v>58</v>
      </c>
      <c r="I224" s="209">
        <v>12</v>
      </c>
      <c r="J224" s="25">
        <v>43160</v>
      </c>
      <c r="K224" s="25"/>
      <c r="L224" s="34" t="s">
        <v>578</v>
      </c>
      <c r="M224" s="34" t="s">
        <v>579</v>
      </c>
      <c r="N224" s="25">
        <v>43160</v>
      </c>
      <c r="O224" s="10" t="s">
        <v>1358</v>
      </c>
      <c r="Q224" s="3"/>
      <c r="S224" s="25">
        <v>43160</v>
      </c>
      <c r="T224" s="25">
        <v>43191</v>
      </c>
      <c r="U224" s="236"/>
      <c r="V224" s="3" t="s">
        <v>1211</v>
      </c>
      <c r="W224" s="25">
        <v>43271</v>
      </c>
      <c r="X224" s="25">
        <v>43263</v>
      </c>
      <c r="Y224" s="107"/>
      <c r="Z224" s="107"/>
      <c r="AA224" s="25"/>
      <c r="AH224" s="6"/>
    </row>
    <row r="225" spans="1:34" ht="18" customHeight="1">
      <c r="A225" s="139" t="s">
        <v>982</v>
      </c>
      <c r="B225" s="21" t="s">
        <v>64</v>
      </c>
      <c r="C225" s="46" t="s">
        <v>577</v>
      </c>
      <c r="D225" s="21" t="s">
        <v>882</v>
      </c>
      <c r="E225" s="298" t="s">
        <v>602</v>
      </c>
      <c r="F225" s="298" t="s">
        <v>877</v>
      </c>
      <c r="G225" s="298" t="s">
        <v>883</v>
      </c>
      <c r="H225" s="19" t="s">
        <v>58</v>
      </c>
      <c r="I225" s="209">
        <v>12</v>
      </c>
      <c r="J225" s="25">
        <v>43160</v>
      </c>
      <c r="K225" s="25"/>
      <c r="L225" s="34" t="s">
        <v>578</v>
      </c>
      <c r="M225" s="34" t="s">
        <v>579</v>
      </c>
      <c r="N225" s="25">
        <v>43160</v>
      </c>
      <c r="O225" s="10" t="s">
        <v>1358</v>
      </c>
      <c r="Q225" s="3"/>
      <c r="S225" s="25">
        <v>43160</v>
      </c>
      <c r="T225" s="25">
        <v>43191</v>
      </c>
      <c r="U225" s="236"/>
      <c r="V225" s="3" t="s">
        <v>1211</v>
      </c>
      <c r="W225" s="25">
        <v>43271</v>
      </c>
      <c r="X225" s="25">
        <v>43263</v>
      </c>
      <c r="Y225" s="107"/>
      <c r="Z225" s="107"/>
      <c r="AA225" s="25"/>
      <c r="AH225" s="6"/>
    </row>
    <row r="226" spans="1:34" ht="18" customHeight="1">
      <c r="A226" s="139" t="s">
        <v>983</v>
      </c>
      <c r="B226" s="21" t="s">
        <v>64</v>
      </c>
      <c r="C226" s="46" t="s">
        <v>577</v>
      </c>
      <c r="D226" s="21" t="s">
        <v>876</v>
      </c>
      <c r="E226" s="298" t="s">
        <v>602</v>
      </c>
      <c r="F226" s="298" t="s">
        <v>877</v>
      </c>
      <c r="G226" s="298" t="s">
        <v>884</v>
      </c>
      <c r="H226" s="19" t="s">
        <v>58</v>
      </c>
      <c r="I226" s="209">
        <v>12</v>
      </c>
      <c r="J226" s="25">
        <v>43160</v>
      </c>
      <c r="K226" s="25"/>
      <c r="L226" s="34" t="s">
        <v>578</v>
      </c>
      <c r="M226" s="34" t="s">
        <v>579</v>
      </c>
      <c r="N226" s="25">
        <v>43160</v>
      </c>
      <c r="O226" s="10" t="s">
        <v>1358</v>
      </c>
      <c r="Q226" s="3"/>
      <c r="S226" s="25">
        <v>43160</v>
      </c>
      <c r="T226" s="25">
        <v>43191</v>
      </c>
      <c r="U226" s="236"/>
      <c r="V226" s="3" t="s">
        <v>1211</v>
      </c>
      <c r="W226" s="25">
        <v>43271</v>
      </c>
      <c r="X226" s="25">
        <v>43263</v>
      </c>
      <c r="Y226" s="107"/>
      <c r="Z226" s="107"/>
      <c r="AA226" s="25"/>
    </row>
    <row r="227" spans="1:34" ht="18" customHeight="1">
      <c r="A227" s="139" t="s">
        <v>984</v>
      </c>
      <c r="B227" s="21" t="s">
        <v>64</v>
      </c>
      <c r="C227" s="46" t="s">
        <v>577</v>
      </c>
      <c r="D227" s="21" t="s">
        <v>230</v>
      </c>
      <c r="E227" s="298" t="s">
        <v>602</v>
      </c>
      <c r="F227" s="298" t="s">
        <v>877</v>
      </c>
      <c r="G227" s="298" t="s">
        <v>885</v>
      </c>
      <c r="H227" s="19" t="s">
        <v>58</v>
      </c>
      <c r="I227" s="209">
        <v>12</v>
      </c>
      <c r="J227" s="25">
        <v>43160</v>
      </c>
      <c r="K227" s="25"/>
      <c r="L227" s="34" t="s">
        <v>578</v>
      </c>
      <c r="M227" s="34" t="s">
        <v>579</v>
      </c>
      <c r="N227" s="25">
        <v>43160</v>
      </c>
      <c r="O227" s="10" t="s">
        <v>1358</v>
      </c>
      <c r="Q227" s="3"/>
      <c r="S227" s="25">
        <v>43160</v>
      </c>
      <c r="T227" s="25">
        <v>43191</v>
      </c>
      <c r="U227" s="236"/>
      <c r="V227" s="3" t="s">
        <v>1211</v>
      </c>
      <c r="W227" s="25">
        <v>43271</v>
      </c>
      <c r="X227" s="25">
        <v>43263</v>
      </c>
      <c r="Y227" s="107"/>
      <c r="Z227" s="107"/>
      <c r="AA227" s="25"/>
      <c r="AH227" s="6"/>
    </row>
    <row r="228" spans="1:34" ht="18" customHeight="1">
      <c r="A228" s="139" t="s">
        <v>985</v>
      </c>
      <c r="B228" s="21" t="s">
        <v>64</v>
      </c>
      <c r="C228" s="46" t="s">
        <v>577</v>
      </c>
      <c r="D228" s="21" t="s">
        <v>230</v>
      </c>
      <c r="E228" s="298" t="s">
        <v>602</v>
      </c>
      <c r="F228" s="298" t="s">
        <v>877</v>
      </c>
      <c r="G228" s="298" t="s">
        <v>886</v>
      </c>
      <c r="H228" s="19" t="s">
        <v>58</v>
      </c>
      <c r="I228" s="209">
        <v>12</v>
      </c>
      <c r="J228" s="25">
        <v>43160</v>
      </c>
      <c r="K228" s="25"/>
      <c r="L228" s="34" t="s">
        <v>578</v>
      </c>
      <c r="M228" s="34" t="s">
        <v>579</v>
      </c>
      <c r="N228" s="25">
        <v>43160</v>
      </c>
      <c r="O228" s="10" t="s">
        <v>1358</v>
      </c>
      <c r="Q228" s="3"/>
      <c r="S228" s="25">
        <v>43160</v>
      </c>
      <c r="T228" s="25">
        <v>43191</v>
      </c>
      <c r="U228" s="236"/>
      <c r="V228" s="3" t="s">
        <v>1211</v>
      </c>
      <c r="W228" s="25">
        <v>43271</v>
      </c>
      <c r="X228" s="25">
        <v>43263</v>
      </c>
      <c r="Y228" s="107"/>
      <c r="Z228" s="107"/>
      <c r="AA228" s="25"/>
      <c r="AH228" s="6"/>
    </row>
    <row r="229" spans="1:34" ht="18" customHeight="1">
      <c r="A229" s="139" t="s">
        <v>986</v>
      </c>
      <c r="B229" s="21" t="s">
        <v>64</v>
      </c>
      <c r="C229" s="46" t="s">
        <v>577</v>
      </c>
      <c r="D229" s="21" t="s">
        <v>230</v>
      </c>
      <c r="E229" s="298" t="s">
        <v>602</v>
      </c>
      <c r="F229" s="298" t="s">
        <v>877</v>
      </c>
      <c r="G229" s="298" t="s">
        <v>887</v>
      </c>
      <c r="H229" s="19" t="s">
        <v>58</v>
      </c>
      <c r="I229" s="209">
        <v>12</v>
      </c>
      <c r="J229" s="25">
        <v>43160</v>
      </c>
      <c r="K229" s="25"/>
      <c r="L229" s="34" t="s">
        <v>578</v>
      </c>
      <c r="M229" s="34" t="s">
        <v>579</v>
      </c>
      <c r="N229" s="25">
        <v>43160</v>
      </c>
      <c r="O229" s="10" t="s">
        <v>1358</v>
      </c>
      <c r="Q229" s="3"/>
      <c r="S229" s="25">
        <v>43160</v>
      </c>
      <c r="T229" s="25">
        <v>43191</v>
      </c>
      <c r="U229" s="236"/>
      <c r="V229" s="3" t="s">
        <v>1211</v>
      </c>
      <c r="W229" s="25">
        <v>43271</v>
      </c>
      <c r="X229" s="25">
        <v>43263</v>
      </c>
      <c r="Y229" s="107"/>
      <c r="Z229" s="107"/>
      <c r="AA229" s="25"/>
      <c r="AH229" s="6"/>
    </row>
    <row r="230" spans="1:34" ht="18" customHeight="1">
      <c r="A230" s="139" t="s">
        <v>987</v>
      </c>
      <c r="B230" s="21" t="s">
        <v>64</v>
      </c>
      <c r="C230" s="46" t="s">
        <v>577</v>
      </c>
      <c r="D230" s="21" t="s">
        <v>230</v>
      </c>
      <c r="E230" s="298" t="s">
        <v>602</v>
      </c>
      <c r="F230" s="298" t="s">
        <v>877</v>
      </c>
      <c r="G230" s="298" t="s">
        <v>888</v>
      </c>
      <c r="H230" s="19" t="s">
        <v>58</v>
      </c>
      <c r="I230" s="209">
        <v>12</v>
      </c>
      <c r="J230" s="25">
        <v>43160</v>
      </c>
      <c r="K230" s="25"/>
      <c r="L230" s="34" t="s">
        <v>578</v>
      </c>
      <c r="M230" s="34" t="s">
        <v>579</v>
      </c>
      <c r="N230" s="25">
        <v>43160</v>
      </c>
      <c r="O230" s="10" t="s">
        <v>1358</v>
      </c>
      <c r="Q230" s="3"/>
      <c r="S230" s="25">
        <v>43160</v>
      </c>
      <c r="T230" s="25">
        <v>43191</v>
      </c>
      <c r="U230" s="236"/>
      <c r="V230" s="3" t="s">
        <v>1211</v>
      </c>
      <c r="W230" s="25">
        <v>43271</v>
      </c>
      <c r="X230" s="25">
        <v>43263</v>
      </c>
      <c r="Y230" s="107"/>
      <c r="Z230" s="107"/>
      <c r="AA230" s="25"/>
      <c r="AH230" s="6"/>
    </row>
    <row r="231" spans="1:34" ht="18" customHeight="1">
      <c r="A231" s="139" t="s">
        <v>988</v>
      </c>
      <c r="B231" s="21" t="s">
        <v>64</v>
      </c>
      <c r="C231" s="46" t="s">
        <v>577</v>
      </c>
      <c r="D231" s="21" t="s">
        <v>230</v>
      </c>
      <c r="E231" s="298" t="s">
        <v>602</v>
      </c>
      <c r="F231" s="298" t="s">
        <v>877</v>
      </c>
      <c r="G231" s="298" t="s">
        <v>889</v>
      </c>
      <c r="H231" s="19" t="s">
        <v>58</v>
      </c>
      <c r="I231" s="209">
        <v>12</v>
      </c>
      <c r="J231" s="25">
        <v>43160</v>
      </c>
      <c r="K231" s="25"/>
      <c r="L231" s="34" t="s">
        <v>578</v>
      </c>
      <c r="M231" s="34" t="s">
        <v>579</v>
      </c>
      <c r="N231" s="25">
        <v>43160</v>
      </c>
      <c r="O231" s="10" t="s">
        <v>1358</v>
      </c>
      <c r="Q231" s="3"/>
      <c r="S231" s="25">
        <v>43160</v>
      </c>
      <c r="T231" s="25">
        <v>43191</v>
      </c>
      <c r="U231" s="236"/>
      <c r="V231" s="3" t="s">
        <v>1211</v>
      </c>
      <c r="W231" s="25">
        <v>43271</v>
      </c>
      <c r="X231" s="25">
        <v>43263</v>
      </c>
      <c r="Y231" s="107"/>
      <c r="Z231" s="107"/>
      <c r="AA231" s="25"/>
      <c r="AH231" s="6"/>
    </row>
    <row r="232" spans="1:34" ht="18" customHeight="1">
      <c r="A232" s="139" t="s">
        <v>989</v>
      </c>
      <c r="B232" s="21" t="s">
        <v>64</v>
      </c>
      <c r="C232" s="46" t="s">
        <v>577</v>
      </c>
      <c r="D232" s="21" t="s">
        <v>882</v>
      </c>
      <c r="E232" s="298" t="s">
        <v>602</v>
      </c>
      <c r="F232" s="298" t="s">
        <v>877</v>
      </c>
      <c r="G232" s="298" t="s">
        <v>890</v>
      </c>
      <c r="H232" s="19" t="s">
        <v>58</v>
      </c>
      <c r="I232" s="209">
        <v>12</v>
      </c>
      <c r="J232" s="25">
        <v>43160</v>
      </c>
      <c r="K232" s="25"/>
      <c r="L232" s="34" t="s">
        <v>578</v>
      </c>
      <c r="M232" s="34" t="s">
        <v>579</v>
      </c>
      <c r="N232" s="25">
        <v>43160</v>
      </c>
      <c r="O232" s="10" t="s">
        <v>1358</v>
      </c>
      <c r="Q232" s="3"/>
      <c r="S232" s="25">
        <v>43160</v>
      </c>
      <c r="T232" s="25">
        <v>43191</v>
      </c>
      <c r="U232" s="236"/>
      <c r="V232" s="3" t="s">
        <v>1211</v>
      </c>
      <c r="W232" s="25">
        <v>43271</v>
      </c>
      <c r="X232" s="25">
        <v>43263</v>
      </c>
      <c r="Y232" s="107"/>
      <c r="Z232" s="107"/>
      <c r="AA232" s="25"/>
      <c r="AH232" s="6"/>
    </row>
    <row r="233" spans="1:34" ht="18" customHeight="1">
      <c r="A233" s="139" t="s">
        <v>990</v>
      </c>
      <c r="B233" s="21" t="s">
        <v>64</v>
      </c>
      <c r="C233" s="46" t="s">
        <v>577</v>
      </c>
      <c r="D233" s="21" t="s">
        <v>876</v>
      </c>
      <c r="E233" s="298" t="s">
        <v>602</v>
      </c>
      <c r="F233" s="298" t="s">
        <v>877</v>
      </c>
      <c r="G233" s="298" t="s">
        <v>891</v>
      </c>
      <c r="H233" s="19" t="s">
        <v>58</v>
      </c>
      <c r="I233" s="209">
        <v>12</v>
      </c>
      <c r="J233" s="25">
        <v>43160</v>
      </c>
      <c r="K233" s="25"/>
      <c r="L233" s="34" t="s">
        <v>578</v>
      </c>
      <c r="M233" s="34" t="s">
        <v>579</v>
      </c>
      <c r="N233" s="25">
        <v>43160</v>
      </c>
      <c r="O233" s="10" t="s">
        <v>1358</v>
      </c>
      <c r="Q233" s="3"/>
      <c r="S233" s="25">
        <v>43160</v>
      </c>
      <c r="T233" s="25">
        <v>43191</v>
      </c>
      <c r="U233" s="236"/>
      <c r="V233" s="3" t="s">
        <v>1211</v>
      </c>
      <c r="W233" s="25">
        <v>43271</v>
      </c>
      <c r="X233" s="25">
        <v>43263</v>
      </c>
      <c r="Y233" s="107"/>
      <c r="Z233" s="107"/>
      <c r="AA233" s="25"/>
      <c r="AH233" s="6"/>
    </row>
    <row r="234" spans="1:34" ht="18" customHeight="1">
      <c r="A234" s="139" t="s">
        <v>991</v>
      </c>
      <c r="B234" s="21" t="s">
        <v>64</v>
      </c>
      <c r="C234" s="46" t="s">
        <v>577</v>
      </c>
      <c r="D234" s="21" t="s">
        <v>230</v>
      </c>
      <c r="E234" s="298" t="s">
        <v>602</v>
      </c>
      <c r="F234" s="298" t="s">
        <v>877</v>
      </c>
      <c r="G234" s="298" t="s">
        <v>892</v>
      </c>
      <c r="H234" s="19" t="s">
        <v>58</v>
      </c>
      <c r="I234" s="209">
        <v>12</v>
      </c>
      <c r="J234" s="25">
        <v>43160</v>
      </c>
      <c r="K234" s="25"/>
      <c r="L234" s="34" t="s">
        <v>578</v>
      </c>
      <c r="M234" s="34" t="s">
        <v>579</v>
      </c>
      <c r="N234" s="25">
        <v>43160</v>
      </c>
      <c r="O234" s="10" t="s">
        <v>1358</v>
      </c>
      <c r="Q234" s="3"/>
      <c r="S234" s="25">
        <v>43160</v>
      </c>
      <c r="T234" s="25">
        <v>43191</v>
      </c>
      <c r="U234" s="236"/>
      <c r="V234" s="3" t="s">
        <v>1211</v>
      </c>
      <c r="W234" s="25">
        <v>43271</v>
      </c>
      <c r="X234" s="25">
        <v>43263</v>
      </c>
      <c r="Y234" s="107"/>
      <c r="Z234" s="107"/>
      <c r="AA234" s="25"/>
      <c r="AH234" s="6"/>
    </row>
    <row r="235" spans="1:34" ht="18" customHeight="1">
      <c r="A235" s="139" t="s">
        <v>992</v>
      </c>
      <c r="B235" s="21" t="s">
        <v>64</v>
      </c>
      <c r="C235" s="46" t="s">
        <v>577</v>
      </c>
      <c r="D235" s="21" t="s">
        <v>876</v>
      </c>
      <c r="E235" s="298" t="s">
        <v>602</v>
      </c>
      <c r="F235" s="298" t="s">
        <v>877</v>
      </c>
      <c r="G235" s="298" t="s">
        <v>893</v>
      </c>
      <c r="H235" s="19" t="s">
        <v>58</v>
      </c>
      <c r="I235" s="209">
        <v>12</v>
      </c>
      <c r="J235" s="25">
        <v>43160</v>
      </c>
      <c r="K235" s="25"/>
      <c r="L235" s="34" t="s">
        <v>578</v>
      </c>
      <c r="M235" s="34" t="s">
        <v>579</v>
      </c>
      <c r="N235" s="25">
        <v>43160</v>
      </c>
      <c r="O235" s="10" t="s">
        <v>1358</v>
      </c>
      <c r="Q235" s="3"/>
      <c r="S235" s="25">
        <v>43160</v>
      </c>
      <c r="T235" s="25">
        <v>43191</v>
      </c>
      <c r="U235" s="236"/>
      <c r="V235" s="3" t="s">
        <v>1211</v>
      </c>
      <c r="W235" s="25">
        <v>43271</v>
      </c>
      <c r="X235" s="25">
        <v>43263</v>
      </c>
      <c r="Y235" s="107"/>
      <c r="Z235" s="107"/>
      <c r="AA235" s="25"/>
      <c r="AH235" s="6"/>
    </row>
    <row r="236" spans="1:34" ht="18" customHeight="1">
      <c r="A236" s="139" t="s">
        <v>993</v>
      </c>
      <c r="B236" s="21" t="s">
        <v>64</v>
      </c>
      <c r="C236" s="46" t="s">
        <v>577</v>
      </c>
      <c r="D236" s="21" t="s">
        <v>230</v>
      </c>
      <c r="E236" s="299" t="s">
        <v>602</v>
      </c>
      <c r="F236" s="299" t="s">
        <v>877</v>
      </c>
      <c r="G236" s="299" t="s">
        <v>894</v>
      </c>
      <c r="H236" s="19" t="s">
        <v>58</v>
      </c>
      <c r="I236" s="209">
        <v>12</v>
      </c>
      <c r="J236" s="25">
        <v>43160</v>
      </c>
      <c r="K236" s="25"/>
      <c r="L236" s="34" t="s">
        <v>578</v>
      </c>
      <c r="M236" s="34" t="s">
        <v>579</v>
      </c>
      <c r="N236" s="25">
        <v>43160</v>
      </c>
      <c r="O236" s="10" t="s">
        <v>1358</v>
      </c>
      <c r="Q236" s="3"/>
      <c r="S236" s="25">
        <v>43160</v>
      </c>
      <c r="T236" s="25">
        <v>43191</v>
      </c>
      <c r="U236" s="236"/>
      <c r="V236" s="3" t="s">
        <v>1211</v>
      </c>
      <c r="W236" s="25">
        <v>43271</v>
      </c>
      <c r="X236" s="25">
        <v>43263</v>
      </c>
      <c r="Y236" s="107"/>
      <c r="Z236" s="107"/>
      <c r="AA236" s="25"/>
      <c r="AH236" s="6"/>
    </row>
    <row r="237" spans="1:34" ht="18" customHeight="1">
      <c r="A237" s="139" t="s">
        <v>994</v>
      </c>
      <c r="B237" s="21" t="s">
        <v>64</v>
      </c>
      <c r="C237" s="46" t="s">
        <v>577</v>
      </c>
      <c r="D237" s="21" t="s">
        <v>895</v>
      </c>
      <c r="E237" s="299" t="s">
        <v>602</v>
      </c>
      <c r="F237" s="299" t="s">
        <v>877</v>
      </c>
      <c r="G237" s="299" t="s">
        <v>896</v>
      </c>
      <c r="H237" s="19" t="s">
        <v>58</v>
      </c>
      <c r="I237" s="209">
        <v>12</v>
      </c>
      <c r="J237" s="25">
        <v>43160</v>
      </c>
      <c r="K237" s="25"/>
      <c r="L237" s="34" t="s">
        <v>578</v>
      </c>
      <c r="M237" s="34" t="s">
        <v>579</v>
      </c>
      <c r="N237" s="25">
        <v>43160</v>
      </c>
      <c r="O237" s="10" t="s">
        <v>1358</v>
      </c>
      <c r="Q237" s="3"/>
      <c r="S237" s="25">
        <v>43160</v>
      </c>
      <c r="T237" s="25">
        <v>43191</v>
      </c>
      <c r="U237" s="236"/>
      <c r="V237" s="3" t="s">
        <v>1211</v>
      </c>
      <c r="W237" s="25">
        <v>43271</v>
      </c>
      <c r="X237" s="25">
        <v>43263</v>
      </c>
      <c r="Y237" s="107"/>
      <c r="Z237" s="107"/>
      <c r="AA237" s="25"/>
      <c r="AH237" s="6"/>
    </row>
    <row r="238" spans="1:34" ht="18" customHeight="1">
      <c r="A238" s="139" t="s">
        <v>995</v>
      </c>
      <c r="B238" s="21" t="s">
        <v>64</v>
      </c>
      <c r="C238" s="46" t="s">
        <v>577</v>
      </c>
      <c r="D238" s="21" t="s">
        <v>879</v>
      </c>
      <c r="E238" s="298" t="s">
        <v>602</v>
      </c>
      <c r="F238" s="298" t="s">
        <v>877</v>
      </c>
      <c r="G238" s="298" t="s">
        <v>897</v>
      </c>
      <c r="H238" s="19" t="s">
        <v>58</v>
      </c>
      <c r="I238" s="209">
        <v>12</v>
      </c>
      <c r="J238" s="25">
        <v>43160</v>
      </c>
      <c r="K238" s="25"/>
      <c r="L238" s="34" t="s">
        <v>578</v>
      </c>
      <c r="M238" s="34" t="s">
        <v>579</v>
      </c>
      <c r="N238" s="25">
        <v>43160</v>
      </c>
      <c r="O238" s="10" t="s">
        <v>1358</v>
      </c>
      <c r="Q238" s="3"/>
      <c r="S238" s="25">
        <v>43160</v>
      </c>
      <c r="T238" s="25">
        <v>43191</v>
      </c>
      <c r="U238" s="236"/>
      <c r="V238" s="3" t="s">
        <v>1211</v>
      </c>
      <c r="W238" s="25">
        <v>43271</v>
      </c>
      <c r="X238" s="25">
        <v>43263</v>
      </c>
      <c r="Y238" s="107"/>
      <c r="Z238" s="107"/>
      <c r="AA238" s="25"/>
      <c r="AH238" s="6"/>
    </row>
    <row r="239" spans="1:34" ht="18" customHeight="1">
      <c r="A239" s="139" t="s">
        <v>996</v>
      </c>
      <c r="B239" s="21" t="s">
        <v>64</v>
      </c>
      <c r="C239" s="46" t="s">
        <v>577</v>
      </c>
      <c r="D239" s="21" t="s">
        <v>230</v>
      </c>
      <c r="E239" s="298" t="s">
        <v>602</v>
      </c>
      <c r="F239" s="298" t="s">
        <v>877</v>
      </c>
      <c r="G239" s="298" t="s">
        <v>898</v>
      </c>
      <c r="H239" s="19" t="s">
        <v>58</v>
      </c>
      <c r="I239" s="209">
        <v>12</v>
      </c>
      <c r="J239" s="25">
        <v>43160</v>
      </c>
      <c r="K239" s="25"/>
      <c r="L239" s="34" t="s">
        <v>578</v>
      </c>
      <c r="M239" s="34" t="s">
        <v>579</v>
      </c>
      <c r="N239" s="25">
        <v>43160</v>
      </c>
      <c r="O239" s="10" t="s">
        <v>1358</v>
      </c>
      <c r="Q239" s="3"/>
      <c r="S239" s="25">
        <v>43160</v>
      </c>
      <c r="T239" s="25">
        <v>43191</v>
      </c>
      <c r="U239" s="236"/>
      <c r="V239" s="3" t="s">
        <v>1211</v>
      </c>
      <c r="W239" s="25">
        <v>43271</v>
      </c>
      <c r="X239" s="25">
        <v>43263</v>
      </c>
      <c r="Y239" s="107"/>
      <c r="Z239" s="107"/>
      <c r="AA239" s="25"/>
      <c r="AH239" s="6"/>
    </row>
    <row r="240" spans="1:34" ht="18" customHeight="1">
      <c r="A240" s="139" t="s">
        <v>997</v>
      </c>
      <c r="B240" s="21" t="s">
        <v>64</v>
      </c>
      <c r="C240" s="46" t="s">
        <v>577</v>
      </c>
      <c r="D240" s="21" t="s">
        <v>230</v>
      </c>
      <c r="E240" s="298" t="s">
        <v>602</v>
      </c>
      <c r="F240" s="298" t="s">
        <v>877</v>
      </c>
      <c r="G240" s="298" t="s">
        <v>537</v>
      </c>
      <c r="H240" s="19" t="s">
        <v>58</v>
      </c>
      <c r="I240" s="209">
        <v>12</v>
      </c>
      <c r="J240" s="25">
        <v>43160</v>
      </c>
      <c r="K240" s="25"/>
      <c r="L240" s="34" t="s">
        <v>578</v>
      </c>
      <c r="M240" s="34" t="s">
        <v>579</v>
      </c>
      <c r="N240" s="25">
        <v>43160</v>
      </c>
      <c r="O240" s="10" t="s">
        <v>1358</v>
      </c>
      <c r="Q240" s="3"/>
      <c r="S240" s="25">
        <v>43160</v>
      </c>
      <c r="T240" s="25">
        <v>43191</v>
      </c>
      <c r="U240" s="236"/>
      <c r="V240" s="3" t="s">
        <v>1211</v>
      </c>
      <c r="W240" s="25">
        <v>43271</v>
      </c>
      <c r="X240" s="25">
        <v>43263</v>
      </c>
      <c r="Y240" s="107"/>
      <c r="Z240" s="107"/>
      <c r="AA240" s="25"/>
      <c r="AH240" s="6"/>
    </row>
    <row r="241" spans="1:34" ht="18" customHeight="1">
      <c r="A241" s="139" t="s">
        <v>998</v>
      </c>
      <c r="B241" s="21" t="s">
        <v>64</v>
      </c>
      <c r="C241" s="46" t="s">
        <v>577</v>
      </c>
      <c r="D241" s="21" t="s">
        <v>879</v>
      </c>
      <c r="E241" s="298" t="s">
        <v>602</v>
      </c>
      <c r="F241" s="298" t="s">
        <v>877</v>
      </c>
      <c r="G241" s="298" t="s">
        <v>899</v>
      </c>
      <c r="H241" s="19" t="s">
        <v>58</v>
      </c>
      <c r="I241" s="209">
        <v>12</v>
      </c>
      <c r="J241" s="25">
        <v>43160</v>
      </c>
      <c r="K241" s="25"/>
      <c r="L241" s="34" t="s">
        <v>578</v>
      </c>
      <c r="M241" s="34" t="s">
        <v>579</v>
      </c>
      <c r="N241" s="25">
        <v>43160</v>
      </c>
      <c r="O241" s="10" t="s">
        <v>1358</v>
      </c>
      <c r="Q241" s="3"/>
      <c r="S241" s="25">
        <v>43160</v>
      </c>
      <c r="T241" s="25">
        <v>43191</v>
      </c>
      <c r="U241" s="236"/>
      <c r="V241" s="3" t="s">
        <v>1211</v>
      </c>
      <c r="W241" s="25">
        <v>43271</v>
      </c>
      <c r="X241" s="25">
        <v>43263</v>
      </c>
      <c r="Y241" s="107"/>
      <c r="Z241" s="107"/>
      <c r="AA241" s="25"/>
      <c r="AH241" s="6"/>
    </row>
    <row r="242" spans="1:34" ht="18" customHeight="1">
      <c r="A242" s="139" t="s">
        <v>999</v>
      </c>
      <c r="B242" s="21" t="s">
        <v>64</v>
      </c>
      <c r="C242" s="46" t="s">
        <v>577</v>
      </c>
      <c r="D242" s="21" t="s">
        <v>230</v>
      </c>
      <c r="E242" s="298" t="s">
        <v>602</v>
      </c>
      <c r="F242" s="298" t="s">
        <v>877</v>
      </c>
      <c r="G242" s="298" t="s">
        <v>900</v>
      </c>
      <c r="H242" s="19" t="s">
        <v>58</v>
      </c>
      <c r="I242" s="209">
        <v>12</v>
      </c>
      <c r="J242" s="25">
        <v>43160</v>
      </c>
      <c r="K242" s="25"/>
      <c r="L242" s="34" t="s">
        <v>578</v>
      </c>
      <c r="M242" s="34" t="s">
        <v>579</v>
      </c>
      <c r="N242" s="25">
        <v>43160</v>
      </c>
      <c r="O242" s="10" t="s">
        <v>1358</v>
      </c>
      <c r="Q242" s="3"/>
      <c r="S242" s="25">
        <v>43160</v>
      </c>
      <c r="T242" s="25">
        <v>43191</v>
      </c>
      <c r="U242" s="236"/>
      <c r="V242" s="3" t="s">
        <v>1211</v>
      </c>
      <c r="W242" s="25">
        <v>43271</v>
      </c>
      <c r="X242" s="25">
        <v>43263</v>
      </c>
      <c r="Y242" s="107"/>
      <c r="Z242" s="107"/>
      <c r="AA242" s="25"/>
      <c r="AH242" s="6"/>
    </row>
    <row r="243" spans="1:34" ht="18" customHeight="1">
      <c r="A243" s="139" t="s">
        <v>1000</v>
      </c>
      <c r="B243" s="21" t="s">
        <v>64</v>
      </c>
      <c r="C243" s="46" t="s">
        <v>577</v>
      </c>
      <c r="D243" s="21" t="s">
        <v>882</v>
      </c>
      <c r="E243" s="298" t="s">
        <v>602</v>
      </c>
      <c r="F243" s="298" t="s">
        <v>901</v>
      </c>
      <c r="G243" s="298" t="s">
        <v>885</v>
      </c>
      <c r="H243" s="19" t="s">
        <v>58</v>
      </c>
      <c r="I243" s="209">
        <v>12</v>
      </c>
      <c r="J243" s="25">
        <v>43160</v>
      </c>
      <c r="K243" s="25"/>
      <c r="L243" s="34" t="s">
        <v>578</v>
      </c>
      <c r="M243" s="34" t="s">
        <v>579</v>
      </c>
      <c r="N243" s="25">
        <v>43160</v>
      </c>
      <c r="O243" s="10" t="s">
        <v>1358</v>
      </c>
      <c r="Q243" s="3"/>
      <c r="S243" s="25">
        <v>43160</v>
      </c>
      <c r="T243" s="25">
        <v>43191</v>
      </c>
      <c r="U243" s="236"/>
      <c r="V243" s="3" t="s">
        <v>1211</v>
      </c>
      <c r="W243" s="25">
        <v>43271</v>
      </c>
      <c r="X243" s="25">
        <v>43263</v>
      </c>
      <c r="Y243" s="107"/>
      <c r="Z243" s="107"/>
      <c r="AA243" s="25"/>
      <c r="AD243" s="4"/>
      <c r="AE243" s="4"/>
    </row>
    <row r="244" spans="1:34" ht="18" customHeight="1">
      <c r="A244" s="139" t="s">
        <v>1001</v>
      </c>
      <c r="B244" s="21" t="s">
        <v>64</v>
      </c>
      <c r="C244" s="46" t="s">
        <v>577</v>
      </c>
      <c r="D244" s="21" t="s">
        <v>876</v>
      </c>
      <c r="E244" s="298" t="s">
        <v>602</v>
      </c>
      <c r="F244" s="298" t="s">
        <v>901</v>
      </c>
      <c r="G244" s="298" t="s">
        <v>886</v>
      </c>
      <c r="H244" s="19" t="s">
        <v>58</v>
      </c>
      <c r="I244" s="209">
        <v>12</v>
      </c>
      <c r="J244" s="25">
        <v>43160</v>
      </c>
      <c r="K244" s="25"/>
      <c r="L244" s="34" t="s">
        <v>578</v>
      </c>
      <c r="M244" s="34" t="s">
        <v>579</v>
      </c>
      <c r="N244" s="25">
        <v>43160</v>
      </c>
      <c r="O244" s="10" t="s">
        <v>1358</v>
      </c>
      <c r="Q244" s="3"/>
      <c r="S244" s="25">
        <v>43160</v>
      </c>
      <c r="T244" s="25">
        <v>43191</v>
      </c>
      <c r="U244" s="236"/>
      <c r="V244" s="3" t="s">
        <v>1211</v>
      </c>
      <c r="W244" s="25">
        <v>43271</v>
      </c>
      <c r="X244" s="25">
        <v>43263</v>
      </c>
      <c r="Y244" s="107"/>
      <c r="Z244" s="107"/>
      <c r="AA244" s="25"/>
      <c r="AD244" s="4"/>
      <c r="AE244" s="4"/>
      <c r="AH244" s="6"/>
    </row>
    <row r="245" spans="1:34" ht="18" customHeight="1">
      <c r="A245" s="139" t="s">
        <v>1002</v>
      </c>
      <c r="B245" s="21" t="s">
        <v>64</v>
      </c>
      <c r="C245" s="46" t="s">
        <v>577</v>
      </c>
      <c r="D245" s="21" t="s">
        <v>230</v>
      </c>
      <c r="E245" s="298" t="s">
        <v>602</v>
      </c>
      <c r="F245" s="298" t="s">
        <v>901</v>
      </c>
      <c r="G245" s="298" t="s">
        <v>522</v>
      </c>
      <c r="H245" s="19" t="s">
        <v>58</v>
      </c>
      <c r="I245" s="209">
        <v>12</v>
      </c>
      <c r="J245" s="25">
        <v>43160</v>
      </c>
      <c r="K245" s="25"/>
      <c r="L245" s="34" t="s">
        <v>578</v>
      </c>
      <c r="M245" s="34" t="s">
        <v>579</v>
      </c>
      <c r="N245" s="25">
        <v>43160</v>
      </c>
      <c r="O245" s="10" t="s">
        <v>1358</v>
      </c>
      <c r="Q245" s="3"/>
      <c r="S245" s="25">
        <v>43160</v>
      </c>
      <c r="T245" s="25">
        <v>43191</v>
      </c>
      <c r="U245" s="236"/>
      <c r="V245" s="3" t="s">
        <v>1211</v>
      </c>
      <c r="W245" s="25">
        <v>43271</v>
      </c>
      <c r="X245" s="25">
        <v>43263</v>
      </c>
      <c r="Y245" s="107"/>
      <c r="Z245" s="107"/>
      <c r="AA245" s="25"/>
      <c r="AD245" s="4"/>
      <c r="AE245" s="4"/>
      <c r="AH245" s="6"/>
    </row>
    <row r="246" spans="1:34" ht="18" customHeight="1">
      <c r="A246" s="139" t="s">
        <v>1003</v>
      </c>
      <c r="B246" s="21" t="s">
        <v>64</v>
      </c>
      <c r="C246" s="46" t="s">
        <v>577</v>
      </c>
      <c r="D246" s="21" t="s">
        <v>230</v>
      </c>
      <c r="E246" s="298" t="s">
        <v>602</v>
      </c>
      <c r="F246" s="298" t="s">
        <v>901</v>
      </c>
      <c r="G246" s="298" t="s">
        <v>902</v>
      </c>
      <c r="H246" s="19" t="s">
        <v>58</v>
      </c>
      <c r="I246" s="209">
        <v>12</v>
      </c>
      <c r="J246" s="25">
        <v>43160</v>
      </c>
      <c r="K246" s="25"/>
      <c r="L246" s="34" t="s">
        <v>578</v>
      </c>
      <c r="M246" s="34" t="s">
        <v>579</v>
      </c>
      <c r="N246" s="25">
        <v>43160</v>
      </c>
      <c r="O246" s="10" t="s">
        <v>1358</v>
      </c>
      <c r="Q246" s="3"/>
      <c r="S246" s="25">
        <v>43160</v>
      </c>
      <c r="T246" s="25">
        <v>43191</v>
      </c>
      <c r="U246" s="236"/>
      <c r="V246" s="3" t="s">
        <v>1211</v>
      </c>
      <c r="W246" s="25">
        <v>43271</v>
      </c>
      <c r="X246" s="25">
        <v>43263</v>
      </c>
      <c r="Y246" s="107"/>
      <c r="Z246" s="107"/>
      <c r="AA246" s="25"/>
      <c r="AH246" s="6"/>
    </row>
    <row r="247" spans="1:34" ht="18" customHeight="1">
      <c r="A247" s="139" t="s">
        <v>1004</v>
      </c>
      <c r="B247" s="21" t="s">
        <v>64</v>
      </c>
      <c r="C247" s="46" t="s">
        <v>577</v>
      </c>
      <c r="D247" s="21" t="s">
        <v>230</v>
      </c>
      <c r="E247" s="298" t="s">
        <v>602</v>
      </c>
      <c r="F247" s="298" t="s">
        <v>901</v>
      </c>
      <c r="G247" s="298" t="s">
        <v>903</v>
      </c>
      <c r="H247" s="19" t="s">
        <v>58</v>
      </c>
      <c r="I247" s="209">
        <v>12</v>
      </c>
      <c r="J247" s="25">
        <v>43160</v>
      </c>
      <c r="K247" s="25"/>
      <c r="L247" s="34" t="s">
        <v>578</v>
      </c>
      <c r="M247" s="34" t="s">
        <v>579</v>
      </c>
      <c r="N247" s="25">
        <v>43160</v>
      </c>
      <c r="O247" s="10" t="s">
        <v>1358</v>
      </c>
      <c r="Q247" s="3"/>
      <c r="S247" s="25">
        <v>43160</v>
      </c>
      <c r="T247" s="25">
        <v>43191</v>
      </c>
      <c r="U247" s="236"/>
      <c r="V247" s="3" t="s">
        <v>1211</v>
      </c>
      <c r="W247" s="25">
        <v>43271</v>
      </c>
      <c r="X247" s="25">
        <v>43263</v>
      </c>
      <c r="Y247" s="107"/>
      <c r="Z247" s="107"/>
      <c r="AA247" s="25"/>
    </row>
    <row r="248" spans="1:34" ht="18" customHeight="1">
      <c r="A248" s="139" t="s">
        <v>1005</v>
      </c>
      <c r="B248" s="21" t="s">
        <v>64</v>
      </c>
      <c r="C248" s="46" t="s">
        <v>577</v>
      </c>
      <c r="D248" s="21" t="s">
        <v>230</v>
      </c>
      <c r="E248" s="298" t="s">
        <v>602</v>
      </c>
      <c r="F248" s="298" t="s">
        <v>901</v>
      </c>
      <c r="G248" s="298" t="s">
        <v>904</v>
      </c>
      <c r="H248" s="19" t="s">
        <v>58</v>
      </c>
      <c r="I248" s="209">
        <v>12</v>
      </c>
      <c r="J248" s="25">
        <v>43160</v>
      </c>
      <c r="K248" s="25"/>
      <c r="L248" s="34" t="s">
        <v>578</v>
      </c>
      <c r="M248" s="34" t="s">
        <v>579</v>
      </c>
      <c r="N248" s="25">
        <v>43160</v>
      </c>
      <c r="O248" s="10" t="s">
        <v>1358</v>
      </c>
      <c r="Q248" s="3"/>
      <c r="S248" s="25">
        <v>43160</v>
      </c>
      <c r="T248" s="25">
        <v>43191</v>
      </c>
      <c r="U248" s="236"/>
      <c r="V248" s="3" t="s">
        <v>1211</v>
      </c>
      <c r="W248" s="25">
        <v>43271</v>
      </c>
      <c r="X248" s="25">
        <v>43263</v>
      </c>
      <c r="Y248" s="107"/>
      <c r="Z248" s="107"/>
      <c r="AA248" s="25"/>
    </row>
    <row r="249" spans="1:34" ht="18" customHeight="1">
      <c r="A249" s="139" t="s">
        <v>1006</v>
      </c>
      <c r="B249" s="21" t="s">
        <v>64</v>
      </c>
      <c r="C249" s="46" t="s">
        <v>577</v>
      </c>
      <c r="D249" s="21" t="s">
        <v>230</v>
      </c>
      <c r="E249" s="298" t="s">
        <v>602</v>
      </c>
      <c r="F249" s="298" t="s">
        <v>901</v>
      </c>
      <c r="G249" s="298" t="s">
        <v>887</v>
      </c>
      <c r="H249" s="19" t="s">
        <v>58</v>
      </c>
      <c r="I249" s="209">
        <v>12</v>
      </c>
      <c r="J249" s="25">
        <v>43160</v>
      </c>
      <c r="K249" s="25"/>
      <c r="L249" s="34" t="s">
        <v>578</v>
      </c>
      <c r="M249" s="34" t="s">
        <v>579</v>
      </c>
      <c r="N249" s="25">
        <v>43160</v>
      </c>
      <c r="O249" s="10" t="s">
        <v>1358</v>
      </c>
      <c r="Q249" s="3"/>
      <c r="S249" s="25">
        <v>43160</v>
      </c>
      <c r="T249" s="25">
        <v>43191</v>
      </c>
      <c r="U249" s="236"/>
      <c r="V249" s="3" t="s">
        <v>1211</v>
      </c>
      <c r="W249" s="25">
        <v>43271</v>
      </c>
      <c r="X249" s="25">
        <v>43263</v>
      </c>
      <c r="Y249" s="107"/>
      <c r="Z249" s="107"/>
      <c r="AA249" s="25"/>
    </row>
    <row r="250" spans="1:34" ht="18" customHeight="1">
      <c r="A250" s="139" t="s">
        <v>1007</v>
      </c>
      <c r="B250" s="21" t="s">
        <v>64</v>
      </c>
      <c r="C250" s="46" t="s">
        <v>577</v>
      </c>
      <c r="D250" s="21" t="s">
        <v>230</v>
      </c>
      <c r="E250" s="298" t="s">
        <v>602</v>
      </c>
      <c r="F250" s="298" t="s">
        <v>901</v>
      </c>
      <c r="G250" s="298" t="s">
        <v>878</v>
      </c>
      <c r="H250" s="19" t="s">
        <v>58</v>
      </c>
      <c r="I250" s="209">
        <v>12</v>
      </c>
      <c r="J250" s="25">
        <v>43160</v>
      </c>
      <c r="K250" s="25"/>
      <c r="L250" s="34" t="s">
        <v>578</v>
      </c>
      <c r="M250" s="34" t="s">
        <v>579</v>
      </c>
      <c r="N250" s="25">
        <v>43160</v>
      </c>
      <c r="O250" s="10" t="s">
        <v>1358</v>
      </c>
      <c r="Q250" s="3"/>
      <c r="S250" s="25">
        <v>43160</v>
      </c>
      <c r="T250" s="25">
        <v>43191</v>
      </c>
      <c r="U250" s="236"/>
      <c r="V250" s="3" t="s">
        <v>1211</v>
      </c>
      <c r="W250" s="25">
        <v>43271</v>
      </c>
      <c r="X250" s="25">
        <v>43263</v>
      </c>
      <c r="Y250" s="107"/>
      <c r="Z250" s="107"/>
      <c r="AA250" s="25"/>
      <c r="AD250" s="4"/>
      <c r="AE250" s="4"/>
      <c r="AF250" s="4"/>
    </row>
    <row r="251" spans="1:34" ht="18" customHeight="1">
      <c r="A251" s="139" t="s">
        <v>1008</v>
      </c>
      <c r="B251" s="21" t="s">
        <v>64</v>
      </c>
      <c r="C251" s="46" t="s">
        <v>577</v>
      </c>
      <c r="D251" s="21" t="s">
        <v>905</v>
      </c>
      <c r="E251" s="298" t="s">
        <v>906</v>
      </c>
      <c r="F251" s="298" t="s">
        <v>907</v>
      </c>
      <c r="G251" s="298" t="s">
        <v>575</v>
      </c>
      <c r="H251" s="19" t="s">
        <v>58</v>
      </c>
      <c r="I251" s="209">
        <v>12</v>
      </c>
      <c r="J251" s="25">
        <v>43160</v>
      </c>
      <c r="K251" s="25"/>
      <c r="L251" s="34" t="s">
        <v>578</v>
      </c>
      <c r="M251" s="34" t="s">
        <v>579</v>
      </c>
      <c r="N251" s="25">
        <v>43160</v>
      </c>
      <c r="O251" s="10" t="s">
        <v>1358</v>
      </c>
      <c r="Q251" s="3"/>
      <c r="S251" s="25">
        <v>43160</v>
      </c>
      <c r="T251" s="25">
        <v>43191</v>
      </c>
      <c r="U251" s="236"/>
      <c r="V251" s="3" t="s">
        <v>1211</v>
      </c>
      <c r="W251" s="25">
        <v>43271</v>
      </c>
      <c r="X251" s="25">
        <v>43263</v>
      </c>
      <c r="Y251" s="107"/>
      <c r="Z251" s="107"/>
      <c r="AA251" s="25"/>
      <c r="AD251" s="4"/>
      <c r="AE251" s="4"/>
      <c r="AF251" s="4"/>
    </row>
    <row r="252" spans="1:34" ht="18" customHeight="1">
      <c r="A252" s="139" t="s">
        <v>1009</v>
      </c>
      <c r="B252" s="21" t="s">
        <v>64</v>
      </c>
      <c r="C252" s="46" t="s">
        <v>577</v>
      </c>
      <c r="D252" s="21" t="s">
        <v>230</v>
      </c>
      <c r="E252" s="298" t="s">
        <v>602</v>
      </c>
      <c r="F252" s="298" t="s">
        <v>908</v>
      </c>
      <c r="G252" s="298" t="s">
        <v>909</v>
      </c>
      <c r="H252" s="19" t="s">
        <v>58</v>
      </c>
      <c r="I252" s="209">
        <v>12</v>
      </c>
      <c r="J252" s="25">
        <v>43160</v>
      </c>
      <c r="K252" s="25"/>
      <c r="L252" s="34" t="s">
        <v>578</v>
      </c>
      <c r="M252" s="34" t="s">
        <v>579</v>
      </c>
      <c r="N252" s="25">
        <v>43160</v>
      </c>
      <c r="O252" s="10" t="s">
        <v>1358</v>
      </c>
      <c r="Q252" s="3"/>
      <c r="S252" s="25">
        <v>43160</v>
      </c>
      <c r="T252" s="25">
        <v>43191</v>
      </c>
      <c r="U252" s="236"/>
      <c r="V252" s="3" t="s">
        <v>1211</v>
      </c>
      <c r="W252" s="25">
        <v>43271</v>
      </c>
      <c r="X252" s="25">
        <v>43263</v>
      </c>
      <c r="Y252" s="107"/>
      <c r="Z252" s="107"/>
      <c r="AA252" s="25"/>
      <c r="AD252" s="4"/>
      <c r="AE252" s="4"/>
      <c r="AF252" s="4"/>
    </row>
    <row r="253" spans="1:34" ht="18" customHeight="1">
      <c r="A253" s="139" t="s">
        <v>1010</v>
      </c>
      <c r="B253" s="21" t="s">
        <v>64</v>
      </c>
      <c r="C253" s="46" t="s">
        <v>577</v>
      </c>
      <c r="D253" s="21" t="s">
        <v>230</v>
      </c>
      <c r="E253" s="298" t="s">
        <v>602</v>
      </c>
      <c r="F253" s="298" t="s">
        <v>908</v>
      </c>
      <c r="G253" s="298" t="s">
        <v>910</v>
      </c>
      <c r="H253" s="19" t="s">
        <v>58</v>
      </c>
      <c r="I253" s="209">
        <v>12</v>
      </c>
      <c r="J253" s="25">
        <v>43160</v>
      </c>
      <c r="K253" s="25"/>
      <c r="L253" s="34" t="s">
        <v>578</v>
      </c>
      <c r="M253" s="34" t="s">
        <v>579</v>
      </c>
      <c r="N253" s="25">
        <v>43160</v>
      </c>
      <c r="O253" s="10" t="s">
        <v>1358</v>
      </c>
      <c r="Q253" s="3"/>
      <c r="S253" s="25">
        <v>43160</v>
      </c>
      <c r="T253" s="25">
        <v>43191</v>
      </c>
      <c r="U253" s="236"/>
      <c r="V253" s="3" t="s">
        <v>1211</v>
      </c>
      <c r="W253" s="25">
        <v>43271</v>
      </c>
      <c r="X253" s="25">
        <v>43263</v>
      </c>
      <c r="Y253" s="107"/>
      <c r="Z253" s="107"/>
      <c r="AA253" s="25"/>
      <c r="AD253" s="4"/>
      <c r="AE253" s="4"/>
      <c r="AF253" s="4"/>
    </row>
    <row r="254" spans="1:34" ht="18" customHeight="1">
      <c r="A254" s="139" t="s">
        <v>1011</v>
      </c>
      <c r="B254" s="21" t="s">
        <v>64</v>
      </c>
      <c r="C254" s="46" t="s">
        <v>577</v>
      </c>
      <c r="D254" s="21" t="s">
        <v>230</v>
      </c>
      <c r="E254" s="298" t="s">
        <v>602</v>
      </c>
      <c r="F254" s="298" t="s">
        <v>911</v>
      </c>
      <c r="G254" s="298" t="s">
        <v>912</v>
      </c>
      <c r="H254" s="19" t="s">
        <v>58</v>
      </c>
      <c r="I254" s="209">
        <v>12</v>
      </c>
      <c r="J254" s="25">
        <v>43160</v>
      </c>
      <c r="K254" s="25"/>
      <c r="L254" s="34" t="s">
        <v>578</v>
      </c>
      <c r="M254" s="34" t="s">
        <v>579</v>
      </c>
      <c r="N254" s="25">
        <v>43160</v>
      </c>
      <c r="O254" s="10" t="s">
        <v>1358</v>
      </c>
      <c r="Q254" s="3"/>
      <c r="S254" s="25">
        <v>43160</v>
      </c>
      <c r="T254" s="25">
        <v>43191</v>
      </c>
      <c r="U254" s="236"/>
      <c r="V254" s="3" t="s">
        <v>1211</v>
      </c>
      <c r="W254" s="25">
        <v>43271</v>
      </c>
      <c r="X254" s="25">
        <v>43263</v>
      </c>
      <c r="Y254" s="107"/>
      <c r="Z254" s="107"/>
      <c r="AA254" s="25"/>
      <c r="AD254" s="4"/>
      <c r="AE254" s="4"/>
      <c r="AF254" s="4"/>
    </row>
    <row r="255" spans="1:34" ht="18" customHeight="1">
      <c r="A255" s="139" t="s">
        <v>1012</v>
      </c>
      <c r="B255" s="21" t="s">
        <v>64</v>
      </c>
      <c r="C255" s="46" t="s">
        <v>577</v>
      </c>
      <c r="D255" s="21" t="s">
        <v>230</v>
      </c>
      <c r="E255" s="298" t="s">
        <v>602</v>
      </c>
      <c r="F255" s="298" t="s">
        <v>911</v>
      </c>
      <c r="G255" s="298" t="s">
        <v>913</v>
      </c>
      <c r="H255" s="19" t="s">
        <v>58</v>
      </c>
      <c r="I255" s="209">
        <v>12</v>
      </c>
      <c r="J255" s="25">
        <v>43160</v>
      </c>
      <c r="K255" s="25"/>
      <c r="L255" s="34" t="s">
        <v>578</v>
      </c>
      <c r="M255" s="34" t="s">
        <v>579</v>
      </c>
      <c r="N255" s="25">
        <v>43160</v>
      </c>
      <c r="O255" s="10" t="s">
        <v>1358</v>
      </c>
      <c r="Q255" s="3"/>
      <c r="S255" s="25">
        <v>43160</v>
      </c>
      <c r="T255" s="25">
        <v>43191</v>
      </c>
      <c r="U255" s="236"/>
      <c r="V255" s="3" t="s">
        <v>1211</v>
      </c>
      <c r="W255" s="25">
        <v>43271</v>
      </c>
      <c r="X255" s="25">
        <v>43263</v>
      </c>
      <c r="Y255" s="107"/>
      <c r="Z255" s="107"/>
      <c r="AA255" s="25"/>
      <c r="AD255" s="4"/>
      <c r="AE255" s="4"/>
      <c r="AF255" s="4"/>
    </row>
    <row r="256" spans="1:34" ht="18" customHeight="1">
      <c r="A256" s="139" t="s">
        <v>1013</v>
      </c>
      <c r="B256" s="21" t="s">
        <v>64</v>
      </c>
      <c r="C256" s="46" t="s">
        <v>577</v>
      </c>
      <c r="D256" s="21" t="s">
        <v>230</v>
      </c>
      <c r="E256" s="298" t="s">
        <v>602</v>
      </c>
      <c r="F256" s="298" t="s">
        <v>911</v>
      </c>
      <c r="G256" s="298" t="s">
        <v>914</v>
      </c>
      <c r="H256" s="19" t="s">
        <v>58</v>
      </c>
      <c r="I256" s="209">
        <v>12</v>
      </c>
      <c r="J256" s="25">
        <v>43160</v>
      </c>
      <c r="K256" s="25"/>
      <c r="L256" s="34" t="s">
        <v>578</v>
      </c>
      <c r="M256" s="34" t="s">
        <v>579</v>
      </c>
      <c r="N256" s="25">
        <v>43160</v>
      </c>
      <c r="O256" s="10" t="s">
        <v>1358</v>
      </c>
      <c r="Q256" s="3"/>
      <c r="S256" s="25">
        <v>43160</v>
      </c>
      <c r="T256" s="25">
        <v>43191</v>
      </c>
      <c r="U256" s="236"/>
      <c r="V256" s="3" t="s">
        <v>1211</v>
      </c>
      <c r="W256" s="25">
        <v>43271</v>
      </c>
      <c r="X256" s="25">
        <v>43263</v>
      </c>
      <c r="Y256" s="107"/>
      <c r="Z256" s="107"/>
      <c r="AA256" s="25"/>
      <c r="AD256" s="4"/>
      <c r="AE256" s="4"/>
      <c r="AF256" s="4"/>
    </row>
    <row r="257" spans="1:34" ht="18" customHeight="1">
      <c r="A257" s="139" t="s">
        <v>1014</v>
      </c>
      <c r="B257" s="21" t="s">
        <v>64</v>
      </c>
      <c r="C257" s="46" t="s">
        <v>577</v>
      </c>
      <c r="D257" s="21" t="s">
        <v>230</v>
      </c>
      <c r="E257" s="298" t="s">
        <v>602</v>
      </c>
      <c r="F257" s="298" t="s">
        <v>911</v>
      </c>
      <c r="G257" s="298" t="s">
        <v>915</v>
      </c>
      <c r="H257" s="19" t="s">
        <v>58</v>
      </c>
      <c r="I257" s="209">
        <v>12</v>
      </c>
      <c r="J257" s="25">
        <v>43160</v>
      </c>
      <c r="K257" s="25"/>
      <c r="L257" s="34" t="s">
        <v>578</v>
      </c>
      <c r="M257" s="34" t="s">
        <v>579</v>
      </c>
      <c r="N257" s="25">
        <v>43160</v>
      </c>
      <c r="O257" s="10" t="s">
        <v>1358</v>
      </c>
      <c r="Q257" s="3"/>
      <c r="S257" s="25">
        <v>43160</v>
      </c>
      <c r="T257" s="25">
        <v>43191</v>
      </c>
      <c r="U257" s="236"/>
      <c r="V257" s="3" t="s">
        <v>1211</v>
      </c>
      <c r="W257" s="25">
        <v>43271</v>
      </c>
      <c r="X257" s="25">
        <v>43263</v>
      </c>
      <c r="Y257" s="107"/>
      <c r="Z257" s="107"/>
      <c r="AA257" s="25"/>
    </row>
    <row r="258" spans="1:34" ht="18" customHeight="1">
      <c r="A258" s="139" t="s">
        <v>1015</v>
      </c>
      <c r="B258" s="21" t="s">
        <v>64</v>
      </c>
      <c r="C258" s="46" t="s">
        <v>577</v>
      </c>
      <c r="D258" s="21" t="s">
        <v>230</v>
      </c>
      <c r="E258" s="298" t="s">
        <v>602</v>
      </c>
      <c r="F258" s="298" t="s">
        <v>911</v>
      </c>
      <c r="G258" s="298" t="s">
        <v>916</v>
      </c>
      <c r="H258" s="19" t="s">
        <v>58</v>
      </c>
      <c r="I258" s="209">
        <v>12</v>
      </c>
      <c r="J258" s="25">
        <v>43160</v>
      </c>
      <c r="K258" s="25"/>
      <c r="L258" s="34" t="s">
        <v>578</v>
      </c>
      <c r="M258" s="34" t="s">
        <v>579</v>
      </c>
      <c r="N258" s="25">
        <v>43160</v>
      </c>
      <c r="O258" s="10" t="s">
        <v>1358</v>
      </c>
      <c r="Q258" s="3"/>
      <c r="S258" s="25">
        <v>43160</v>
      </c>
      <c r="T258" s="25">
        <v>43191</v>
      </c>
      <c r="U258" s="236"/>
      <c r="V258" s="3" t="s">
        <v>1211</v>
      </c>
      <c r="W258" s="25">
        <v>43271</v>
      </c>
      <c r="X258" s="25">
        <v>43263</v>
      </c>
      <c r="Y258" s="107"/>
      <c r="Z258" s="107"/>
      <c r="AA258" s="25"/>
    </row>
    <row r="259" spans="1:34" ht="18" customHeight="1">
      <c r="A259" s="139" t="s">
        <v>1016</v>
      </c>
      <c r="B259" s="21" t="s">
        <v>64</v>
      </c>
      <c r="C259" s="46" t="s">
        <v>577</v>
      </c>
      <c r="D259" s="21" t="s">
        <v>230</v>
      </c>
      <c r="E259" s="298" t="s">
        <v>602</v>
      </c>
      <c r="F259" s="298" t="s">
        <v>917</v>
      </c>
      <c r="G259" s="298" t="s">
        <v>918</v>
      </c>
      <c r="H259" s="19" t="s">
        <v>58</v>
      </c>
      <c r="I259" s="209">
        <v>12</v>
      </c>
      <c r="J259" s="25">
        <v>43160</v>
      </c>
      <c r="K259" s="25"/>
      <c r="L259" s="34" t="s">
        <v>578</v>
      </c>
      <c r="M259" s="34" t="s">
        <v>579</v>
      </c>
      <c r="N259" s="25">
        <v>43160</v>
      </c>
      <c r="O259" s="10" t="s">
        <v>1358</v>
      </c>
      <c r="Q259" s="3"/>
      <c r="S259" s="25">
        <v>43160</v>
      </c>
      <c r="T259" s="25">
        <v>43191</v>
      </c>
      <c r="U259" s="236"/>
      <c r="V259" s="3" t="s">
        <v>1211</v>
      </c>
      <c r="W259" s="25">
        <v>43271</v>
      </c>
      <c r="X259" s="25">
        <v>43263</v>
      </c>
      <c r="Y259" s="107"/>
      <c r="Z259" s="107"/>
      <c r="AA259" s="25"/>
    </row>
    <row r="260" spans="1:34" ht="18" customHeight="1">
      <c r="A260" s="139" t="s">
        <v>1017</v>
      </c>
      <c r="B260" s="21" t="s">
        <v>64</v>
      </c>
      <c r="C260" s="46" t="s">
        <v>577</v>
      </c>
      <c r="D260" s="21" t="s">
        <v>230</v>
      </c>
      <c r="E260" s="298" t="s">
        <v>602</v>
      </c>
      <c r="F260" s="298" t="s">
        <v>917</v>
      </c>
      <c r="G260" s="298" t="s">
        <v>919</v>
      </c>
      <c r="H260" s="19" t="s">
        <v>58</v>
      </c>
      <c r="I260" s="209">
        <v>12</v>
      </c>
      <c r="J260" s="25">
        <v>43160</v>
      </c>
      <c r="K260" s="25"/>
      <c r="L260" s="34" t="s">
        <v>578</v>
      </c>
      <c r="M260" s="34" t="s">
        <v>579</v>
      </c>
      <c r="N260" s="25">
        <v>43160</v>
      </c>
      <c r="O260" s="10" t="s">
        <v>1358</v>
      </c>
      <c r="Q260" s="3"/>
      <c r="S260" s="25">
        <v>43160</v>
      </c>
      <c r="T260" s="25">
        <v>43191</v>
      </c>
      <c r="U260" s="236"/>
      <c r="V260" s="3" t="s">
        <v>1211</v>
      </c>
      <c r="W260" s="25">
        <v>43271</v>
      </c>
      <c r="X260" s="25">
        <v>43263</v>
      </c>
      <c r="Y260" s="107"/>
      <c r="Z260" s="107"/>
      <c r="AA260" s="25"/>
    </row>
    <row r="261" spans="1:34" ht="18" customHeight="1">
      <c r="A261" s="139" t="s">
        <v>1018</v>
      </c>
      <c r="B261" s="21" t="s">
        <v>64</v>
      </c>
      <c r="C261" s="46" t="s">
        <v>577</v>
      </c>
      <c r="D261" s="21" t="s">
        <v>230</v>
      </c>
      <c r="E261" s="298" t="s">
        <v>602</v>
      </c>
      <c r="F261" s="298" t="s">
        <v>917</v>
      </c>
      <c r="G261" s="298" t="s">
        <v>920</v>
      </c>
      <c r="H261" s="19" t="s">
        <v>58</v>
      </c>
      <c r="I261" s="209">
        <v>12</v>
      </c>
      <c r="J261" s="25">
        <v>43160</v>
      </c>
      <c r="K261" s="25"/>
      <c r="L261" s="34" t="s">
        <v>578</v>
      </c>
      <c r="M261" s="34" t="s">
        <v>579</v>
      </c>
      <c r="N261" s="25">
        <v>43160</v>
      </c>
      <c r="O261" s="10" t="s">
        <v>1358</v>
      </c>
      <c r="Q261" s="3"/>
      <c r="S261" s="25">
        <v>43160</v>
      </c>
      <c r="T261" s="25">
        <v>43191</v>
      </c>
      <c r="U261" s="236"/>
      <c r="V261" s="3" t="s">
        <v>1211</v>
      </c>
      <c r="W261" s="25">
        <v>43271</v>
      </c>
      <c r="X261" s="25">
        <v>43263</v>
      </c>
      <c r="Y261" s="107"/>
      <c r="Z261" s="107"/>
      <c r="AA261" s="25"/>
    </row>
    <row r="262" spans="1:34" ht="18" customHeight="1">
      <c r="A262" s="139" t="s">
        <v>1019</v>
      </c>
      <c r="B262" s="21" t="s">
        <v>64</v>
      </c>
      <c r="C262" s="46" t="s">
        <v>577</v>
      </c>
      <c r="D262" s="21" t="s">
        <v>230</v>
      </c>
      <c r="E262" s="298" t="s">
        <v>602</v>
      </c>
      <c r="F262" s="298" t="s">
        <v>917</v>
      </c>
      <c r="G262" s="298" t="s">
        <v>921</v>
      </c>
      <c r="H262" s="19" t="s">
        <v>58</v>
      </c>
      <c r="I262" s="209">
        <v>12</v>
      </c>
      <c r="J262" s="25">
        <v>43160</v>
      </c>
      <c r="K262" s="25"/>
      <c r="L262" s="34" t="s">
        <v>578</v>
      </c>
      <c r="M262" s="34" t="s">
        <v>579</v>
      </c>
      <c r="N262" s="25">
        <v>43160</v>
      </c>
      <c r="O262" s="10" t="s">
        <v>1358</v>
      </c>
      <c r="Q262" s="3"/>
      <c r="S262" s="25">
        <v>43160</v>
      </c>
      <c r="T262" s="25">
        <v>43191</v>
      </c>
      <c r="U262" s="236"/>
      <c r="V262" s="3" t="s">
        <v>1211</v>
      </c>
      <c r="W262" s="25">
        <v>43271</v>
      </c>
      <c r="X262" s="25">
        <v>43263</v>
      </c>
      <c r="Y262" s="107"/>
      <c r="Z262" s="107"/>
      <c r="AA262" s="25"/>
    </row>
    <row r="263" spans="1:34" ht="18" customHeight="1">
      <c r="A263" s="139" t="s">
        <v>1020</v>
      </c>
      <c r="B263" s="21" t="s">
        <v>64</v>
      </c>
      <c r="C263" s="46" t="s">
        <v>577</v>
      </c>
      <c r="D263" s="21" t="s">
        <v>230</v>
      </c>
      <c r="E263" s="298" t="s">
        <v>602</v>
      </c>
      <c r="F263" s="298" t="s">
        <v>917</v>
      </c>
      <c r="G263" s="298" t="s">
        <v>922</v>
      </c>
      <c r="H263" s="19" t="s">
        <v>58</v>
      </c>
      <c r="I263" s="209">
        <v>12</v>
      </c>
      <c r="J263" s="25">
        <v>43160</v>
      </c>
      <c r="K263" s="25"/>
      <c r="L263" s="34" t="s">
        <v>578</v>
      </c>
      <c r="M263" s="34" t="s">
        <v>579</v>
      </c>
      <c r="N263" s="25">
        <v>43160</v>
      </c>
      <c r="O263" s="10" t="s">
        <v>1358</v>
      </c>
      <c r="Q263" s="3"/>
      <c r="S263" s="25">
        <v>43160</v>
      </c>
      <c r="T263" s="25">
        <v>43191</v>
      </c>
      <c r="U263" s="236"/>
      <c r="V263" s="3" t="s">
        <v>1211</v>
      </c>
      <c r="W263" s="25">
        <v>43271</v>
      </c>
      <c r="X263" s="25">
        <v>43263</v>
      </c>
      <c r="Y263" s="107"/>
      <c r="Z263" s="107"/>
      <c r="AA263" s="25"/>
      <c r="AB263" s="10"/>
    </row>
    <row r="264" spans="1:34" ht="18" customHeight="1">
      <c r="A264" s="139" t="s">
        <v>1021</v>
      </c>
      <c r="B264" s="21" t="s">
        <v>64</v>
      </c>
      <c r="C264" s="46" t="s">
        <v>577</v>
      </c>
      <c r="D264" s="21" t="s">
        <v>895</v>
      </c>
      <c r="E264" s="298" t="s">
        <v>602</v>
      </c>
      <c r="F264" s="298" t="s">
        <v>917</v>
      </c>
      <c r="G264" s="298" t="s">
        <v>923</v>
      </c>
      <c r="H264" s="19" t="s">
        <v>58</v>
      </c>
      <c r="I264" s="209">
        <v>12</v>
      </c>
      <c r="J264" s="25">
        <v>43160</v>
      </c>
      <c r="K264" s="25"/>
      <c r="L264" s="34" t="s">
        <v>578</v>
      </c>
      <c r="M264" s="34" t="s">
        <v>579</v>
      </c>
      <c r="N264" s="25">
        <v>43160</v>
      </c>
      <c r="O264" s="10" t="s">
        <v>1358</v>
      </c>
      <c r="Q264" s="3"/>
      <c r="S264" s="25">
        <v>43160</v>
      </c>
      <c r="T264" s="25">
        <v>43191</v>
      </c>
      <c r="U264" s="236"/>
      <c r="V264" s="3" t="s">
        <v>1211</v>
      </c>
      <c r="W264" s="25">
        <v>43271</v>
      </c>
      <c r="X264" s="25">
        <v>43263</v>
      </c>
      <c r="Y264" s="107"/>
      <c r="Z264" s="107"/>
      <c r="AA264" s="25"/>
    </row>
    <row r="265" spans="1:34" ht="18" customHeight="1">
      <c r="A265" s="139" t="s">
        <v>1022</v>
      </c>
      <c r="B265" s="21" t="s">
        <v>64</v>
      </c>
      <c r="C265" s="46" t="s">
        <v>577</v>
      </c>
      <c r="D265" s="21" t="s">
        <v>230</v>
      </c>
      <c r="E265" s="298" t="s">
        <v>602</v>
      </c>
      <c r="F265" s="298" t="s">
        <v>917</v>
      </c>
      <c r="G265" s="298" t="s">
        <v>924</v>
      </c>
      <c r="H265" s="19" t="s">
        <v>58</v>
      </c>
      <c r="I265" s="209">
        <v>12</v>
      </c>
      <c r="J265" s="25">
        <v>43160</v>
      </c>
      <c r="K265" s="25"/>
      <c r="L265" s="34" t="s">
        <v>578</v>
      </c>
      <c r="M265" s="34" t="s">
        <v>579</v>
      </c>
      <c r="N265" s="25">
        <v>43160</v>
      </c>
      <c r="O265" s="10" t="s">
        <v>1358</v>
      </c>
      <c r="Q265" s="3"/>
      <c r="S265" s="25">
        <v>43160</v>
      </c>
      <c r="T265" s="25">
        <v>43191</v>
      </c>
      <c r="U265" s="236"/>
      <c r="V265" s="3" t="s">
        <v>1211</v>
      </c>
      <c r="W265" s="25">
        <v>43271</v>
      </c>
      <c r="X265" s="25">
        <v>43263</v>
      </c>
      <c r="Y265" s="107"/>
      <c r="Z265" s="107"/>
      <c r="AA265" s="25"/>
      <c r="AB265" s="10"/>
    </row>
    <row r="266" spans="1:34" ht="18" customHeight="1">
      <c r="A266" s="139" t="s">
        <v>1023</v>
      </c>
      <c r="B266" s="21" t="s">
        <v>64</v>
      </c>
      <c r="C266" s="46" t="s">
        <v>577</v>
      </c>
      <c r="D266" s="21" t="s">
        <v>230</v>
      </c>
      <c r="E266" s="298" t="s">
        <v>602</v>
      </c>
      <c r="F266" s="298" t="s">
        <v>925</v>
      </c>
      <c r="G266" s="298" t="s">
        <v>926</v>
      </c>
      <c r="H266" s="19" t="s">
        <v>58</v>
      </c>
      <c r="I266" s="209">
        <v>12</v>
      </c>
      <c r="J266" s="25">
        <v>43160</v>
      </c>
      <c r="K266" s="25"/>
      <c r="L266" s="34" t="s">
        <v>578</v>
      </c>
      <c r="M266" s="34" t="s">
        <v>579</v>
      </c>
      <c r="N266" s="25">
        <v>43160</v>
      </c>
      <c r="O266" s="10" t="s">
        <v>1358</v>
      </c>
      <c r="Q266" s="3"/>
      <c r="S266" s="25">
        <v>43160</v>
      </c>
      <c r="T266" s="25">
        <v>43191</v>
      </c>
      <c r="U266" s="236"/>
      <c r="V266" s="3" t="s">
        <v>1211</v>
      </c>
      <c r="W266" s="25">
        <v>43271</v>
      </c>
      <c r="X266" s="25">
        <v>43263</v>
      </c>
      <c r="Y266" s="107"/>
      <c r="Z266" s="107"/>
      <c r="AA266" s="25"/>
      <c r="AH266" s="6"/>
    </row>
    <row r="267" spans="1:34" ht="18" customHeight="1">
      <c r="A267" s="139" t="s">
        <v>1024</v>
      </c>
      <c r="B267" s="21" t="s">
        <v>64</v>
      </c>
      <c r="C267" s="46" t="s">
        <v>577</v>
      </c>
      <c r="D267" s="21" t="s">
        <v>895</v>
      </c>
      <c r="E267" s="298" t="s">
        <v>602</v>
      </c>
      <c r="F267" s="298" t="s">
        <v>925</v>
      </c>
      <c r="G267" s="298" t="s">
        <v>927</v>
      </c>
      <c r="H267" s="19" t="s">
        <v>58</v>
      </c>
      <c r="I267" s="209">
        <v>12</v>
      </c>
      <c r="J267" s="25">
        <v>43160</v>
      </c>
      <c r="K267" s="25"/>
      <c r="L267" s="34" t="s">
        <v>578</v>
      </c>
      <c r="M267" s="34" t="s">
        <v>579</v>
      </c>
      <c r="N267" s="25">
        <v>43160</v>
      </c>
      <c r="O267" s="10" t="s">
        <v>1358</v>
      </c>
      <c r="Q267" s="3"/>
      <c r="S267" s="25">
        <v>43160</v>
      </c>
      <c r="T267" s="25">
        <v>43191</v>
      </c>
      <c r="U267" s="236"/>
      <c r="V267" s="3" t="s">
        <v>1211</v>
      </c>
      <c r="W267" s="25">
        <v>43271</v>
      </c>
      <c r="X267" s="25">
        <v>43263</v>
      </c>
      <c r="Y267" s="107"/>
      <c r="Z267" s="107"/>
      <c r="AA267" s="25"/>
      <c r="AH267" s="6"/>
    </row>
    <row r="268" spans="1:34" ht="18" customHeight="1">
      <c r="A268" s="139" t="s">
        <v>1025</v>
      </c>
      <c r="B268" s="21" t="s">
        <v>64</v>
      </c>
      <c r="C268" s="46" t="s">
        <v>577</v>
      </c>
      <c r="D268" s="21" t="s">
        <v>882</v>
      </c>
      <c r="E268" s="298" t="s">
        <v>602</v>
      </c>
      <c r="F268" s="298" t="s">
        <v>925</v>
      </c>
      <c r="G268" s="298" t="s">
        <v>928</v>
      </c>
      <c r="H268" s="19" t="s">
        <v>58</v>
      </c>
      <c r="I268" s="209">
        <v>12</v>
      </c>
      <c r="J268" s="25">
        <v>43160</v>
      </c>
      <c r="K268" s="25"/>
      <c r="L268" s="34" t="s">
        <v>578</v>
      </c>
      <c r="M268" s="34" t="s">
        <v>579</v>
      </c>
      <c r="N268" s="25">
        <v>43160</v>
      </c>
      <c r="O268" s="10" t="s">
        <v>1358</v>
      </c>
      <c r="Q268" s="3"/>
      <c r="S268" s="25">
        <v>43160</v>
      </c>
      <c r="T268" s="25">
        <v>43191</v>
      </c>
      <c r="U268" s="236"/>
      <c r="V268" s="3" t="s">
        <v>1211</v>
      </c>
      <c r="W268" s="25">
        <v>43271</v>
      </c>
      <c r="X268" s="25">
        <v>43263</v>
      </c>
      <c r="Y268" s="107"/>
      <c r="Z268" s="107"/>
      <c r="AA268" s="25"/>
      <c r="AH268" s="6"/>
    </row>
    <row r="269" spans="1:34" ht="18" customHeight="1">
      <c r="A269" s="139" t="s">
        <v>1026</v>
      </c>
      <c r="B269" s="21" t="s">
        <v>64</v>
      </c>
      <c r="C269" s="46" t="s">
        <v>577</v>
      </c>
      <c r="D269" s="21" t="s">
        <v>879</v>
      </c>
      <c r="E269" s="298" t="s">
        <v>602</v>
      </c>
      <c r="F269" s="298" t="s">
        <v>925</v>
      </c>
      <c r="G269" s="298" t="s">
        <v>929</v>
      </c>
      <c r="H269" s="19" t="s">
        <v>58</v>
      </c>
      <c r="I269" s="209">
        <v>12</v>
      </c>
      <c r="J269" s="25">
        <v>43160</v>
      </c>
      <c r="K269" s="25"/>
      <c r="L269" s="34" t="s">
        <v>578</v>
      </c>
      <c r="M269" s="34" t="s">
        <v>579</v>
      </c>
      <c r="N269" s="25">
        <v>43160</v>
      </c>
      <c r="O269" s="10" t="s">
        <v>1358</v>
      </c>
      <c r="Q269" s="3"/>
      <c r="S269" s="25">
        <v>43160</v>
      </c>
      <c r="T269" s="25">
        <v>43191</v>
      </c>
      <c r="U269" s="236"/>
      <c r="V269" s="3" t="s">
        <v>1211</v>
      </c>
      <c r="W269" s="25">
        <v>43271</v>
      </c>
      <c r="X269" s="25">
        <v>43263</v>
      </c>
      <c r="Y269" s="107"/>
      <c r="Z269" s="107"/>
      <c r="AA269" s="25"/>
      <c r="AH269" s="6"/>
    </row>
    <row r="270" spans="1:34" ht="18" customHeight="1">
      <c r="A270" s="139" t="s">
        <v>1027</v>
      </c>
      <c r="B270" s="21" t="s">
        <v>64</v>
      </c>
      <c r="C270" s="46" t="s">
        <v>577</v>
      </c>
      <c r="D270" s="21" t="s">
        <v>876</v>
      </c>
      <c r="E270" s="198" t="s">
        <v>602</v>
      </c>
      <c r="F270" s="198" t="s">
        <v>930</v>
      </c>
      <c r="G270" s="198" t="s">
        <v>885</v>
      </c>
      <c r="H270" s="19" t="s">
        <v>58</v>
      </c>
      <c r="I270" s="209">
        <v>12</v>
      </c>
      <c r="J270" s="25">
        <v>43160</v>
      </c>
      <c r="K270" s="25"/>
      <c r="L270" s="34" t="s">
        <v>578</v>
      </c>
      <c r="M270" s="34" t="s">
        <v>579</v>
      </c>
      <c r="N270" s="25">
        <v>43160</v>
      </c>
      <c r="O270" s="10" t="s">
        <v>1358</v>
      </c>
      <c r="Q270" s="3"/>
      <c r="S270" s="25">
        <v>43160</v>
      </c>
      <c r="T270" s="25">
        <v>43191</v>
      </c>
      <c r="U270" s="236"/>
      <c r="V270" s="3" t="s">
        <v>1211</v>
      </c>
      <c r="W270" s="25">
        <v>43271</v>
      </c>
      <c r="X270" s="25">
        <v>43263</v>
      </c>
      <c r="Y270" s="107"/>
      <c r="Z270" s="107"/>
      <c r="AA270" s="25"/>
      <c r="AH270" s="6"/>
    </row>
    <row r="271" spans="1:34" ht="18" customHeight="1">
      <c r="A271" s="139" t="s">
        <v>1028</v>
      </c>
      <c r="B271" s="21" t="s">
        <v>64</v>
      </c>
      <c r="C271" s="46" t="s">
        <v>577</v>
      </c>
      <c r="D271" s="21" t="s">
        <v>879</v>
      </c>
      <c r="E271" s="198" t="s">
        <v>602</v>
      </c>
      <c r="F271" s="198" t="s">
        <v>930</v>
      </c>
      <c r="G271" s="198" t="s">
        <v>886</v>
      </c>
      <c r="H271" s="19" t="s">
        <v>58</v>
      </c>
      <c r="I271" s="209">
        <v>12</v>
      </c>
      <c r="J271" s="25">
        <v>43160</v>
      </c>
      <c r="K271" s="25"/>
      <c r="L271" s="34" t="s">
        <v>578</v>
      </c>
      <c r="M271" s="34" t="s">
        <v>579</v>
      </c>
      <c r="N271" s="25">
        <v>43160</v>
      </c>
      <c r="O271" s="10" t="s">
        <v>1358</v>
      </c>
      <c r="Q271" s="3"/>
      <c r="S271" s="25">
        <v>43160</v>
      </c>
      <c r="T271" s="25">
        <v>43191</v>
      </c>
      <c r="U271" s="236"/>
      <c r="V271" s="3" t="s">
        <v>1211</v>
      </c>
      <c r="W271" s="25">
        <v>43271</v>
      </c>
      <c r="X271" s="25">
        <v>43263</v>
      </c>
      <c r="Y271" s="107"/>
      <c r="Z271" s="107"/>
      <c r="AA271" s="25"/>
      <c r="AH271" s="6"/>
    </row>
    <row r="272" spans="1:34" ht="18" customHeight="1">
      <c r="A272" s="139" t="s">
        <v>1029</v>
      </c>
      <c r="B272" s="21" t="s">
        <v>64</v>
      </c>
      <c r="C272" s="46" t="s">
        <v>577</v>
      </c>
      <c r="D272" s="21" t="s">
        <v>895</v>
      </c>
      <c r="E272" s="198" t="s">
        <v>602</v>
      </c>
      <c r="F272" s="198" t="s">
        <v>930</v>
      </c>
      <c r="G272" s="198" t="s">
        <v>902</v>
      </c>
      <c r="H272" s="19" t="s">
        <v>58</v>
      </c>
      <c r="I272" s="209">
        <v>12</v>
      </c>
      <c r="J272" s="25">
        <v>43160</v>
      </c>
      <c r="K272" s="25"/>
      <c r="L272" s="34" t="s">
        <v>578</v>
      </c>
      <c r="M272" s="34" t="s">
        <v>579</v>
      </c>
      <c r="N272" s="25">
        <v>43160</v>
      </c>
      <c r="O272" s="10" t="s">
        <v>1358</v>
      </c>
      <c r="Q272" s="3"/>
      <c r="S272" s="25">
        <v>43160</v>
      </c>
      <c r="T272" s="25">
        <v>43191</v>
      </c>
      <c r="U272" s="236"/>
      <c r="V272" s="3" t="s">
        <v>1211</v>
      </c>
      <c r="W272" s="25">
        <v>43271</v>
      </c>
      <c r="X272" s="25">
        <v>43263</v>
      </c>
      <c r="Y272" s="107"/>
      <c r="Z272" s="107"/>
      <c r="AA272" s="25"/>
      <c r="AH272" s="6"/>
    </row>
    <row r="273" spans="1:34" ht="18" customHeight="1">
      <c r="A273" s="139" t="s">
        <v>1030</v>
      </c>
      <c r="B273" s="21" t="s">
        <v>64</v>
      </c>
      <c r="C273" s="46" t="s">
        <v>577</v>
      </c>
      <c r="D273" s="21" t="s">
        <v>230</v>
      </c>
      <c r="E273" s="198" t="s">
        <v>602</v>
      </c>
      <c r="F273" s="198" t="s">
        <v>930</v>
      </c>
      <c r="G273" s="198" t="s">
        <v>904</v>
      </c>
      <c r="H273" s="19" t="s">
        <v>58</v>
      </c>
      <c r="I273" s="209">
        <v>12</v>
      </c>
      <c r="J273" s="25">
        <v>43160</v>
      </c>
      <c r="K273" s="25"/>
      <c r="L273" s="34" t="s">
        <v>578</v>
      </c>
      <c r="M273" s="34" t="s">
        <v>579</v>
      </c>
      <c r="N273" s="25">
        <v>43160</v>
      </c>
      <c r="O273" s="10" t="s">
        <v>1358</v>
      </c>
      <c r="Q273" s="3"/>
      <c r="S273" s="25">
        <v>43160</v>
      </c>
      <c r="T273" s="25">
        <v>43191</v>
      </c>
      <c r="U273" s="236"/>
      <c r="V273" s="3" t="s">
        <v>1211</v>
      </c>
      <c r="W273" s="25">
        <v>43271</v>
      </c>
      <c r="X273" s="25">
        <v>43263</v>
      </c>
      <c r="Y273" s="107"/>
      <c r="Z273" s="107"/>
      <c r="AA273" s="25"/>
      <c r="AH273" s="6"/>
    </row>
    <row r="274" spans="1:34" ht="18" customHeight="1">
      <c r="A274" s="139" t="s">
        <v>1031</v>
      </c>
      <c r="B274" s="21" t="s">
        <v>64</v>
      </c>
      <c r="C274" s="46" t="s">
        <v>577</v>
      </c>
      <c r="D274" s="21" t="s">
        <v>230</v>
      </c>
      <c r="E274" s="198" t="s">
        <v>602</v>
      </c>
      <c r="F274" s="198" t="s">
        <v>930</v>
      </c>
      <c r="G274" s="198" t="s">
        <v>887</v>
      </c>
      <c r="H274" s="19" t="s">
        <v>58</v>
      </c>
      <c r="I274" s="209">
        <v>12</v>
      </c>
      <c r="J274" s="25">
        <v>43160</v>
      </c>
      <c r="K274" s="25"/>
      <c r="L274" s="34" t="s">
        <v>578</v>
      </c>
      <c r="M274" s="34" t="s">
        <v>579</v>
      </c>
      <c r="N274" s="25">
        <v>43160</v>
      </c>
      <c r="O274" s="10" t="s">
        <v>1358</v>
      </c>
      <c r="Q274" s="3"/>
      <c r="S274" s="25">
        <v>43160</v>
      </c>
      <c r="T274" s="25">
        <v>43191</v>
      </c>
      <c r="U274" s="236"/>
      <c r="V274" s="3" t="s">
        <v>1211</v>
      </c>
      <c r="W274" s="25">
        <v>43271</v>
      </c>
      <c r="X274" s="25">
        <v>43263</v>
      </c>
      <c r="Y274" s="107"/>
      <c r="Z274" s="107"/>
      <c r="AA274" s="25"/>
      <c r="AH274" s="6"/>
    </row>
    <row r="275" spans="1:34" ht="18" customHeight="1">
      <c r="A275" s="139" t="s">
        <v>1032</v>
      </c>
      <c r="B275" s="21" t="s">
        <v>64</v>
      </c>
      <c r="C275" s="46" t="s">
        <v>577</v>
      </c>
      <c r="D275" s="21" t="s">
        <v>882</v>
      </c>
      <c r="E275" s="298" t="s">
        <v>602</v>
      </c>
      <c r="F275" s="298" t="s">
        <v>931</v>
      </c>
      <c r="G275" s="298" t="s">
        <v>928</v>
      </c>
      <c r="H275" s="19" t="s">
        <v>58</v>
      </c>
      <c r="I275" s="209">
        <v>12</v>
      </c>
      <c r="J275" s="25">
        <v>43160</v>
      </c>
      <c r="K275" s="25"/>
      <c r="L275" s="34" t="s">
        <v>578</v>
      </c>
      <c r="M275" s="34" t="s">
        <v>579</v>
      </c>
      <c r="N275" s="25">
        <v>43160</v>
      </c>
      <c r="O275" s="10" t="s">
        <v>1358</v>
      </c>
      <c r="Q275" s="3"/>
      <c r="S275" s="25">
        <v>43160</v>
      </c>
      <c r="T275" s="25">
        <v>43191</v>
      </c>
      <c r="U275" s="236"/>
      <c r="V275" s="3" t="s">
        <v>1211</v>
      </c>
      <c r="W275" s="25">
        <v>43271</v>
      </c>
      <c r="X275" s="25">
        <v>43263</v>
      </c>
      <c r="Y275" s="107"/>
      <c r="Z275" s="107"/>
      <c r="AA275" s="25"/>
      <c r="AH275" s="6"/>
    </row>
    <row r="276" spans="1:34" ht="18" customHeight="1">
      <c r="A276" s="139" t="s">
        <v>1033</v>
      </c>
      <c r="B276" s="21" t="s">
        <v>64</v>
      </c>
      <c r="C276" s="46" t="s">
        <v>577</v>
      </c>
      <c r="D276" s="21" t="s">
        <v>230</v>
      </c>
      <c r="E276" s="298" t="s">
        <v>602</v>
      </c>
      <c r="F276" s="298" t="s">
        <v>931</v>
      </c>
      <c r="G276" s="298" t="s">
        <v>929</v>
      </c>
      <c r="H276" s="19" t="s">
        <v>58</v>
      </c>
      <c r="I276" s="209">
        <v>12</v>
      </c>
      <c r="J276" s="25">
        <v>43160</v>
      </c>
      <c r="K276" s="25"/>
      <c r="L276" s="34" t="s">
        <v>578</v>
      </c>
      <c r="M276" s="34" t="s">
        <v>579</v>
      </c>
      <c r="N276" s="25">
        <v>43160</v>
      </c>
      <c r="O276" s="10" t="s">
        <v>1358</v>
      </c>
      <c r="Q276" s="3"/>
      <c r="S276" s="25">
        <v>43160</v>
      </c>
      <c r="T276" s="25">
        <v>43191</v>
      </c>
      <c r="U276" s="236"/>
      <c r="V276" s="3" t="s">
        <v>1211</v>
      </c>
      <c r="W276" s="25">
        <v>43271</v>
      </c>
      <c r="X276" s="25">
        <v>43263</v>
      </c>
      <c r="Y276" s="107"/>
      <c r="Z276" s="107"/>
      <c r="AA276" s="25"/>
      <c r="AH276" s="6"/>
    </row>
    <row r="277" spans="1:34" ht="18" customHeight="1">
      <c r="A277" s="139" t="s">
        <v>1034</v>
      </c>
      <c r="B277" s="21" t="s">
        <v>64</v>
      </c>
      <c r="C277" s="46" t="s">
        <v>577</v>
      </c>
      <c r="D277" s="21" t="s">
        <v>879</v>
      </c>
      <c r="E277" s="298" t="s">
        <v>602</v>
      </c>
      <c r="F277" s="298" t="s">
        <v>931</v>
      </c>
      <c r="G277" s="298" t="s">
        <v>932</v>
      </c>
      <c r="H277" s="19" t="s">
        <v>58</v>
      </c>
      <c r="I277" s="209">
        <v>12</v>
      </c>
      <c r="J277" s="25">
        <v>43160</v>
      </c>
      <c r="K277" s="25"/>
      <c r="L277" s="34" t="s">
        <v>578</v>
      </c>
      <c r="M277" s="34" t="s">
        <v>579</v>
      </c>
      <c r="N277" s="25">
        <v>43160</v>
      </c>
      <c r="O277" s="10" t="s">
        <v>1358</v>
      </c>
      <c r="Q277" s="3"/>
      <c r="S277" s="25">
        <v>43160</v>
      </c>
      <c r="T277" s="25">
        <v>43191</v>
      </c>
      <c r="U277" s="236"/>
      <c r="V277" s="3" t="s">
        <v>1211</v>
      </c>
      <c r="W277" s="25">
        <v>43271</v>
      </c>
      <c r="X277" s="25">
        <v>43263</v>
      </c>
      <c r="Y277" s="107"/>
      <c r="Z277" s="107"/>
      <c r="AA277" s="25"/>
      <c r="AH277" s="6"/>
    </row>
    <row r="278" spans="1:34" ht="18" customHeight="1">
      <c r="A278" s="139" t="s">
        <v>1035</v>
      </c>
      <c r="B278" s="21" t="s">
        <v>64</v>
      </c>
      <c r="C278" s="46" t="s">
        <v>577</v>
      </c>
      <c r="D278" s="21" t="s">
        <v>933</v>
      </c>
      <c r="E278" s="198" t="s">
        <v>602</v>
      </c>
      <c r="F278" s="198" t="s">
        <v>934</v>
      </c>
      <c r="G278" s="198" t="s">
        <v>928</v>
      </c>
      <c r="H278" s="19" t="s">
        <v>58</v>
      </c>
      <c r="I278" s="209">
        <v>12</v>
      </c>
      <c r="J278" s="25">
        <v>43160</v>
      </c>
      <c r="K278" s="25"/>
      <c r="L278" s="34" t="s">
        <v>578</v>
      </c>
      <c r="M278" s="34" t="s">
        <v>579</v>
      </c>
      <c r="N278" s="25">
        <v>43160</v>
      </c>
      <c r="O278" s="10" t="s">
        <v>1358</v>
      </c>
      <c r="Q278" s="3"/>
      <c r="S278" s="25">
        <v>43160</v>
      </c>
      <c r="T278" s="25">
        <v>43191</v>
      </c>
      <c r="U278" s="236"/>
      <c r="V278" s="3" t="s">
        <v>1211</v>
      </c>
      <c r="W278" s="25">
        <v>43271</v>
      </c>
      <c r="X278" s="25">
        <v>43263</v>
      </c>
      <c r="Y278" s="107"/>
      <c r="Z278" s="107"/>
      <c r="AA278" s="25"/>
      <c r="AH278" s="6"/>
    </row>
    <row r="279" spans="1:34" ht="18" customHeight="1">
      <c r="A279" s="139" t="s">
        <v>1036</v>
      </c>
      <c r="B279" s="21" t="s">
        <v>64</v>
      </c>
      <c r="C279" s="46" t="s">
        <v>577</v>
      </c>
      <c r="D279" s="21" t="s">
        <v>230</v>
      </c>
      <c r="E279" s="198" t="s">
        <v>602</v>
      </c>
      <c r="F279" s="198" t="s">
        <v>934</v>
      </c>
      <c r="G279" s="198" t="s">
        <v>929</v>
      </c>
      <c r="H279" s="19" t="s">
        <v>58</v>
      </c>
      <c r="I279" s="209">
        <v>12</v>
      </c>
      <c r="J279" s="25">
        <v>43160</v>
      </c>
      <c r="K279" s="25"/>
      <c r="L279" s="34" t="s">
        <v>578</v>
      </c>
      <c r="M279" s="34" t="s">
        <v>579</v>
      </c>
      <c r="N279" s="25">
        <v>43160</v>
      </c>
      <c r="O279" s="10" t="s">
        <v>1358</v>
      </c>
      <c r="Q279" s="3"/>
      <c r="S279" s="25">
        <v>43160</v>
      </c>
      <c r="T279" s="25">
        <v>43191</v>
      </c>
      <c r="U279" s="236"/>
      <c r="V279" s="3" t="s">
        <v>1211</v>
      </c>
      <c r="W279" s="25">
        <v>43271</v>
      </c>
      <c r="X279" s="25">
        <v>43263</v>
      </c>
      <c r="Y279" s="107"/>
      <c r="Z279" s="107"/>
      <c r="AA279" s="25"/>
      <c r="AH279" s="6"/>
    </row>
    <row r="280" spans="1:34" ht="18" customHeight="1">
      <c r="A280" s="139" t="s">
        <v>1037</v>
      </c>
      <c r="B280" s="21" t="s">
        <v>64</v>
      </c>
      <c r="C280" s="46" t="s">
        <v>577</v>
      </c>
      <c r="D280" s="21" t="s">
        <v>230</v>
      </c>
      <c r="E280" s="198" t="s">
        <v>602</v>
      </c>
      <c r="F280" s="198" t="s">
        <v>934</v>
      </c>
      <c r="G280" s="198" t="s">
        <v>932</v>
      </c>
      <c r="H280" s="19" t="s">
        <v>58</v>
      </c>
      <c r="I280" s="209">
        <v>12</v>
      </c>
      <c r="J280" s="25">
        <v>43160</v>
      </c>
      <c r="K280" s="25"/>
      <c r="L280" s="34" t="s">
        <v>578</v>
      </c>
      <c r="M280" s="34" t="s">
        <v>579</v>
      </c>
      <c r="N280" s="25">
        <v>43160</v>
      </c>
      <c r="O280" s="10" t="s">
        <v>1358</v>
      </c>
      <c r="Q280" s="3"/>
      <c r="S280" s="25">
        <v>43160</v>
      </c>
      <c r="T280" s="25">
        <v>43191</v>
      </c>
      <c r="U280" s="236"/>
      <c r="V280" s="3" t="s">
        <v>1211</v>
      </c>
      <c r="W280" s="25">
        <v>43271</v>
      </c>
      <c r="X280" s="25">
        <v>43263</v>
      </c>
      <c r="Y280" s="107"/>
      <c r="Z280" s="107"/>
      <c r="AA280" s="25"/>
      <c r="AH280" s="6"/>
    </row>
    <row r="281" spans="1:34" ht="18" customHeight="1">
      <c r="A281" s="139" t="s">
        <v>1038</v>
      </c>
      <c r="B281" s="21" t="s">
        <v>64</v>
      </c>
      <c r="C281" s="46" t="s">
        <v>577</v>
      </c>
      <c r="D281" s="21" t="s">
        <v>230</v>
      </c>
      <c r="E281" s="198" t="s">
        <v>602</v>
      </c>
      <c r="F281" s="198" t="s">
        <v>935</v>
      </c>
      <c r="G281" s="198" t="s">
        <v>936</v>
      </c>
      <c r="H281" s="19" t="s">
        <v>58</v>
      </c>
      <c r="I281" s="209">
        <v>12</v>
      </c>
      <c r="J281" s="25">
        <v>43160</v>
      </c>
      <c r="K281" s="25"/>
      <c r="L281" s="34" t="s">
        <v>578</v>
      </c>
      <c r="M281" s="34" t="s">
        <v>579</v>
      </c>
      <c r="N281" s="25">
        <v>43160</v>
      </c>
      <c r="O281" s="10" t="s">
        <v>1358</v>
      </c>
      <c r="Q281" s="3"/>
      <c r="S281" s="25">
        <v>43160</v>
      </c>
      <c r="T281" s="25">
        <v>43191</v>
      </c>
      <c r="U281" s="236"/>
      <c r="V281" s="3" t="s">
        <v>1211</v>
      </c>
      <c r="W281" s="25">
        <v>43271</v>
      </c>
      <c r="X281" s="25">
        <v>43263</v>
      </c>
      <c r="Y281" s="107"/>
      <c r="Z281" s="107"/>
      <c r="AA281" s="25"/>
      <c r="AD281" s="4"/>
      <c r="AE281" s="4"/>
      <c r="AH281" s="6"/>
    </row>
    <row r="282" spans="1:34" ht="18" customHeight="1">
      <c r="A282" s="139" t="s">
        <v>1039</v>
      </c>
      <c r="B282" s="21" t="s">
        <v>64</v>
      </c>
      <c r="C282" s="46" t="s">
        <v>577</v>
      </c>
      <c r="D282" s="21" t="s">
        <v>905</v>
      </c>
      <c r="E282" s="198" t="s">
        <v>602</v>
      </c>
      <c r="F282" s="198" t="s">
        <v>935</v>
      </c>
      <c r="G282" s="198" t="s">
        <v>937</v>
      </c>
      <c r="H282" s="19" t="s">
        <v>58</v>
      </c>
      <c r="I282" s="209">
        <v>12</v>
      </c>
      <c r="J282" s="25">
        <v>43160</v>
      </c>
      <c r="K282" s="25"/>
      <c r="L282" s="34" t="s">
        <v>578</v>
      </c>
      <c r="M282" s="34" t="s">
        <v>579</v>
      </c>
      <c r="N282" s="25">
        <v>43160</v>
      </c>
      <c r="O282" s="10" t="s">
        <v>1358</v>
      </c>
      <c r="Q282" s="3"/>
      <c r="S282" s="25">
        <v>43160</v>
      </c>
      <c r="T282" s="25">
        <v>43191</v>
      </c>
      <c r="U282" s="236"/>
      <c r="V282" s="3" t="s">
        <v>1211</v>
      </c>
      <c r="W282" s="25">
        <v>43271</v>
      </c>
      <c r="X282" s="25">
        <v>43263</v>
      </c>
      <c r="Y282" s="107"/>
      <c r="Z282" s="107"/>
      <c r="AA282" s="25"/>
      <c r="AH282" s="6"/>
    </row>
    <row r="283" spans="1:34" ht="18" customHeight="1">
      <c r="A283" s="139" t="s">
        <v>1040</v>
      </c>
      <c r="B283" s="21" t="s">
        <v>64</v>
      </c>
      <c r="C283" s="46" t="s">
        <v>577</v>
      </c>
      <c r="D283" s="21" t="s">
        <v>882</v>
      </c>
      <c r="E283" s="198" t="s">
        <v>602</v>
      </c>
      <c r="F283" s="198" t="s">
        <v>935</v>
      </c>
      <c r="G283" s="198" t="s">
        <v>589</v>
      </c>
      <c r="H283" s="19" t="s">
        <v>58</v>
      </c>
      <c r="I283" s="209">
        <v>12</v>
      </c>
      <c r="J283" s="25">
        <v>43160</v>
      </c>
      <c r="K283" s="25"/>
      <c r="L283" s="34" t="s">
        <v>578</v>
      </c>
      <c r="M283" s="34" t="s">
        <v>579</v>
      </c>
      <c r="N283" s="25">
        <v>43160</v>
      </c>
      <c r="O283" s="10" t="s">
        <v>1358</v>
      </c>
      <c r="Q283" s="3"/>
      <c r="S283" s="25">
        <v>43160</v>
      </c>
      <c r="T283" s="25">
        <v>43191</v>
      </c>
      <c r="U283" s="236"/>
      <c r="V283" s="3" t="s">
        <v>1211</v>
      </c>
      <c r="W283" s="25">
        <v>43271</v>
      </c>
      <c r="X283" s="25">
        <v>43263</v>
      </c>
      <c r="Y283" s="107"/>
      <c r="Z283" s="107"/>
      <c r="AA283" s="25"/>
      <c r="AH283" s="6"/>
    </row>
    <row r="284" spans="1:34" ht="18" customHeight="1">
      <c r="A284" s="139" t="s">
        <v>1041</v>
      </c>
      <c r="B284" s="21" t="s">
        <v>64</v>
      </c>
      <c r="C284" s="46" t="s">
        <v>577</v>
      </c>
      <c r="D284" s="21" t="s">
        <v>879</v>
      </c>
      <c r="E284" s="198" t="s">
        <v>602</v>
      </c>
      <c r="F284" s="198" t="s">
        <v>935</v>
      </c>
      <c r="G284" s="198" t="s">
        <v>569</v>
      </c>
      <c r="H284" s="19" t="s">
        <v>58</v>
      </c>
      <c r="I284" s="209">
        <v>12</v>
      </c>
      <c r="J284" s="25">
        <v>43160</v>
      </c>
      <c r="K284" s="25"/>
      <c r="L284" s="34" t="s">
        <v>578</v>
      </c>
      <c r="M284" s="34" t="s">
        <v>579</v>
      </c>
      <c r="N284" s="25">
        <v>43160</v>
      </c>
      <c r="O284" s="10" t="s">
        <v>1358</v>
      </c>
      <c r="Q284" s="3"/>
      <c r="S284" s="25">
        <v>43160</v>
      </c>
      <c r="T284" s="25">
        <v>43191</v>
      </c>
      <c r="U284" s="236"/>
      <c r="V284" s="3" t="s">
        <v>1211</v>
      </c>
      <c r="W284" s="25">
        <v>43271</v>
      </c>
      <c r="X284" s="25">
        <v>43263</v>
      </c>
      <c r="Y284" s="107"/>
      <c r="Z284" s="107"/>
      <c r="AA284" s="25"/>
      <c r="AH284" s="6"/>
    </row>
    <row r="285" spans="1:34" ht="18" customHeight="1">
      <c r="A285" s="139" t="s">
        <v>1042</v>
      </c>
      <c r="B285" s="21" t="s">
        <v>64</v>
      </c>
      <c r="C285" s="46" t="s">
        <v>577</v>
      </c>
      <c r="D285" s="21" t="s">
        <v>230</v>
      </c>
      <c r="E285" s="198" t="s">
        <v>602</v>
      </c>
      <c r="F285" s="198" t="s">
        <v>938</v>
      </c>
      <c r="G285" s="198" t="s">
        <v>939</v>
      </c>
      <c r="H285" s="19" t="s">
        <v>58</v>
      </c>
      <c r="I285" s="209">
        <v>12</v>
      </c>
      <c r="J285" s="25">
        <v>43160</v>
      </c>
      <c r="K285" s="25"/>
      <c r="L285" s="34" t="s">
        <v>578</v>
      </c>
      <c r="M285" s="34" t="s">
        <v>579</v>
      </c>
      <c r="N285" s="25">
        <v>43160</v>
      </c>
      <c r="O285" s="10" t="s">
        <v>1358</v>
      </c>
      <c r="Q285" s="3"/>
      <c r="S285" s="25">
        <v>43160</v>
      </c>
      <c r="T285" s="25">
        <v>43191</v>
      </c>
      <c r="U285" s="236"/>
      <c r="V285" s="3" t="s">
        <v>1211</v>
      </c>
      <c r="W285" s="25">
        <v>43271</v>
      </c>
      <c r="X285" s="25">
        <v>43263</v>
      </c>
      <c r="Y285" s="107"/>
      <c r="Z285" s="107"/>
      <c r="AA285" s="25"/>
      <c r="AH285" s="6"/>
    </row>
    <row r="286" spans="1:34" ht="18" customHeight="1">
      <c r="A286" s="139" t="s">
        <v>1043</v>
      </c>
      <c r="B286" s="21" t="s">
        <v>64</v>
      </c>
      <c r="C286" s="46" t="s">
        <v>577</v>
      </c>
      <c r="D286" s="21" t="s">
        <v>230</v>
      </c>
      <c r="E286" s="198" t="s">
        <v>602</v>
      </c>
      <c r="F286" s="198" t="s">
        <v>938</v>
      </c>
      <c r="G286" s="198" t="s">
        <v>940</v>
      </c>
      <c r="H286" s="19" t="s">
        <v>58</v>
      </c>
      <c r="I286" s="209">
        <v>12</v>
      </c>
      <c r="J286" s="25">
        <v>43160</v>
      </c>
      <c r="K286" s="25"/>
      <c r="L286" s="34" t="s">
        <v>578</v>
      </c>
      <c r="M286" s="34" t="s">
        <v>579</v>
      </c>
      <c r="N286" s="25">
        <v>43160</v>
      </c>
      <c r="O286" s="10" t="s">
        <v>1358</v>
      </c>
      <c r="Q286" s="3"/>
      <c r="S286" s="25">
        <v>43160</v>
      </c>
      <c r="T286" s="25">
        <v>43191</v>
      </c>
      <c r="U286" s="236"/>
      <c r="V286" s="3" t="s">
        <v>1211</v>
      </c>
      <c r="W286" s="25">
        <v>43271</v>
      </c>
      <c r="X286" s="25">
        <v>43263</v>
      </c>
      <c r="Y286" s="107"/>
      <c r="Z286" s="107"/>
      <c r="AA286" s="25"/>
      <c r="AH286" s="6"/>
    </row>
    <row r="287" spans="1:34" ht="18" customHeight="1">
      <c r="A287" s="139" t="s">
        <v>1044</v>
      </c>
      <c r="B287" s="21" t="s">
        <v>64</v>
      </c>
      <c r="C287" s="46" t="s">
        <v>577</v>
      </c>
      <c r="D287" s="21" t="s">
        <v>230</v>
      </c>
      <c r="E287" s="198" t="s">
        <v>602</v>
      </c>
      <c r="F287" s="198" t="s">
        <v>938</v>
      </c>
      <c r="G287" s="198" t="s">
        <v>516</v>
      </c>
      <c r="H287" s="19" t="s">
        <v>58</v>
      </c>
      <c r="I287" s="209">
        <v>12</v>
      </c>
      <c r="J287" s="25">
        <v>43160</v>
      </c>
      <c r="K287" s="25"/>
      <c r="L287" s="34" t="s">
        <v>578</v>
      </c>
      <c r="M287" s="34" t="s">
        <v>579</v>
      </c>
      <c r="N287" s="25">
        <v>43160</v>
      </c>
      <c r="O287" s="10" t="s">
        <v>1358</v>
      </c>
      <c r="Q287" s="3"/>
      <c r="S287" s="25">
        <v>43160</v>
      </c>
      <c r="T287" s="25">
        <v>43191</v>
      </c>
      <c r="U287" s="236"/>
      <c r="V287" s="3" t="s">
        <v>1211</v>
      </c>
      <c r="W287" s="25">
        <v>43271</v>
      </c>
      <c r="X287" s="25">
        <v>43263</v>
      </c>
      <c r="Y287" s="107"/>
      <c r="Z287" s="107"/>
      <c r="AA287" s="25"/>
      <c r="AH287" s="6"/>
    </row>
    <row r="288" spans="1:34" ht="18" customHeight="1">
      <c r="A288" s="139" t="s">
        <v>1045</v>
      </c>
      <c r="B288" s="21" t="s">
        <v>64</v>
      </c>
      <c r="C288" s="46" t="s">
        <v>577</v>
      </c>
      <c r="D288" s="21" t="s">
        <v>230</v>
      </c>
      <c r="E288" s="198" t="s">
        <v>602</v>
      </c>
      <c r="F288" s="198" t="s">
        <v>938</v>
      </c>
      <c r="G288" s="198" t="s">
        <v>941</v>
      </c>
      <c r="H288" s="19" t="s">
        <v>58</v>
      </c>
      <c r="I288" s="209">
        <v>12</v>
      </c>
      <c r="J288" s="25">
        <v>43160</v>
      </c>
      <c r="K288" s="25"/>
      <c r="L288" s="34" t="s">
        <v>578</v>
      </c>
      <c r="M288" s="34" t="s">
        <v>579</v>
      </c>
      <c r="N288" s="25">
        <v>43160</v>
      </c>
      <c r="O288" s="10" t="s">
        <v>1358</v>
      </c>
      <c r="Q288" s="3"/>
      <c r="S288" s="25">
        <v>43160</v>
      </c>
      <c r="T288" s="25">
        <v>43191</v>
      </c>
      <c r="U288" s="236"/>
      <c r="V288" s="3" t="s">
        <v>1211</v>
      </c>
      <c r="W288" s="25">
        <v>43271</v>
      </c>
      <c r="X288" s="25">
        <v>43263</v>
      </c>
      <c r="Y288" s="107"/>
      <c r="Z288" s="107"/>
      <c r="AA288" s="25"/>
      <c r="AH288" s="6"/>
    </row>
    <row r="289" spans="1:34" ht="18" customHeight="1">
      <c r="A289" s="139" t="s">
        <v>1046</v>
      </c>
      <c r="B289" s="21" t="s">
        <v>64</v>
      </c>
      <c r="C289" s="46" t="s">
        <v>577</v>
      </c>
      <c r="D289" s="21" t="s">
        <v>882</v>
      </c>
      <c r="E289" s="198" t="s">
        <v>602</v>
      </c>
      <c r="F289" s="198" t="s">
        <v>938</v>
      </c>
      <c r="G289" s="198" t="s">
        <v>942</v>
      </c>
      <c r="H289" s="19" t="s">
        <v>58</v>
      </c>
      <c r="I289" s="209">
        <v>12</v>
      </c>
      <c r="J289" s="25">
        <v>43160</v>
      </c>
      <c r="K289" s="25"/>
      <c r="L289" s="34" t="s">
        <v>578</v>
      </c>
      <c r="M289" s="34" t="s">
        <v>579</v>
      </c>
      <c r="N289" s="25">
        <v>43160</v>
      </c>
      <c r="O289" s="10" t="s">
        <v>1358</v>
      </c>
      <c r="Q289" s="3"/>
      <c r="S289" s="25">
        <v>43160</v>
      </c>
      <c r="T289" s="25">
        <v>43191</v>
      </c>
      <c r="U289" s="236"/>
      <c r="V289" s="3" t="s">
        <v>1211</v>
      </c>
      <c r="W289" s="25">
        <v>43271</v>
      </c>
      <c r="X289" s="25">
        <v>43263</v>
      </c>
      <c r="Y289" s="107"/>
      <c r="Z289" s="107"/>
      <c r="AA289" s="25"/>
      <c r="AH289" s="6"/>
    </row>
    <row r="290" spans="1:34" ht="18" customHeight="1">
      <c r="A290" s="139" t="s">
        <v>1047</v>
      </c>
      <c r="B290" s="21" t="s">
        <v>64</v>
      </c>
      <c r="C290" s="46" t="s">
        <v>577</v>
      </c>
      <c r="D290" s="21" t="s">
        <v>230</v>
      </c>
      <c r="E290" s="198" t="s">
        <v>587</v>
      </c>
      <c r="F290" s="198" t="s">
        <v>943</v>
      </c>
      <c r="G290" s="198" t="s">
        <v>65</v>
      </c>
      <c r="H290" s="19" t="s">
        <v>58</v>
      </c>
      <c r="I290" s="209">
        <v>12</v>
      </c>
      <c r="J290" s="25">
        <v>43160</v>
      </c>
      <c r="K290" s="25"/>
      <c r="L290" s="34" t="s">
        <v>578</v>
      </c>
      <c r="M290" s="34" t="s">
        <v>579</v>
      </c>
      <c r="N290" s="25">
        <v>43160</v>
      </c>
      <c r="O290" s="10" t="s">
        <v>1358</v>
      </c>
      <c r="Q290" s="3"/>
      <c r="S290" s="25">
        <v>43160</v>
      </c>
      <c r="T290" s="25">
        <v>43191</v>
      </c>
      <c r="U290" s="236"/>
      <c r="V290" s="3" t="s">
        <v>1211</v>
      </c>
      <c r="W290" s="25">
        <v>43271</v>
      </c>
      <c r="X290" s="25">
        <v>43263</v>
      </c>
      <c r="Y290" s="107"/>
      <c r="Z290" s="107"/>
      <c r="AA290" s="25"/>
      <c r="AH290" s="6"/>
    </row>
    <row r="291" spans="1:34" ht="18" customHeight="1">
      <c r="A291" s="139" t="s">
        <v>1048</v>
      </c>
      <c r="B291" s="21" t="s">
        <v>64</v>
      </c>
      <c r="C291" s="46" t="s">
        <v>577</v>
      </c>
      <c r="D291" s="21" t="s">
        <v>230</v>
      </c>
      <c r="E291" s="198" t="s">
        <v>944</v>
      </c>
      <c r="F291" s="198" t="s">
        <v>943</v>
      </c>
      <c r="G291" s="198" t="s">
        <v>6</v>
      </c>
      <c r="H291" s="19" t="s">
        <v>58</v>
      </c>
      <c r="I291" s="209">
        <v>12</v>
      </c>
      <c r="J291" s="25">
        <v>43160</v>
      </c>
      <c r="K291" s="25"/>
      <c r="L291" s="34" t="s">
        <v>578</v>
      </c>
      <c r="M291" s="34" t="s">
        <v>579</v>
      </c>
      <c r="N291" s="25">
        <v>43160</v>
      </c>
      <c r="O291" s="10" t="s">
        <v>1358</v>
      </c>
      <c r="Q291" s="3"/>
      <c r="S291" s="25">
        <v>43160</v>
      </c>
      <c r="T291" s="25">
        <v>43191</v>
      </c>
      <c r="U291" s="236"/>
      <c r="V291" s="3" t="s">
        <v>1211</v>
      </c>
      <c r="W291" s="25">
        <v>43271</v>
      </c>
      <c r="X291" s="25">
        <v>43263</v>
      </c>
      <c r="Y291" s="107"/>
      <c r="Z291" s="107"/>
      <c r="AA291" s="25"/>
      <c r="AH291" s="6"/>
    </row>
    <row r="292" spans="1:34" ht="18" customHeight="1">
      <c r="A292" s="139" t="s">
        <v>1049</v>
      </c>
      <c r="B292" s="21" t="s">
        <v>64</v>
      </c>
      <c r="C292" s="46" t="s">
        <v>577</v>
      </c>
      <c r="D292" s="21" t="s">
        <v>879</v>
      </c>
      <c r="E292" s="198" t="s">
        <v>945</v>
      </c>
      <c r="F292" s="198" t="s">
        <v>943</v>
      </c>
      <c r="G292" s="198" t="s">
        <v>937</v>
      </c>
      <c r="H292" s="19" t="s">
        <v>58</v>
      </c>
      <c r="I292" s="209">
        <v>12</v>
      </c>
      <c r="J292" s="25">
        <v>43160</v>
      </c>
      <c r="K292" s="25"/>
      <c r="L292" s="34" t="s">
        <v>578</v>
      </c>
      <c r="M292" s="34" t="s">
        <v>579</v>
      </c>
      <c r="N292" s="25">
        <v>43160</v>
      </c>
      <c r="O292" s="10" t="s">
        <v>1358</v>
      </c>
      <c r="Q292" s="3"/>
      <c r="S292" s="25">
        <v>43160</v>
      </c>
      <c r="T292" s="25">
        <v>43191</v>
      </c>
      <c r="U292" s="236"/>
      <c r="V292" s="3" t="s">
        <v>1211</v>
      </c>
      <c r="W292" s="25">
        <v>43271</v>
      </c>
      <c r="X292" s="25">
        <v>43263</v>
      </c>
      <c r="Y292" s="107"/>
      <c r="Z292" s="107"/>
      <c r="AA292" s="25"/>
    </row>
    <row r="293" spans="1:34" ht="18" customHeight="1">
      <c r="A293" s="139" t="s">
        <v>1050</v>
      </c>
      <c r="B293" s="21" t="s">
        <v>64</v>
      </c>
      <c r="C293" s="46" t="s">
        <v>577</v>
      </c>
      <c r="D293" s="21" t="s">
        <v>879</v>
      </c>
      <c r="E293" s="198" t="s">
        <v>945</v>
      </c>
      <c r="F293" s="198" t="s">
        <v>943</v>
      </c>
      <c r="G293" s="198" t="s">
        <v>589</v>
      </c>
      <c r="H293" s="19" t="s">
        <v>58</v>
      </c>
      <c r="I293" s="209">
        <v>12</v>
      </c>
      <c r="J293" s="25">
        <v>43160</v>
      </c>
      <c r="K293" s="25"/>
      <c r="L293" s="34" t="s">
        <v>578</v>
      </c>
      <c r="M293" s="34" t="s">
        <v>579</v>
      </c>
      <c r="N293" s="25">
        <v>43160</v>
      </c>
      <c r="O293" s="10" t="s">
        <v>1358</v>
      </c>
      <c r="Q293" s="3"/>
      <c r="S293" s="25">
        <v>43160</v>
      </c>
      <c r="T293" s="25">
        <v>43191</v>
      </c>
      <c r="U293" s="236"/>
      <c r="V293" s="3" t="s">
        <v>1211</v>
      </c>
      <c r="W293" s="25">
        <v>43271</v>
      </c>
      <c r="X293" s="25">
        <v>43263</v>
      </c>
      <c r="Y293" s="107"/>
      <c r="Z293" s="107"/>
      <c r="AA293" s="25"/>
      <c r="AD293" s="4"/>
      <c r="AE293" s="4"/>
      <c r="AH293" s="6"/>
    </row>
    <row r="294" spans="1:34" ht="18" customHeight="1">
      <c r="A294" s="139" t="s">
        <v>1051</v>
      </c>
      <c r="B294" s="21" t="s">
        <v>64</v>
      </c>
      <c r="C294" s="46" t="s">
        <v>577</v>
      </c>
      <c r="D294" s="21" t="s">
        <v>230</v>
      </c>
      <c r="E294" s="198" t="s">
        <v>587</v>
      </c>
      <c r="F294" s="198" t="s">
        <v>943</v>
      </c>
      <c r="G294" s="198" t="s">
        <v>9</v>
      </c>
      <c r="H294" s="19" t="s">
        <v>58</v>
      </c>
      <c r="I294" s="209">
        <v>12</v>
      </c>
      <c r="J294" s="25">
        <v>43160</v>
      </c>
      <c r="K294" s="25"/>
      <c r="L294" s="34" t="s">
        <v>578</v>
      </c>
      <c r="M294" s="34" t="s">
        <v>579</v>
      </c>
      <c r="N294" s="25">
        <v>43160</v>
      </c>
      <c r="O294" s="10" t="s">
        <v>1358</v>
      </c>
      <c r="Q294" s="3"/>
      <c r="S294" s="25">
        <v>43160</v>
      </c>
      <c r="T294" s="25">
        <v>43191</v>
      </c>
      <c r="U294" s="236"/>
      <c r="V294" s="3" t="s">
        <v>1211</v>
      </c>
      <c r="W294" s="25">
        <v>43271</v>
      </c>
      <c r="X294" s="25">
        <v>43263</v>
      </c>
      <c r="Y294" s="107"/>
      <c r="Z294" s="107"/>
      <c r="AA294" s="25"/>
      <c r="AH294" s="6"/>
    </row>
    <row r="295" spans="1:34" ht="18" customHeight="1">
      <c r="A295" s="139" t="s">
        <v>1052</v>
      </c>
      <c r="B295" s="21" t="s">
        <v>64</v>
      </c>
      <c r="C295" s="46" t="s">
        <v>577</v>
      </c>
      <c r="D295" s="21" t="s">
        <v>230</v>
      </c>
      <c r="E295" s="198" t="s">
        <v>587</v>
      </c>
      <c r="F295" s="198" t="s">
        <v>943</v>
      </c>
      <c r="G295" s="198" t="s">
        <v>946</v>
      </c>
      <c r="H295" s="19" t="s">
        <v>58</v>
      </c>
      <c r="I295" s="209">
        <v>12</v>
      </c>
      <c r="J295" s="25">
        <v>43160</v>
      </c>
      <c r="K295" s="25"/>
      <c r="L295" s="34" t="s">
        <v>578</v>
      </c>
      <c r="M295" s="34" t="s">
        <v>579</v>
      </c>
      <c r="N295" s="25">
        <v>43160</v>
      </c>
      <c r="O295" s="10" t="s">
        <v>1358</v>
      </c>
      <c r="Q295" s="3"/>
      <c r="S295" s="25">
        <v>43160</v>
      </c>
      <c r="T295" s="25">
        <v>43191</v>
      </c>
      <c r="U295" s="236"/>
      <c r="V295" s="3" t="s">
        <v>1211</v>
      </c>
      <c r="W295" s="25">
        <v>43271</v>
      </c>
      <c r="X295" s="25">
        <v>43263</v>
      </c>
      <c r="Y295" s="107"/>
      <c r="Z295" s="107"/>
      <c r="AA295" s="25"/>
      <c r="AH295" s="6"/>
    </row>
    <row r="296" spans="1:34" ht="18" customHeight="1">
      <c r="A296" s="139" t="s">
        <v>1053</v>
      </c>
      <c r="B296" s="21" t="s">
        <v>64</v>
      </c>
      <c r="C296" s="46" t="s">
        <v>577</v>
      </c>
      <c r="D296" s="21" t="s">
        <v>230</v>
      </c>
      <c r="E296" s="198" t="s">
        <v>619</v>
      </c>
      <c r="F296" s="198" t="s">
        <v>943</v>
      </c>
      <c r="G296" s="198" t="s">
        <v>6</v>
      </c>
      <c r="H296" s="19" t="s">
        <v>58</v>
      </c>
      <c r="I296" s="209">
        <v>12</v>
      </c>
      <c r="J296" s="25">
        <v>43160</v>
      </c>
      <c r="K296" s="25"/>
      <c r="L296" s="34" t="s">
        <v>578</v>
      </c>
      <c r="M296" s="34" t="s">
        <v>579</v>
      </c>
      <c r="N296" s="25">
        <v>43160</v>
      </c>
      <c r="O296" s="10" t="s">
        <v>1358</v>
      </c>
      <c r="Q296" s="3"/>
      <c r="S296" s="25">
        <v>43160</v>
      </c>
      <c r="T296" s="25">
        <v>43191</v>
      </c>
      <c r="U296" s="236"/>
      <c r="V296" s="3" t="s">
        <v>1211</v>
      </c>
      <c r="W296" s="25">
        <v>43271</v>
      </c>
      <c r="X296" s="25">
        <v>43263</v>
      </c>
      <c r="Y296" s="107"/>
      <c r="Z296" s="107"/>
      <c r="AA296" s="25"/>
      <c r="AH296" s="6"/>
    </row>
    <row r="297" spans="1:34" ht="18" customHeight="1">
      <c r="A297" s="139" t="s">
        <v>1054</v>
      </c>
      <c r="B297" s="21" t="s">
        <v>64</v>
      </c>
      <c r="C297" s="46" t="s">
        <v>577</v>
      </c>
      <c r="D297" s="21" t="s">
        <v>230</v>
      </c>
      <c r="E297" s="198" t="s">
        <v>619</v>
      </c>
      <c r="F297" s="198" t="s">
        <v>943</v>
      </c>
      <c r="G297" s="198" t="s">
        <v>9</v>
      </c>
      <c r="H297" s="19" t="s">
        <v>58</v>
      </c>
      <c r="I297" s="209">
        <v>12</v>
      </c>
      <c r="J297" s="25">
        <v>43160</v>
      </c>
      <c r="K297" s="25"/>
      <c r="L297" s="34" t="s">
        <v>578</v>
      </c>
      <c r="M297" s="34" t="s">
        <v>579</v>
      </c>
      <c r="N297" s="25">
        <v>43160</v>
      </c>
      <c r="O297" s="10" t="s">
        <v>1358</v>
      </c>
      <c r="Q297" s="3"/>
      <c r="S297" s="25">
        <v>43160</v>
      </c>
      <c r="T297" s="25">
        <v>43191</v>
      </c>
      <c r="U297" s="236"/>
      <c r="V297" s="3" t="s">
        <v>1211</v>
      </c>
      <c r="W297" s="25">
        <v>43271</v>
      </c>
      <c r="X297" s="25">
        <v>43263</v>
      </c>
      <c r="Y297" s="107"/>
      <c r="Z297" s="107"/>
      <c r="AA297" s="25"/>
      <c r="AH297" s="6"/>
    </row>
    <row r="298" spans="1:34" ht="18" customHeight="1">
      <c r="A298" s="139" t="s">
        <v>1055</v>
      </c>
      <c r="B298" s="21" t="s">
        <v>64</v>
      </c>
      <c r="C298" s="46" t="s">
        <v>577</v>
      </c>
      <c r="D298" s="21" t="s">
        <v>879</v>
      </c>
      <c r="E298" s="198" t="s">
        <v>587</v>
      </c>
      <c r="F298" s="198" t="s">
        <v>943</v>
      </c>
      <c r="G298" s="198" t="s">
        <v>947</v>
      </c>
      <c r="H298" s="19" t="s">
        <v>58</v>
      </c>
      <c r="I298" s="209">
        <v>12</v>
      </c>
      <c r="J298" s="25">
        <v>43160</v>
      </c>
      <c r="K298" s="25"/>
      <c r="L298" s="34" t="s">
        <v>578</v>
      </c>
      <c r="M298" s="34" t="s">
        <v>579</v>
      </c>
      <c r="N298" s="25">
        <v>43160</v>
      </c>
      <c r="O298" s="10" t="s">
        <v>1358</v>
      </c>
      <c r="Q298" s="3"/>
      <c r="S298" s="25">
        <v>43160</v>
      </c>
      <c r="T298" s="25">
        <v>43191</v>
      </c>
      <c r="U298" s="236"/>
      <c r="V298" s="3" t="s">
        <v>1211</v>
      </c>
      <c r="W298" s="25">
        <v>43271</v>
      </c>
      <c r="X298" s="25">
        <v>43263</v>
      </c>
      <c r="Y298" s="107"/>
      <c r="Z298" s="107"/>
      <c r="AA298" s="25"/>
      <c r="AH298" s="6"/>
    </row>
    <row r="299" spans="1:34" ht="18" customHeight="1">
      <c r="A299" s="139" t="s">
        <v>1056</v>
      </c>
      <c r="B299" s="21" t="s">
        <v>64</v>
      </c>
      <c r="C299" s="46" t="s">
        <v>577</v>
      </c>
      <c r="D299" s="21" t="s">
        <v>230</v>
      </c>
      <c r="E299" s="198" t="s">
        <v>945</v>
      </c>
      <c r="F299" s="198" t="s">
        <v>948</v>
      </c>
      <c r="G299" s="198" t="s">
        <v>949</v>
      </c>
      <c r="H299" s="19" t="s">
        <v>58</v>
      </c>
      <c r="I299" s="209">
        <v>12</v>
      </c>
      <c r="J299" s="25">
        <v>43160</v>
      </c>
      <c r="K299" s="25"/>
      <c r="L299" s="34" t="s">
        <v>578</v>
      </c>
      <c r="M299" s="34" t="s">
        <v>579</v>
      </c>
      <c r="N299" s="25">
        <v>43160</v>
      </c>
      <c r="O299" s="10" t="s">
        <v>1358</v>
      </c>
      <c r="Q299" s="3"/>
      <c r="S299" s="25">
        <v>43160</v>
      </c>
      <c r="T299" s="25">
        <v>43191</v>
      </c>
      <c r="U299" s="236"/>
      <c r="V299" s="3" t="s">
        <v>1211</v>
      </c>
      <c r="W299" s="25">
        <v>43271</v>
      </c>
      <c r="X299" s="25">
        <v>43263</v>
      </c>
      <c r="Y299" s="107"/>
      <c r="Z299" s="107"/>
      <c r="AA299" s="25"/>
      <c r="AH299" s="6"/>
    </row>
    <row r="300" spans="1:34" ht="18" customHeight="1">
      <c r="A300" s="139" t="s">
        <v>1057</v>
      </c>
      <c r="B300" s="21" t="s">
        <v>64</v>
      </c>
      <c r="C300" s="46" t="s">
        <v>577</v>
      </c>
      <c r="D300" s="21" t="s">
        <v>230</v>
      </c>
      <c r="E300" s="198" t="s">
        <v>602</v>
      </c>
      <c r="F300" s="198" t="s">
        <v>950</v>
      </c>
      <c r="G300" s="198" t="s">
        <v>6</v>
      </c>
      <c r="H300" s="19" t="s">
        <v>58</v>
      </c>
      <c r="I300" s="209">
        <v>12</v>
      </c>
      <c r="J300" s="25">
        <v>43160</v>
      </c>
      <c r="K300" s="25"/>
      <c r="L300" s="34" t="s">
        <v>578</v>
      </c>
      <c r="M300" s="34" t="s">
        <v>579</v>
      </c>
      <c r="N300" s="25">
        <v>43160</v>
      </c>
      <c r="O300" s="10" t="s">
        <v>1358</v>
      </c>
      <c r="Q300" s="3"/>
      <c r="S300" s="25">
        <v>43160</v>
      </c>
      <c r="T300" s="25">
        <v>43191</v>
      </c>
      <c r="U300" s="236"/>
      <c r="V300" s="3" t="s">
        <v>1211</v>
      </c>
      <c r="W300" s="25">
        <v>43271</v>
      </c>
      <c r="X300" s="25">
        <v>43263</v>
      </c>
      <c r="Y300" s="107"/>
      <c r="Z300" s="107"/>
      <c r="AA300" s="25"/>
    </row>
    <row r="301" spans="1:34" ht="18" customHeight="1">
      <c r="A301" s="139" t="s">
        <v>1058</v>
      </c>
      <c r="B301" s="21" t="s">
        <v>64</v>
      </c>
      <c r="C301" s="46" t="s">
        <v>577</v>
      </c>
      <c r="D301" s="21" t="s">
        <v>895</v>
      </c>
      <c r="E301" s="198" t="s">
        <v>602</v>
      </c>
      <c r="F301" s="198" t="s">
        <v>950</v>
      </c>
      <c r="G301" s="198" t="s">
        <v>9</v>
      </c>
      <c r="H301" s="19" t="s">
        <v>58</v>
      </c>
      <c r="I301" s="209">
        <v>12</v>
      </c>
      <c r="J301" s="25">
        <v>43160</v>
      </c>
      <c r="K301" s="25"/>
      <c r="L301" s="34" t="s">
        <v>578</v>
      </c>
      <c r="M301" s="34" t="s">
        <v>579</v>
      </c>
      <c r="N301" s="25">
        <v>43160</v>
      </c>
      <c r="O301" s="10" t="s">
        <v>1358</v>
      </c>
      <c r="Q301" s="3"/>
      <c r="S301" s="25">
        <v>43160</v>
      </c>
      <c r="T301" s="25">
        <v>43191</v>
      </c>
      <c r="U301" s="236"/>
      <c r="V301" s="3" t="s">
        <v>1211</v>
      </c>
      <c r="W301" s="25">
        <v>43271</v>
      </c>
      <c r="X301" s="25">
        <v>43263</v>
      </c>
      <c r="Y301" s="107"/>
      <c r="Z301" s="107"/>
      <c r="AA301" s="25"/>
    </row>
    <row r="302" spans="1:34" ht="18" customHeight="1">
      <c r="A302" s="139" t="s">
        <v>1059</v>
      </c>
      <c r="B302" s="21" t="s">
        <v>64</v>
      </c>
      <c r="C302" s="46" t="s">
        <v>577</v>
      </c>
      <c r="D302" s="21" t="s">
        <v>230</v>
      </c>
      <c r="E302" s="298" t="s">
        <v>602</v>
      </c>
      <c r="F302" s="298" t="s">
        <v>951</v>
      </c>
      <c r="G302" s="298" t="s">
        <v>6</v>
      </c>
      <c r="H302" s="19" t="s">
        <v>58</v>
      </c>
      <c r="I302" s="209">
        <v>12</v>
      </c>
      <c r="J302" s="25">
        <v>43160</v>
      </c>
      <c r="K302" s="25"/>
      <c r="L302" s="34" t="s">
        <v>578</v>
      </c>
      <c r="M302" s="34" t="s">
        <v>579</v>
      </c>
      <c r="N302" s="25">
        <v>43160</v>
      </c>
      <c r="O302" s="10" t="s">
        <v>1358</v>
      </c>
      <c r="Q302" s="3"/>
      <c r="S302" s="25">
        <v>43160</v>
      </c>
      <c r="T302" s="25">
        <v>43191</v>
      </c>
      <c r="U302" s="236"/>
      <c r="V302" s="3" t="s">
        <v>1211</v>
      </c>
      <c r="W302" s="25">
        <v>43271</v>
      </c>
      <c r="X302" s="25">
        <v>43263</v>
      </c>
      <c r="Y302" s="107"/>
      <c r="Z302" s="107"/>
      <c r="AA302" s="25"/>
    </row>
    <row r="303" spans="1:34" ht="18" customHeight="1">
      <c r="A303" s="139" t="s">
        <v>1060</v>
      </c>
      <c r="B303" s="21" t="s">
        <v>64</v>
      </c>
      <c r="C303" s="46" t="s">
        <v>577</v>
      </c>
      <c r="D303" s="21" t="s">
        <v>230</v>
      </c>
      <c r="E303" s="298" t="s">
        <v>602</v>
      </c>
      <c r="F303" s="298" t="s">
        <v>951</v>
      </c>
      <c r="G303" s="298" t="s">
        <v>9</v>
      </c>
      <c r="H303" s="19" t="s">
        <v>58</v>
      </c>
      <c r="I303" s="209">
        <v>12</v>
      </c>
      <c r="J303" s="25">
        <v>43160</v>
      </c>
      <c r="K303" s="25"/>
      <c r="L303" s="34" t="s">
        <v>578</v>
      </c>
      <c r="M303" s="34" t="s">
        <v>579</v>
      </c>
      <c r="N303" s="25">
        <v>43160</v>
      </c>
      <c r="O303" s="10" t="s">
        <v>1358</v>
      </c>
      <c r="Q303" s="3"/>
      <c r="S303" s="25">
        <v>43160</v>
      </c>
      <c r="T303" s="25">
        <v>43191</v>
      </c>
      <c r="U303" s="236"/>
      <c r="V303" s="3" t="s">
        <v>1211</v>
      </c>
      <c r="W303" s="25">
        <v>43271</v>
      </c>
      <c r="X303" s="25">
        <v>43263</v>
      </c>
      <c r="Y303" s="107"/>
      <c r="Z303" s="107"/>
      <c r="AA303" s="25"/>
    </row>
    <row r="304" spans="1:34" ht="18" customHeight="1">
      <c r="A304" s="139" t="s">
        <v>1061</v>
      </c>
      <c r="B304" s="21" t="s">
        <v>64</v>
      </c>
      <c r="C304" s="46" t="s">
        <v>577</v>
      </c>
      <c r="D304" s="21" t="s">
        <v>230</v>
      </c>
      <c r="E304" s="198" t="s">
        <v>602</v>
      </c>
      <c r="F304" s="198" t="s">
        <v>952</v>
      </c>
      <c r="G304" s="198" t="s">
        <v>9</v>
      </c>
      <c r="H304" s="19" t="s">
        <v>58</v>
      </c>
      <c r="I304" s="209">
        <v>12</v>
      </c>
      <c r="J304" s="25">
        <v>43160</v>
      </c>
      <c r="K304" s="25"/>
      <c r="L304" s="34" t="s">
        <v>578</v>
      </c>
      <c r="M304" s="34" t="s">
        <v>579</v>
      </c>
      <c r="N304" s="25">
        <v>43160</v>
      </c>
      <c r="O304" s="10" t="s">
        <v>1358</v>
      </c>
      <c r="Q304" s="3"/>
      <c r="S304" s="25">
        <v>43160</v>
      </c>
      <c r="T304" s="25">
        <v>43191</v>
      </c>
      <c r="U304" s="236"/>
      <c r="V304" s="3" t="s">
        <v>1211</v>
      </c>
      <c r="W304" s="25">
        <v>43271</v>
      </c>
      <c r="X304" s="25">
        <v>43263</v>
      </c>
      <c r="Y304" s="107"/>
      <c r="Z304" s="107"/>
      <c r="AA304" s="25"/>
    </row>
    <row r="305" spans="1:34" ht="18" customHeight="1">
      <c r="A305" s="139" t="s">
        <v>1062</v>
      </c>
      <c r="B305" s="21" t="s">
        <v>64</v>
      </c>
      <c r="C305" s="46" t="s">
        <v>577</v>
      </c>
      <c r="D305" s="21" t="s">
        <v>230</v>
      </c>
      <c r="E305" s="298" t="s">
        <v>953</v>
      </c>
      <c r="F305" s="298" t="s">
        <v>954</v>
      </c>
      <c r="G305" s="298" t="s">
        <v>6</v>
      </c>
      <c r="H305" s="19" t="s">
        <v>58</v>
      </c>
      <c r="I305" s="209">
        <v>12</v>
      </c>
      <c r="J305" s="25">
        <v>43160</v>
      </c>
      <c r="K305" s="25"/>
      <c r="L305" s="34" t="s">
        <v>578</v>
      </c>
      <c r="M305" s="34" t="s">
        <v>579</v>
      </c>
      <c r="N305" s="25">
        <v>43160</v>
      </c>
      <c r="O305" s="10" t="s">
        <v>1358</v>
      </c>
      <c r="Q305" s="3"/>
      <c r="S305" s="25">
        <v>43160</v>
      </c>
      <c r="T305" s="25">
        <v>43191</v>
      </c>
      <c r="U305" s="236"/>
      <c r="V305" s="3" t="s">
        <v>1211</v>
      </c>
      <c r="W305" s="25">
        <v>43271</v>
      </c>
      <c r="X305" s="25">
        <v>43263</v>
      </c>
      <c r="Y305" s="107"/>
      <c r="Z305" s="107"/>
      <c r="AA305" s="25"/>
      <c r="AH305" s="6"/>
    </row>
    <row r="306" spans="1:34" ht="18" customHeight="1">
      <c r="A306" s="139" t="s">
        <v>1063</v>
      </c>
      <c r="B306" s="21" t="s">
        <v>64</v>
      </c>
      <c r="C306" s="46" t="s">
        <v>577</v>
      </c>
      <c r="D306" s="21" t="s">
        <v>230</v>
      </c>
      <c r="E306" s="298" t="s">
        <v>953</v>
      </c>
      <c r="F306" s="298" t="s">
        <v>955</v>
      </c>
      <c r="G306" s="298" t="s">
        <v>6</v>
      </c>
      <c r="H306" s="19" t="s">
        <v>58</v>
      </c>
      <c r="I306" s="209">
        <v>12</v>
      </c>
      <c r="J306" s="25">
        <v>43160</v>
      </c>
      <c r="K306" s="25"/>
      <c r="L306" s="34" t="s">
        <v>578</v>
      </c>
      <c r="M306" s="34" t="s">
        <v>579</v>
      </c>
      <c r="N306" s="25">
        <v>43160</v>
      </c>
      <c r="O306" s="10" t="s">
        <v>1358</v>
      </c>
      <c r="Q306" s="3"/>
      <c r="S306" s="25">
        <v>43160</v>
      </c>
      <c r="T306" s="25">
        <v>43191</v>
      </c>
      <c r="U306" s="236"/>
      <c r="V306" s="3" t="s">
        <v>1211</v>
      </c>
      <c r="W306" s="25">
        <v>43271</v>
      </c>
      <c r="X306" s="25">
        <v>43263</v>
      </c>
      <c r="Y306" s="107"/>
      <c r="Z306" s="107"/>
      <c r="AA306" s="25"/>
      <c r="AH306" s="6"/>
    </row>
    <row r="307" spans="1:34" ht="18" customHeight="1">
      <c r="A307" s="139" t="s">
        <v>1064</v>
      </c>
      <c r="B307" s="21" t="s">
        <v>64</v>
      </c>
      <c r="C307" s="46" t="s">
        <v>577</v>
      </c>
      <c r="D307" s="21" t="s">
        <v>230</v>
      </c>
      <c r="E307" s="298" t="s">
        <v>956</v>
      </c>
      <c r="F307" s="298" t="s">
        <v>957</v>
      </c>
      <c r="G307" s="298" t="s">
        <v>946</v>
      </c>
      <c r="H307" s="19" t="s">
        <v>58</v>
      </c>
      <c r="I307" s="209">
        <v>12</v>
      </c>
      <c r="J307" s="25">
        <v>43160</v>
      </c>
      <c r="K307" s="25"/>
      <c r="L307" s="34" t="s">
        <v>578</v>
      </c>
      <c r="M307" s="34" t="s">
        <v>579</v>
      </c>
      <c r="N307" s="25">
        <v>43160</v>
      </c>
      <c r="O307" s="10" t="s">
        <v>1358</v>
      </c>
      <c r="Q307" s="3"/>
      <c r="S307" s="25">
        <v>43160</v>
      </c>
      <c r="T307" s="25">
        <v>43191</v>
      </c>
      <c r="U307" s="236"/>
      <c r="V307" s="3" t="s">
        <v>1211</v>
      </c>
      <c r="W307" s="25">
        <v>43271</v>
      </c>
      <c r="X307" s="25">
        <v>43263</v>
      </c>
      <c r="Y307" s="107"/>
      <c r="Z307" s="107"/>
      <c r="AA307" s="25"/>
      <c r="AH307" s="6"/>
    </row>
    <row r="308" spans="1:34" ht="18" customHeight="1">
      <c r="A308" s="139" t="s">
        <v>1065</v>
      </c>
      <c r="B308" s="21" t="s">
        <v>64</v>
      </c>
      <c r="C308" s="46" t="s">
        <v>577</v>
      </c>
      <c r="D308" s="21" t="s">
        <v>895</v>
      </c>
      <c r="E308" s="298" t="s">
        <v>945</v>
      </c>
      <c r="F308" s="298" t="s">
        <v>957</v>
      </c>
      <c r="G308" s="298" t="s">
        <v>947</v>
      </c>
      <c r="H308" s="19" t="s">
        <v>58</v>
      </c>
      <c r="I308" s="209">
        <v>12</v>
      </c>
      <c r="J308" s="25">
        <v>43160</v>
      </c>
      <c r="K308" s="25"/>
      <c r="L308" s="34" t="s">
        <v>578</v>
      </c>
      <c r="M308" s="34" t="s">
        <v>579</v>
      </c>
      <c r="N308" s="25">
        <v>43160</v>
      </c>
      <c r="O308" s="10" t="s">
        <v>1358</v>
      </c>
      <c r="Q308" s="3"/>
      <c r="S308" s="25">
        <v>43160</v>
      </c>
      <c r="T308" s="25">
        <v>43191</v>
      </c>
      <c r="U308" s="236"/>
      <c r="V308" s="3" t="s">
        <v>1211</v>
      </c>
      <c r="W308" s="25">
        <v>43271</v>
      </c>
      <c r="X308" s="25">
        <v>43263</v>
      </c>
      <c r="Y308" s="107"/>
      <c r="Z308" s="107"/>
      <c r="AA308" s="25"/>
      <c r="AH308" s="6"/>
    </row>
    <row r="309" spans="1:34" ht="18" customHeight="1">
      <c r="A309" s="139" t="s">
        <v>1066</v>
      </c>
      <c r="B309" s="21" t="s">
        <v>64</v>
      </c>
      <c r="C309" s="46" t="s">
        <v>577</v>
      </c>
      <c r="D309" s="21" t="s">
        <v>933</v>
      </c>
      <c r="E309" s="298" t="s">
        <v>602</v>
      </c>
      <c r="F309" s="298" t="s">
        <v>957</v>
      </c>
      <c r="G309" s="298" t="s">
        <v>9</v>
      </c>
      <c r="H309" s="19" t="s">
        <v>58</v>
      </c>
      <c r="I309" s="209">
        <v>12</v>
      </c>
      <c r="J309" s="25">
        <v>43160</v>
      </c>
      <c r="K309" s="25"/>
      <c r="L309" s="34" t="s">
        <v>578</v>
      </c>
      <c r="M309" s="34" t="s">
        <v>579</v>
      </c>
      <c r="N309" s="25">
        <v>43160</v>
      </c>
      <c r="O309" s="10" t="s">
        <v>1358</v>
      </c>
      <c r="Q309" s="3"/>
      <c r="S309" s="25">
        <v>43160</v>
      </c>
      <c r="T309" s="25">
        <v>43191</v>
      </c>
      <c r="U309" s="236"/>
      <c r="V309" s="3" t="s">
        <v>1211</v>
      </c>
      <c r="W309" s="25">
        <v>43271</v>
      </c>
      <c r="X309" s="25">
        <v>43263</v>
      </c>
      <c r="Y309" s="107"/>
      <c r="Z309" s="107"/>
      <c r="AA309" s="25"/>
      <c r="AH309" s="6"/>
    </row>
    <row r="310" spans="1:34" ht="18" customHeight="1">
      <c r="A310" s="139" t="s">
        <v>1067</v>
      </c>
      <c r="B310" s="21" t="s">
        <v>64</v>
      </c>
      <c r="C310" s="46" t="s">
        <v>577</v>
      </c>
      <c r="D310" s="21" t="s">
        <v>230</v>
      </c>
      <c r="E310" s="298" t="s">
        <v>956</v>
      </c>
      <c r="F310" s="298" t="s">
        <v>957</v>
      </c>
      <c r="G310" s="298" t="s">
        <v>689</v>
      </c>
      <c r="H310" s="19" t="s">
        <v>58</v>
      </c>
      <c r="I310" s="209">
        <v>12</v>
      </c>
      <c r="J310" s="25">
        <v>43160</v>
      </c>
      <c r="K310" s="25"/>
      <c r="L310" s="34" t="s">
        <v>578</v>
      </c>
      <c r="M310" s="34" t="s">
        <v>579</v>
      </c>
      <c r="N310" s="25">
        <v>43160</v>
      </c>
      <c r="O310" s="10" t="s">
        <v>1358</v>
      </c>
      <c r="Q310" s="3"/>
      <c r="S310" s="25">
        <v>43160</v>
      </c>
      <c r="T310" s="25">
        <v>43191</v>
      </c>
      <c r="U310" s="236"/>
      <c r="V310" s="3" t="s">
        <v>1211</v>
      </c>
      <c r="W310" s="25">
        <v>43271</v>
      </c>
      <c r="X310" s="25">
        <v>43263</v>
      </c>
      <c r="Y310" s="107"/>
      <c r="Z310" s="107"/>
      <c r="AA310" s="25"/>
      <c r="AH310" s="6"/>
    </row>
    <row r="311" spans="1:34" ht="18" customHeight="1">
      <c r="A311" s="139" t="s">
        <v>1068</v>
      </c>
      <c r="B311" s="21" t="s">
        <v>64</v>
      </c>
      <c r="C311" s="46" t="s">
        <v>577</v>
      </c>
      <c r="D311" s="21" t="s">
        <v>230</v>
      </c>
      <c r="E311" s="298" t="s">
        <v>945</v>
      </c>
      <c r="F311" s="298" t="s">
        <v>957</v>
      </c>
      <c r="G311" s="298" t="s">
        <v>958</v>
      </c>
      <c r="H311" s="19" t="s">
        <v>58</v>
      </c>
      <c r="I311" s="209">
        <v>12</v>
      </c>
      <c r="J311" s="25">
        <v>43160</v>
      </c>
      <c r="K311" s="25"/>
      <c r="L311" s="34" t="s">
        <v>578</v>
      </c>
      <c r="M311" s="34" t="s">
        <v>579</v>
      </c>
      <c r="N311" s="25">
        <v>43160</v>
      </c>
      <c r="O311" s="10" t="s">
        <v>1358</v>
      </c>
      <c r="Q311" s="3"/>
      <c r="S311" s="25">
        <v>43160</v>
      </c>
      <c r="T311" s="25">
        <v>43191</v>
      </c>
      <c r="U311" s="236"/>
      <c r="V311" s="3" t="s">
        <v>1211</v>
      </c>
      <c r="W311" s="25">
        <v>43271</v>
      </c>
      <c r="X311" s="25">
        <v>43263</v>
      </c>
      <c r="Y311" s="107"/>
      <c r="Z311" s="107"/>
      <c r="AA311" s="25"/>
      <c r="AH311" s="6"/>
    </row>
    <row r="312" spans="1:34" ht="18" customHeight="1">
      <c r="A312" s="139" t="s">
        <v>1069</v>
      </c>
      <c r="B312" s="21" t="s">
        <v>64</v>
      </c>
      <c r="C312" s="46" t="s">
        <v>577</v>
      </c>
      <c r="D312" s="21" t="s">
        <v>882</v>
      </c>
      <c r="E312" s="298" t="s">
        <v>587</v>
      </c>
      <c r="F312" s="298" t="s">
        <v>959</v>
      </c>
      <c r="G312" s="298" t="s">
        <v>960</v>
      </c>
      <c r="H312" s="19" t="s">
        <v>58</v>
      </c>
      <c r="I312" s="209">
        <v>12</v>
      </c>
      <c r="J312" s="25">
        <v>43160</v>
      </c>
      <c r="K312" s="25"/>
      <c r="L312" s="34" t="s">
        <v>578</v>
      </c>
      <c r="M312" s="34" t="s">
        <v>579</v>
      </c>
      <c r="N312" s="25">
        <v>43160</v>
      </c>
      <c r="O312" s="10" t="s">
        <v>1358</v>
      </c>
      <c r="Q312" s="3"/>
      <c r="S312" s="25">
        <v>43160</v>
      </c>
      <c r="T312" s="25">
        <v>43191</v>
      </c>
      <c r="U312" s="236"/>
      <c r="V312" s="3" t="s">
        <v>1211</v>
      </c>
      <c r="W312" s="25">
        <v>43271</v>
      </c>
      <c r="X312" s="25">
        <v>43263</v>
      </c>
      <c r="Y312" s="107"/>
      <c r="Z312" s="107"/>
      <c r="AA312" s="25"/>
      <c r="AH312" s="6"/>
    </row>
    <row r="313" spans="1:34" ht="18" customHeight="1">
      <c r="A313" s="139" t="s">
        <v>1070</v>
      </c>
      <c r="B313" s="21" t="s">
        <v>64</v>
      </c>
      <c r="C313" s="46" t="s">
        <v>577</v>
      </c>
      <c r="D313" s="21" t="s">
        <v>895</v>
      </c>
      <c r="E313" s="298" t="s">
        <v>602</v>
      </c>
      <c r="F313" s="298" t="s">
        <v>961</v>
      </c>
      <c r="G313" s="298" t="s">
        <v>936</v>
      </c>
      <c r="H313" s="19" t="s">
        <v>58</v>
      </c>
      <c r="I313" s="209">
        <v>12</v>
      </c>
      <c r="J313" s="25">
        <v>43160</v>
      </c>
      <c r="K313" s="25"/>
      <c r="L313" s="34" t="s">
        <v>578</v>
      </c>
      <c r="M313" s="34" t="s">
        <v>579</v>
      </c>
      <c r="N313" s="25">
        <v>43160</v>
      </c>
      <c r="O313" s="10" t="s">
        <v>1358</v>
      </c>
      <c r="Q313" s="3"/>
      <c r="S313" s="25">
        <v>43160</v>
      </c>
      <c r="T313" s="25">
        <v>43191</v>
      </c>
      <c r="U313" s="236"/>
      <c r="V313" s="3" t="s">
        <v>1211</v>
      </c>
      <c r="W313" s="25">
        <v>43271</v>
      </c>
      <c r="X313" s="25">
        <v>43263</v>
      </c>
      <c r="Y313" s="107"/>
      <c r="Z313" s="107"/>
      <c r="AA313" s="25"/>
      <c r="AH313" s="6"/>
    </row>
    <row r="314" spans="1:34" ht="18" customHeight="1">
      <c r="A314" s="139" t="s">
        <v>1071</v>
      </c>
      <c r="B314" s="21" t="s">
        <v>64</v>
      </c>
      <c r="C314" s="46" t="s">
        <v>577</v>
      </c>
      <c r="D314" s="21" t="s">
        <v>230</v>
      </c>
      <c r="E314" s="298" t="s">
        <v>602</v>
      </c>
      <c r="F314" s="298" t="s">
        <v>961</v>
      </c>
      <c r="G314" s="298" t="s">
        <v>937</v>
      </c>
      <c r="H314" s="19" t="s">
        <v>58</v>
      </c>
      <c r="I314" s="209">
        <v>12</v>
      </c>
      <c r="J314" s="25">
        <v>43160</v>
      </c>
      <c r="K314" s="25"/>
      <c r="L314" s="34" t="s">
        <v>578</v>
      </c>
      <c r="M314" s="34" t="s">
        <v>579</v>
      </c>
      <c r="N314" s="25">
        <v>43160</v>
      </c>
      <c r="O314" s="10" t="s">
        <v>1358</v>
      </c>
      <c r="Q314" s="3"/>
      <c r="S314" s="25">
        <v>43160</v>
      </c>
      <c r="T314" s="25">
        <v>43191</v>
      </c>
      <c r="U314" s="236"/>
      <c r="V314" s="3" t="s">
        <v>1211</v>
      </c>
      <c r="W314" s="25">
        <v>43271</v>
      </c>
      <c r="X314" s="25">
        <v>43263</v>
      </c>
      <c r="Y314" s="107"/>
      <c r="Z314" s="107"/>
      <c r="AA314" s="25"/>
      <c r="AH314" s="6"/>
    </row>
    <row r="315" spans="1:34" ht="18" customHeight="1">
      <c r="A315" s="139" t="s">
        <v>1072</v>
      </c>
      <c r="B315" s="21" t="s">
        <v>64</v>
      </c>
      <c r="C315" s="46" t="s">
        <v>577</v>
      </c>
      <c r="D315" s="21" t="s">
        <v>879</v>
      </c>
      <c r="E315" s="298" t="s">
        <v>602</v>
      </c>
      <c r="F315" s="298" t="s">
        <v>962</v>
      </c>
      <c r="G315" s="298" t="s">
        <v>947</v>
      </c>
      <c r="H315" s="19" t="s">
        <v>58</v>
      </c>
      <c r="I315" s="209">
        <v>12</v>
      </c>
      <c r="J315" s="25">
        <v>43160</v>
      </c>
      <c r="K315" s="25"/>
      <c r="L315" s="34" t="s">
        <v>578</v>
      </c>
      <c r="M315" s="34" t="s">
        <v>579</v>
      </c>
      <c r="N315" s="25">
        <v>43160</v>
      </c>
      <c r="O315" s="10" t="s">
        <v>1358</v>
      </c>
      <c r="Q315" s="3"/>
      <c r="S315" s="25">
        <v>43160</v>
      </c>
      <c r="T315" s="25">
        <v>43191</v>
      </c>
      <c r="U315" s="236"/>
      <c r="V315" s="3" t="s">
        <v>1211</v>
      </c>
      <c r="W315" s="25">
        <v>43271</v>
      </c>
      <c r="X315" s="25">
        <v>43263</v>
      </c>
      <c r="Y315" s="107"/>
      <c r="Z315" s="107"/>
      <c r="AA315" s="25"/>
      <c r="AH315" s="6"/>
    </row>
    <row r="316" spans="1:34" ht="18" customHeight="1">
      <c r="A316" s="139" t="s">
        <v>1073</v>
      </c>
      <c r="B316" s="21" t="s">
        <v>64</v>
      </c>
      <c r="C316" s="46" t="s">
        <v>577</v>
      </c>
      <c r="D316" s="21" t="s">
        <v>230</v>
      </c>
      <c r="E316" s="298" t="s">
        <v>602</v>
      </c>
      <c r="F316" s="298" t="s">
        <v>962</v>
      </c>
      <c r="G316" s="298" t="s">
        <v>13</v>
      </c>
      <c r="H316" s="19" t="s">
        <v>58</v>
      </c>
      <c r="I316" s="209">
        <v>12</v>
      </c>
      <c r="J316" s="25">
        <v>43160</v>
      </c>
      <c r="K316" s="25"/>
      <c r="L316" s="34" t="s">
        <v>578</v>
      </c>
      <c r="M316" s="34" t="s">
        <v>579</v>
      </c>
      <c r="N316" s="25">
        <v>43160</v>
      </c>
      <c r="O316" s="10" t="s">
        <v>1358</v>
      </c>
      <c r="Q316" s="3"/>
      <c r="S316" s="25">
        <v>43160</v>
      </c>
      <c r="T316" s="25">
        <v>43191</v>
      </c>
      <c r="U316" s="236"/>
      <c r="V316" s="3" t="s">
        <v>1211</v>
      </c>
      <c r="W316" s="25">
        <v>43271</v>
      </c>
      <c r="X316" s="25">
        <v>43263</v>
      </c>
      <c r="Y316" s="107"/>
      <c r="Z316" s="107"/>
      <c r="AA316" s="25"/>
      <c r="AH316" s="6"/>
    </row>
    <row r="317" spans="1:34" ht="18" customHeight="1">
      <c r="A317" s="139" t="s">
        <v>1074</v>
      </c>
      <c r="B317" s="21" t="s">
        <v>64</v>
      </c>
      <c r="C317" s="46" t="s">
        <v>577</v>
      </c>
      <c r="D317" s="21" t="s">
        <v>230</v>
      </c>
      <c r="E317" s="298" t="s">
        <v>602</v>
      </c>
      <c r="F317" s="298" t="s">
        <v>962</v>
      </c>
      <c r="G317" s="298" t="s">
        <v>9</v>
      </c>
      <c r="H317" s="19" t="s">
        <v>58</v>
      </c>
      <c r="I317" s="209">
        <v>12</v>
      </c>
      <c r="J317" s="25">
        <v>43160</v>
      </c>
      <c r="K317" s="25"/>
      <c r="L317" s="34" t="s">
        <v>578</v>
      </c>
      <c r="M317" s="34" t="s">
        <v>579</v>
      </c>
      <c r="N317" s="25">
        <v>43160</v>
      </c>
      <c r="O317" s="10" t="s">
        <v>1358</v>
      </c>
      <c r="Q317" s="3"/>
      <c r="S317" s="25">
        <v>43160</v>
      </c>
      <c r="T317" s="25">
        <v>43191</v>
      </c>
      <c r="U317" s="236"/>
      <c r="V317" s="3" t="s">
        <v>1211</v>
      </c>
      <c r="W317" s="25">
        <v>43271</v>
      </c>
      <c r="X317" s="25">
        <v>43263</v>
      </c>
      <c r="Y317" s="107"/>
      <c r="Z317" s="107"/>
      <c r="AA317" s="25"/>
      <c r="AH317" s="6"/>
    </row>
    <row r="318" spans="1:34" ht="18" customHeight="1">
      <c r="A318" s="139" t="s">
        <v>1075</v>
      </c>
      <c r="B318" s="21" t="s">
        <v>64</v>
      </c>
      <c r="C318" s="46" t="s">
        <v>577</v>
      </c>
      <c r="D318" s="21" t="s">
        <v>230</v>
      </c>
      <c r="E318" s="198" t="s">
        <v>602</v>
      </c>
      <c r="F318" s="198" t="s">
        <v>963</v>
      </c>
      <c r="G318" s="198" t="s">
        <v>6</v>
      </c>
      <c r="H318" s="19" t="s">
        <v>58</v>
      </c>
      <c r="I318" s="209">
        <v>12</v>
      </c>
      <c r="J318" s="25">
        <v>43160</v>
      </c>
      <c r="K318" s="25"/>
      <c r="L318" s="34" t="s">
        <v>578</v>
      </c>
      <c r="M318" s="34" t="s">
        <v>579</v>
      </c>
      <c r="N318" s="25">
        <v>43160</v>
      </c>
      <c r="O318" s="10" t="s">
        <v>1358</v>
      </c>
      <c r="Q318" s="3"/>
      <c r="S318" s="25">
        <v>43160</v>
      </c>
      <c r="T318" s="25">
        <v>43191</v>
      </c>
      <c r="U318" s="236"/>
      <c r="V318" s="3" t="s">
        <v>1211</v>
      </c>
      <c r="W318" s="25">
        <v>43271</v>
      </c>
      <c r="X318" s="25">
        <v>43263</v>
      </c>
      <c r="Y318" s="107"/>
      <c r="Z318" s="107"/>
      <c r="AA318" s="25"/>
      <c r="AH318" s="6"/>
    </row>
    <row r="319" spans="1:34" ht="18" customHeight="1">
      <c r="A319" s="139" t="s">
        <v>1076</v>
      </c>
      <c r="B319" s="21" t="s">
        <v>64</v>
      </c>
      <c r="C319" s="46" t="s">
        <v>577</v>
      </c>
      <c r="D319" s="21" t="s">
        <v>230</v>
      </c>
      <c r="E319" s="198" t="s">
        <v>602</v>
      </c>
      <c r="F319" s="198" t="s">
        <v>963</v>
      </c>
      <c r="G319" s="198" t="s">
        <v>9</v>
      </c>
      <c r="H319" s="19" t="s">
        <v>58</v>
      </c>
      <c r="I319" s="209">
        <v>12</v>
      </c>
      <c r="J319" s="25">
        <v>43160</v>
      </c>
      <c r="K319" s="25"/>
      <c r="L319" s="34" t="s">
        <v>578</v>
      </c>
      <c r="M319" s="34" t="s">
        <v>579</v>
      </c>
      <c r="N319" s="25">
        <v>43160</v>
      </c>
      <c r="O319" s="10" t="s">
        <v>1358</v>
      </c>
      <c r="Q319" s="3"/>
      <c r="S319" s="25">
        <v>43160</v>
      </c>
      <c r="T319" s="25">
        <v>43191</v>
      </c>
      <c r="U319" s="236"/>
      <c r="V319" s="3" t="s">
        <v>1211</v>
      </c>
      <c r="W319" s="25">
        <v>43271</v>
      </c>
      <c r="X319" s="25">
        <v>43263</v>
      </c>
      <c r="Y319" s="107"/>
      <c r="Z319" s="107"/>
      <c r="AA319" s="25"/>
      <c r="AH319" s="6"/>
    </row>
    <row r="320" spans="1:34" ht="18" customHeight="1">
      <c r="A320" s="139" t="s">
        <v>1077</v>
      </c>
      <c r="B320" s="21" t="s">
        <v>64</v>
      </c>
      <c r="C320" s="46" t="s">
        <v>577</v>
      </c>
      <c r="D320" s="21" t="s">
        <v>879</v>
      </c>
      <c r="E320" s="198" t="s">
        <v>602</v>
      </c>
      <c r="F320" s="198" t="s">
        <v>963</v>
      </c>
      <c r="G320" s="198" t="s">
        <v>13</v>
      </c>
      <c r="H320" s="19" t="s">
        <v>58</v>
      </c>
      <c r="I320" s="209">
        <v>12</v>
      </c>
      <c r="J320" s="25">
        <v>43160</v>
      </c>
      <c r="K320" s="25"/>
      <c r="L320" s="34" t="s">
        <v>578</v>
      </c>
      <c r="M320" s="34" t="s">
        <v>579</v>
      </c>
      <c r="N320" s="25">
        <v>43160</v>
      </c>
      <c r="O320" s="10" t="s">
        <v>1358</v>
      </c>
      <c r="Q320" s="3"/>
      <c r="S320" s="25">
        <v>43160</v>
      </c>
      <c r="T320" s="25">
        <v>43191</v>
      </c>
      <c r="U320" s="236"/>
      <c r="V320" s="3" t="s">
        <v>1211</v>
      </c>
      <c r="W320" s="25">
        <v>43271</v>
      </c>
      <c r="X320" s="25">
        <v>43263</v>
      </c>
      <c r="Y320" s="107"/>
      <c r="Z320" s="107"/>
      <c r="AA320" s="25"/>
      <c r="AH320" s="6"/>
    </row>
    <row r="321" spans="1:34" ht="18" customHeight="1">
      <c r="A321" s="139" t="s">
        <v>1078</v>
      </c>
      <c r="B321" s="21" t="s">
        <v>64</v>
      </c>
      <c r="C321" s="46" t="s">
        <v>577</v>
      </c>
      <c r="D321" s="21" t="s">
        <v>230</v>
      </c>
      <c r="E321" s="198" t="s">
        <v>602</v>
      </c>
      <c r="F321" s="198" t="s">
        <v>964</v>
      </c>
      <c r="G321" s="198" t="s">
        <v>936</v>
      </c>
      <c r="H321" s="19" t="s">
        <v>58</v>
      </c>
      <c r="I321" s="209">
        <v>12</v>
      </c>
      <c r="J321" s="25">
        <v>43160</v>
      </c>
      <c r="K321" s="25"/>
      <c r="L321" s="34" t="s">
        <v>578</v>
      </c>
      <c r="M321" s="34" t="s">
        <v>579</v>
      </c>
      <c r="N321" s="25">
        <v>43160</v>
      </c>
      <c r="O321" s="10" t="s">
        <v>1358</v>
      </c>
      <c r="Q321" s="3"/>
      <c r="S321" s="25">
        <v>43160</v>
      </c>
      <c r="T321" s="25">
        <v>43191</v>
      </c>
      <c r="U321" s="236"/>
      <c r="V321" s="3" t="s">
        <v>1211</v>
      </c>
      <c r="W321" s="25">
        <v>43271</v>
      </c>
      <c r="X321" s="25">
        <v>43263</v>
      </c>
      <c r="Y321" s="107"/>
      <c r="Z321" s="107"/>
      <c r="AA321" s="25"/>
      <c r="AH321" s="6"/>
    </row>
    <row r="322" spans="1:34" ht="18" customHeight="1">
      <c r="A322" s="139" t="s">
        <v>1079</v>
      </c>
      <c r="B322" s="21" t="s">
        <v>64</v>
      </c>
      <c r="C322" s="46" t="s">
        <v>577</v>
      </c>
      <c r="D322" s="21" t="s">
        <v>933</v>
      </c>
      <c r="E322" s="198" t="s">
        <v>602</v>
      </c>
      <c r="F322" s="198" t="s">
        <v>964</v>
      </c>
      <c r="G322" s="198" t="s">
        <v>589</v>
      </c>
      <c r="H322" s="19" t="s">
        <v>58</v>
      </c>
      <c r="I322" s="209">
        <v>12</v>
      </c>
      <c r="J322" s="25">
        <v>43160</v>
      </c>
      <c r="K322" s="25"/>
      <c r="L322" s="34" t="s">
        <v>578</v>
      </c>
      <c r="M322" s="34" t="s">
        <v>579</v>
      </c>
      <c r="N322" s="25">
        <v>43160</v>
      </c>
      <c r="O322" s="10" t="s">
        <v>1358</v>
      </c>
      <c r="Q322" s="3"/>
      <c r="S322" s="25">
        <v>43160</v>
      </c>
      <c r="T322" s="25">
        <v>43191</v>
      </c>
      <c r="U322" s="236"/>
      <c r="V322" s="3" t="s">
        <v>1211</v>
      </c>
      <c r="W322" s="25">
        <v>43271</v>
      </c>
      <c r="X322" s="25">
        <v>43263</v>
      </c>
      <c r="Y322" s="107"/>
      <c r="Z322" s="107"/>
      <c r="AA322" s="25"/>
      <c r="AD322" s="4"/>
      <c r="AE322" s="4"/>
      <c r="AH322" s="6"/>
    </row>
    <row r="323" spans="1:34" ht="18" customHeight="1">
      <c r="A323" s="139" t="s">
        <v>1080</v>
      </c>
      <c r="B323" s="21" t="s">
        <v>64</v>
      </c>
      <c r="C323" s="46" t="s">
        <v>577</v>
      </c>
      <c r="D323" s="21" t="s">
        <v>230</v>
      </c>
      <c r="E323" s="198" t="s">
        <v>602</v>
      </c>
      <c r="F323" s="198" t="s">
        <v>964</v>
      </c>
      <c r="G323" s="198" t="s">
        <v>569</v>
      </c>
      <c r="H323" s="19" t="s">
        <v>58</v>
      </c>
      <c r="I323" s="209">
        <v>12</v>
      </c>
      <c r="J323" s="25">
        <v>43160</v>
      </c>
      <c r="K323" s="25"/>
      <c r="L323" s="34" t="s">
        <v>578</v>
      </c>
      <c r="M323" s="34" t="s">
        <v>579</v>
      </c>
      <c r="N323" s="25">
        <v>43160</v>
      </c>
      <c r="O323" s="10" t="s">
        <v>1358</v>
      </c>
      <c r="Q323" s="3"/>
      <c r="S323" s="25">
        <v>43160</v>
      </c>
      <c r="T323" s="25">
        <v>43191</v>
      </c>
      <c r="U323" s="236"/>
      <c r="V323" s="3" t="s">
        <v>1211</v>
      </c>
      <c r="W323" s="25">
        <v>43271</v>
      </c>
      <c r="X323" s="25">
        <v>43263</v>
      </c>
      <c r="Y323" s="107"/>
      <c r="Z323" s="107"/>
      <c r="AA323" s="25"/>
      <c r="AH323" s="6"/>
    </row>
    <row r="324" spans="1:34" ht="18" customHeight="1">
      <c r="A324" s="139" t="s">
        <v>1081</v>
      </c>
      <c r="B324" s="21" t="s">
        <v>64</v>
      </c>
      <c r="C324" s="46" t="s">
        <v>577</v>
      </c>
      <c r="D324" s="21" t="s">
        <v>879</v>
      </c>
      <c r="E324" s="198" t="s">
        <v>602</v>
      </c>
      <c r="F324" s="198" t="s">
        <v>964</v>
      </c>
      <c r="G324" s="198" t="s">
        <v>575</v>
      </c>
      <c r="H324" s="19" t="s">
        <v>58</v>
      </c>
      <c r="I324" s="209">
        <v>12</v>
      </c>
      <c r="J324" s="25">
        <v>43160</v>
      </c>
      <c r="K324" s="25"/>
      <c r="L324" s="34" t="s">
        <v>578</v>
      </c>
      <c r="M324" s="34" t="s">
        <v>579</v>
      </c>
      <c r="N324" s="25">
        <v>43160</v>
      </c>
      <c r="O324" s="10" t="s">
        <v>1358</v>
      </c>
      <c r="Q324" s="3"/>
      <c r="S324" s="25">
        <v>43160</v>
      </c>
      <c r="T324" s="25">
        <v>43191</v>
      </c>
      <c r="U324" s="236"/>
      <c r="V324" s="3" t="s">
        <v>1211</v>
      </c>
      <c r="W324" s="25">
        <v>43271</v>
      </c>
      <c r="X324" s="25">
        <v>43263</v>
      </c>
      <c r="Y324" s="107"/>
      <c r="Z324" s="107"/>
      <c r="AA324" s="25"/>
      <c r="AH324" s="6"/>
    </row>
    <row r="325" spans="1:34" ht="18" customHeight="1">
      <c r="A325" s="139" t="s">
        <v>1082</v>
      </c>
      <c r="B325" s="21" t="s">
        <v>64</v>
      </c>
      <c r="C325" s="46" t="s">
        <v>577</v>
      </c>
      <c r="D325" s="21" t="s">
        <v>933</v>
      </c>
      <c r="E325" s="198" t="s">
        <v>602</v>
      </c>
      <c r="F325" s="198" t="s">
        <v>964</v>
      </c>
      <c r="G325" s="198" t="s">
        <v>965</v>
      </c>
      <c r="H325" s="19" t="s">
        <v>58</v>
      </c>
      <c r="I325" s="209">
        <v>12</v>
      </c>
      <c r="J325" s="25">
        <v>43160</v>
      </c>
      <c r="K325" s="25"/>
      <c r="L325" s="34" t="s">
        <v>578</v>
      </c>
      <c r="M325" s="34" t="s">
        <v>579</v>
      </c>
      <c r="N325" s="25">
        <v>43160</v>
      </c>
      <c r="O325" s="10" t="s">
        <v>1358</v>
      </c>
      <c r="Q325" s="3"/>
      <c r="S325" s="25">
        <v>43160</v>
      </c>
      <c r="T325" s="25">
        <v>43191</v>
      </c>
      <c r="U325" s="236"/>
      <c r="V325" s="3" t="s">
        <v>1211</v>
      </c>
      <c r="W325" s="25">
        <v>43271</v>
      </c>
      <c r="X325" s="25">
        <v>43263</v>
      </c>
      <c r="Y325" s="107"/>
      <c r="Z325" s="107"/>
      <c r="AA325" s="25"/>
      <c r="AH325" s="6"/>
    </row>
    <row r="326" spans="1:34" ht="18" customHeight="1">
      <c r="A326" s="139" t="s">
        <v>1083</v>
      </c>
      <c r="B326" s="21" t="s">
        <v>64</v>
      </c>
      <c r="C326" s="46" t="s">
        <v>577</v>
      </c>
      <c r="D326" s="21" t="s">
        <v>882</v>
      </c>
      <c r="E326" s="198" t="s">
        <v>602</v>
      </c>
      <c r="F326" s="198" t="s">
        <v>966</v>
      </c>
      <c r="G326" s="198" t="s">
        <v>689</v>
      </c>
      <c r="H326" s="19" t="s">
        <v>58</v>
      </c>
      <c r="I326" s="209">
        <v>12</v>
      </c>
      <c r="J326" s="25">
        <v>43160</v>
      </c>
      <c r="K326" s="25"/>
      <c r="L326" s="34" t="s">
        <v>578</v>
      </c>
      <c r="M326" s="34" t="s">
        <v>579</v>
      </c>
      <c r="N326" s="25">
        <v>43160</v>
      </c>
      <c r="O326" s="10" t="s">
        <v>1358</v>
      </c>
      <c r="Q326" s="3"/>
      <c r="S326" s="25">
        <v>43160</v>
      </c>
      <c r="T326" s="25">
        <v>43191</v>
      </c>
      <c r="U326" s="236"/>
      <c r="V326" s="3" t="s">
        <v>1211</v>
      </c>
      <c r="W326" s="25">
        <v>43271</v>
      </c>
      <c r="X326" s="25">
        <v>43263</v>
      </c>
      <c r="Y326" s="107"/>
      <c r="Z326" s="107"/>
      <c r="AA326" s="25"/>
      <c r="AH326" s="6"/>
    </row>
    <row r="327" spans="1:34" ht="18" customHeight="1">
      <c r="A327" s="139" t="s">
        <v>1084</v>
      </c>
      <c r="B327" s="21" t="s">
        <v>64</v>
      </c>
      <c r="C327" s="46" t="s">
        <v>577</v>
      </c>
      <c r="D327" s="21" t="s">
        <v>230</v>
      </c>
      <c r="E327" s="198" t="s">
        <v>602</v>
      </c>
      <c r="F327" s="198" t="s">
        <v>966</v>
      </c>
      <c r="G327" s="198" t="s">
        <v>65</v>
      </c>
      <c r="H327" s="19" t="s">
        <v>58</v>
      </c>
      <c r="I327" s="209">
        <v>12</v>
      </c>
      <c r="J327" s="25">
        <v>43160</v>
      </c>
      <c r="K327" s="25"/>
      <c r="L327" s="34" t="s">
        <v>578</v>
      </c>
      <c r="M327" s="34" t="s">
        <v>579</v>
      </c>
      <c r="N327" s="25">
        <v>43160</v>
      </c>
      <c r="O327" s="10" t="s">
        <v>1358</v>
      </c>
      <c r="Q327" s="3"/>
      <c r="S327" s="25">
        <v>43160</v>
      </c>
      <c r="T327" s="25">
        <v>43191</v>
      </c>
      <c r="U327" s="236"/>
      <c r="V327" s="3" t="s">
        <v>1211</v>
      </c>
      <c r="W327" s="25">
        <v>43271</v>
      </c>
      <c r="X327" s="25">
        <v>43263</v>
      </c>
      <c r="Y327" s="107"/>
      <c r="Z327" s="107"/>
      <c r="AA327" s="25"/>
      <c r="AH327" s="6"/>
    </row>
    <row r="328" spans="1:34" ht="18" customHeight="1">
      <c r="A328" s="139" t="s">
        <v>1085</v>
      </c>
      <c r="B328" s="21" t="s">
        <v>64</v>
      </c>
      <c r="C328" s="46" t="s">
        <v>577</v>
      </c>
      <c r="D328" s="21" t="s">
        <v>230</v>
      </c>
      <c r="E328" s="198" t="s">
        <v>602</v>
      </c>
      <c r="F328" s="198" t="s">
        <v>966</v>
      </c>
      <c r="G328" s="198" t="s">
        <v>946</v>
      </c>
      <c r="H328" s="19" t="s">
        <v>58</v>
      </c>
      <c r="I328" s="209">
        <v>12</v>
      </c>
      <c r="J328" s="25">
        <v>43160</v>
      </c>
      <c r="K328" s="25"/>
      <c r="L328" s="34" t="s">
        <v>578</v>
      </c>
      <c r="M328" s="34" t="s">
        <v>579</v>
      </c>
      <c r="N328" s="25">
        <v>43160</v>
      </c>
      <c r="O328" s="10" t="s">
        <v>1358</v>
      </c>
      <c r="Q328" s="3"/>
      <c r="S328" s="25">
        <v>43160</v>
      </c>
      <c r="T328" s="25">
        <v>43191</v>
      </c>
      <c r="U328" s="236"/>
      <c r="V328" s="3" t="s">
        <v>1211</v>
      </c>
      <c r="W328" s="25">
        <v>43271</v>
      </c>
      <c r="X328" s="25">
        <v>43263</v>
      </c>
      <c r="Y328" s="107"/>
      <c r="Z328" s="107"/>
      <c r="AA328" s="25"/>
      <c r="AH328" s="6"/>
    </row>
    <row r="329" spans="1:34" ht="18" customHeight="1">
      <c r="A329" s="139" t="s">
        <v>1086</v>
      </c>
      <c r="B329" s="21" t="s">
        <v>64</v>
      </c>
      <c r="C329" s="46" t="s">
        <v>577</v>
      </c>
      <c r="D329" s="21" t="s">
        <v>905</v>
      </c>
      <c r="E329" s="198" t="s">
        <v>602</v>
      </c>
      <c r="F329" s="198" t="s">
        <v>967</v>
      </c>
      <c r="G329" s="198" t="s">
        <v>936</v>
      </c>
      <c r="H329" s="19" t="s">
        <v>58</v>
      </c>
      <c r="I329" s="209">
        <v>12</v>
      </c>
      <c r="J329" s="25">
        <v>43160</v>
      </c>
      <c r="K329" s="25"/>
      <c r="L329" s="34" t="s">
        <v>578</v>
      </c>
      <c r="M329" s="34" t="s">
        <v>579</v>
      </c>
      <c r="N329" s="25">
        <v>43160</v>
      </c>
      <c r="O329" s="10" t="s">
        <v>1358</v>
      </c>
      <c r="Q329" s="3"/>
      <c r="S329" s="25">
        <v>43160</v>
      </c>
      <c r="T329" s="25">
        <v>43191</v>
      </c>
      <c r="U329" s="236"/>
      <c r="V329" s="3" t="s">
        <v>1211</v>
      </c>
      <c r="W329" s="25">
        <v>43271</v>
      </c>
      <c r="X329" s="25">
        <v>43263</v>
      </c>
      <c r="Y329" s="107"/>
      <c r="Z329" s="107"/>
      <c r="AA329" s="25"/>
      <c r="AH329" s="6"/>
    </row>
    <row r="330" spans="1:34" ht="18" customHeight="1">
      <c r="A330" s="139" t="s">
        <v>1087</v>
      </c>
      <c r="B330" s="21" t="s">
        <v>64</v>
      </c>
      <c r="C330" s="46" t="s">
        <v>577</v>
      </c>
      <c r="D330" s="21" t="s">
        <v>230</v>
      </c>
      <c r="E330" s="198" t="s">
        <v>602</v>
      </c>
      <c r="F330" s="198" t="s">
        <v>967</v>
      </c>
      <c r="G330" s="198" t="s">
        <v>937</v>
      </c>
      <c r="H330" s="19" t="s">
        <v>58</v>
      </c>
      <c r="I330" s="209">
        <v>12</v>
      </c>
      <c r="J330" s="25">
        <v>43160</v>
      </c>
      <c r="K330" s="25"/>
      <c r="L330" s="34" t="s">
        <v>578</v>
      </c>
      <c r="M330" s="34" t="s">
        <v>579</v>
      </c>
      <c r="N330" s="25">
        <v>43160</v>
      </c>
      <c r="O330" s="10" t="s">
        <v>1358</v>
      </c>
      <c r="Q330" s="3"/>
      <c r="S330" s="25">
        <v>43160</v>
      </c>
      <c r="T330" s="25">
        <v>43191</v>
      </c>
      <c r="U330" s="236"/>
      <c r="V330" s="3" t="s">
        <v>1211</v>
      </c>
      <c r="W330" s="25">
        <v>43271</v>
      </c>
      <c r="X330" s="25">
        <v>43263</v>
      </c>
      <c r="Y330" s="107"/>
      <c r="Z330" s="107"/>
      <c r="AA330" s="25"/>
      <c r="AH330" s="6"/>
    </row>
    <row r="331" spans="1:34" ht="18" customHeight="1">
      <c r="A331" s="139" t="s">
        <v>1088</v>
      </c>
      <c r="B331" s="21" t="s">
        <v>64</v>
      </c>
      <c r="C331" s="46" t="s">
        <v>577</v>
      </c>
      <c r="D331" s="21" t="s">
        <v>230</v>
      </c>
      <c r="E331" s="198" t="s">
        <v>945</v>
      </c>
      <c r="F331" s="198" t="s">
        <v>968</v>
      </c>
      <c r="G331" s="198" t="s">
        <v>936</v>
      </c>
      <c r="H331" s="19" t="s">
        <v>58</v>
      </c>
      <c r="I331" s="209">
        <v>12</v>
      </c>
      <c r="J331" s="25">
        <v>43160</v>
      </c>
      <c r="K331" s="25"/>
      <c r="L331" s="34" t="s">
        <v>578</v>
      </c>
      <c r="M331" s="34" t="s">
        <v>579</v>
      </c>
      <c r="N331" s="25">
        <v>43160</v>
      </c>
      <c r="O331" s="10" t="s">
        <v>1358</v>
      </c>
      <c r="Q331" s="3"/>
      <c r="S331" s="25">
        <v>43160</v>
      </c>
      <c r="T331" s="25">
        <v>43191</v>
      </c>
      <c r="U331" s="236"/>
      <c r="V331" s="3" t="s">
        <v>1211</v>
      </c>
      <c r="W331" s="25">
        <v>43271</v>
      </c>
      <c r="X331" s="25">
        <v>43263</v>
      </c>
      <c r="Y331" s="107"/>
      <c r="Z331" s="107"/>
      <c r="AA331" s="25"/>
      <c r="AH331" s="6"/>
    </row>
    <row r="332" spans="1:34" ht="18" customHeight="1">
      <c r="A332" s="139" t="s">
        <v>1089</v>
      </c>
      <c r="B332" s="21" t="s">
        <v>64</v>
      </c>
      <c r="C332" s="46" t="s">
        <v>577</v>
      </c>
      <c r="D332" s="21" t="s">
        <v>933</v>
      </c>
      <c r="E332" s="198" t="s">
        <v>945</v>
      </c>
      <c r="F332" s="198" t="s">
        <v>968</v>
      </c>
      <c r="G332" s="198" t="s">
        <v>9</v>
      </c>
      <c r="H332" s="19" t="s">
        <v>58</v>
      </c>
      <c r="I332" s="209">
        <v>12</v>
      </c>
      <c r="J332" s="25">
        <v>43160</v>
      </c>
      <c r="K332" s="25"/>
      <c r="L332" s="34" t="s">
        <v>578</v>
      </c>
      <c r="M332" s="34" t="s">
        <v>579</v>
      </c>
      <c r="N332" s="25">
        <v>43160</v>
      </c>
      <c r="O332" s="10" t="s">
        <v>1358</v>
      </c>
      <c r="Q332" s="3"/>
      <c r="S332" s="25">
        <v>43160</v>
      </c>
      <c r="T332" s="25">
        <v>43191</v>
      </c>
      <c r="U332" s="236"/>
      <c r="V332" s="3" t="s">
        <v>1211</v>
      </c>
      <c r="W332" s="25">
        <v>43271</v>
      </c>
      <c r="X332" s="25">
        <v>43263</v>
      </c>
      <c r="Y332" s="107"/>
      <c r="Z332" s="107"/>
      <c r="AA332" s="25"/>
      <c r="AH332" s="6"/>
    </row>
    <row r="333" spans="1:34" ht="18" customHeight="1">
      <c r="A333" s="139" t="s">
        <v>1090</v>
      </c>
      <c r="B333" s="21" t="s">
        <v>64</v>
      </c>
      <c r="C333" s="46" t="s">
        <v>577</v>
      </c>
      <c r="D333" s="21" t="s">
        <v>230</v>
      </c>
      <c r="E333" s="198" t="s">
        <v>602</v>
      </c>
      <c r="F333" s="198" t="s">
        <v>969</v>
      </c>
      <c r="G333" s="198" t="s">
        <v>575</v>
      </c>
      <c r="H333" s="19" t="s">
        <v>58</v>
      </c>
      <c r="I333" s="209">
        <v>12</v>
      </c>
      <c r="J333" s="25">
        <v>43160</v>
      </c>
      <c r="K333" s="25"/>
      <c r="L333" s="34" t="s">
        <v>578</v>
      </c>
      <c r="M333" s="34" t="s">
        <v>579</v>
      </c>
      <c r="N333" s="25">
        <v>43160</v>
      </c>
      <c r="O333" s="10" t="s">
        <v>1358</v>
      </c>
      <c r="Q333" s="3"/>
      <c r="S333" s="25">
        <v>43160</v>
      </c>
      <c r="T333" s="25">
        <v>43191</v>
      </c>
      <c r="U333" s="236"/>
      <c r="V333" s="3" t="s">
        <v>1211</v>
      </c>
      <c r="W333" s="25">
        <v>43271</v>
      </c>
      <c r="X333" s="25">
        <v>43263</v>
      </c>
      <c r="Y333" s="107"/>
      <c r="Z333" s="107"/>
      <c r="AA333" s="25"/>
      <c r="AE333" s="4"/>
      <c r="AH333" s="6"/>
    </row>
    <row r="334" spans="1:34" ht="18" customHeight="1">
      <c r="A334" s="139" t="s">
        <v>1091</v>
      </c>
      <c r="B334" s="21" t="s">
        <v>64</v>
      </c>
      <c r="C334" s="46" t="s">
        <v>577</v>
      </c>
      <c r="D334" s="21" t="s">
        <v>230</v>
      </c>
      <c r="E334" s="198" t="s">
        <v>602</v>
      </c>
      <c r="F334" s="198" t="s">
        <v>970</v>
      </c>
      <c r="G334" s="198" t="s">
        <v>910</v>
      </c>
      <c r="H334" s="19" t="s">
        <v>58</v>
      </c>
      <c r="I334" s="209">
        <v>12</v>
      </c>
      <c r="J334" s="25">
        <v>43160</v>
      </c>
      <c r="K334" s="25"/>
      <c r="L334" s="34" t="s">
        <v>578</v>
      </c>
      <c r="M334" s="34" t="s">
        <v>579</v>
      </c>
      <c r="N334" s="25">
        <v>43160</v>
      </c>
      <c r="O334" s="10" t="s">
        <v>1358</v>
      </c>
      <c r="Q334" s="3"/>
      <c r="S334" s="25">
        <v>43160</v>
      </c>
      <c r="T334" s="25">
        <v>43191</v>
      </c>
      <c r="U334" s="236"/>
      <c r="V334" s="3" t="s">
        <v>1211</v>
      </c>
      <c r="W334" s="25">
        <v>43271</v>
      </c>
      <c r="X334" s="25">
        <v>43263</v>
      </c>
      <c r="Y334" s="107"/>
      <c r="Z334" s="107"/>
      <c r="AA334" s="25"/>
      <c r="AH334" s="6"/>
    </row>
    <row r="335" spans="1:34" ht="18" customHeight="1">
      <c r="A335" s="139" t="s">
        <v>1092</v>
      </c>
      <c r="B335" s="21" t="s">
        <v>64</v>
      </c>
      <c r="C335" s="46" t="s">
        <v>577</v>
      </c>
      <c r="D335" s="21" t="s">
        <v>879</v>
      </c>
      <c r="E335" s="198" t="s">
        <v>602</v>
      </c>
      <c r="F335" s="198" t="s">
        <v>970</v>
      </c>
      <c r="G335" s="198" t="s">
        <v>971</v>
      </c>
      <c r="H335" s="19" t="s">
        <v>58</v>
      </c>
      <c r="I335" s="209">
        <v>12</v>
      </c>
      <c r="J335" s="25">
        <v>43160</v>
      </c>
      <c r="K335" s="25"/>
      <c r="L335" s="34" t="s">
        <v>578</v>
      </c>
      <c r="M335" s="34" t="s">
        <v>579</v>
      </c>
      <c r="N335" s="25">
        <v>43160</v>
      </c>
      <c r="Q335" s="3"/>
      <c r="S335" s="25">
        <v>43160</v>
      </c>
      <c r="T335" s="25">
        <v>43191</v>
      </c>
      <c r="U335" s="236"/>
      <c r="V335" s="3" t="s">
        <v>1211</v>
      </c>
      <c r="W335" s="25">
        <v>43271</v>
      </c>
      <c r="X335" s="25">
        <v>43263</v>
      </c>
      <c r="Y335" s="107"/>
      <c r="Z335" s="107"/>
      <c r="AA335" s="25"/>
      <c r="AH335" s="6"/>
    </row>
    <row r="336" spans="1:34" ht="18" customHeight="1">
      <c r="A336" s="139" t="s">
        <v>1093</v>
      </c>
      <c r="B336" s="15"/>
      <c r="D336" s="46" t="s">
        <v>1359</v>
      </c>
      <c r="E336" s="312" t="s">
        <v>1215</v>
      </c>
      <c r="F336" s="312" t="s">
        <v>1216</v>
      </c>
      <c r="G336" s="312" t="s">
        <v>1217</v>
      </c>
      <c r="H336" s="19"/>
      <c r="I336" s="30"/>
      <c r="J336" s="9"/>
      <c r="K336" s="9"/>
      <c r="L336" s="9"/>
      <c r="M336" s="9"/>
      <c r="N336" s="109"/>
      <c r="O336" s="320" t="s">
        <v>1315</v>
      </c>
      <c r="P336" s="320" t="s">
        <v>270</v>
      </c>
      <c r="Q336" s="313" t="s">
        <v>1350</v>
      </c>
      <c r="R336" s="110"/>
      <c r="S336" s="324">
        <v>43182</v>
      </c>
      <c r="T336" s="324">
        <v>43182</v>
      </c>
      <c r="U336" s="107"/>
      <c r="V336" s="107"/>
      <c r="W336" s="324">
        <v>43243</v>
      </c>
      <c r="X336" s="324">
        <v>43243</v>
      </c>
      <c r="Y336" s="107"/>
      <c r="Z336" s="107"/>
      <c r="AA336" s="25"/>
      <c r="AH336" s="6"/>
    </row>
    <row r="337" spans="1:34" ht="18" customHeight="1">
      <c r="A337" s="139" t="s">
        <v>1094</v>
      </c>
      <c r="B337" s="15"/>
      <c r="D337" s="46" t="s">
        <v>1359</v>
      </c>
      <c r="E337" s="312" t="s">
        <v>1218</v>
      </c>
      <c r="F337" s="312" t="s">
        <v>1219</v>
      </c>
      <c r="G337" s="312" t="s">
        <v>1220</v>
      </c>
      <c r="H337" s="19"/>
      <c r="I337" s="30"/>
      <c r="J337" s="9"/>
      <c r="K337" s="9"/>
      <c r="L337" s="9"/>
      <c r="M337" s="9"/>
      <c r="N337" s="109"/>
      <c r="O337" s="320" t="s">
        <v>1316</v>
      </c>
      <c r="P337" s="320" t="s">
        <v>270</v>
      </c>
      <c r="Q337" s="313" t="s">
        <v>1351</v>
      </c>
      <c r="R337" s="110"/>
      <c r="S337" s="324">
        <v>43182</v>
      </c>
      <c r="T337" s="324">
        <v>43182</v>
      </c>
      <c r="U337" s="107"/>
      <c r="V337" s="107"/>
      <c r="W337" s="324">
        <v>43243</v>
      </c>
      <c r="X337" s="324">
        <v>43243</v>
      </c>
      <c r="Y337" s="107"/>
      <c r="Z337" s="107"/>
      <c r="AA337" s="25"/>
      <c r="AH337" s="6"/>
    </row>
    <row r="338" spans="1:34" ht="18" customHeight="1">
      <c r="A338" s="139" t="s">
        <v>1095</v>
      </c>
      <c r="B338" s="15"/>
      <c r="D338" s="46" t="s">
        <v>1359</v>
      </c>
      <c r="E338" s="312" t="s">
        <v>1215</v>
      </c>
      <c r="F338" s="312" t="s">
        <v>1219</v>
      </c>
      <c r="G338" s="312" t="s">
        <v>1221</v>
      </c>
      <c r="H338" s="19"/>
      <c r="I338" s="30"/>
      <c r="J338" s="9"/>
      <c r="K338" s="9"/>
      <c r="L338" s="9"/>
      <c r="M338" s="9"/>
      <c r="N338" s="109"/>
      <c r="O338" s="320" t="s">
        <v>1316</v>
      </c>
      <c r="P338" s="320" t="s">
        <v>270</v>
      </c>
      <c r="Q338" s="313" t="s">
        <v>1352</v>
      </c>
      <c r="R338" s="110"/>
      <c r="S338" s="324">
        <v>43182</v>
      </c>
      <c r="T338" s="324">
        <v>43182</v>
      </c>
      <c r="U338" s="107"/>
      <c r="V338" s="107"/>
      <c r="W338" s="324">
        <v>43243</v>
      </c>
      <c r="X338" s="324">
        <v>43243</v>
      </c>
      <c r="Y338" s="107"/>
      <c r="Z338" s="107"/>
      <c r="AA338" s="25"/>
    </row>
    <row r="339" spans="1:34" ht="18" customHeight="1">
      <c r="A339" s="139" t="s">
        <v>1096</v>
      </c>
      <c r="B339" s="15"/>
      <c r="D339" s="46" t="s">
        <v>1359</v>
      </c>
      <c r="E339" s="312" t="s">
        <v>1222</v>
      </c>
      <c r="F339" s="312" t="s">
        <v>1223</v>
      </c>
      <c r="G339" s="312" t="s">
        <v>1224</v>
      </c>
      <c r="I339" s="30"/>
      <c r="J339" s="9"/>
      <c r="K339" s="9"/>
      <c r="L339" s="9"/>
      <c r="M339" s="9"/>
      <c r="N339" s="109"/>
      <c r="O339" s="320" t="s">
        <v>1317</v>
      </c>
      <c r="P339" s="320" t="s">
        <v>498</v>
      </c>
      <c r="Q339" s="313" t="s">
        <v>1353</v>
      </c>
      <c r="R339" s="110"/>
      <c r="S339" s="324">
        <v>43210</v>
      </c>
      <c r="T339" s="324">
        <v>43210</v>
      </c>
      <c r="U339" s="107"/>
      <c r="V339" s="107"/>
      <c r="W339" s="324">
        <v>43260</v>
      </c>
      <c r="X339" s="324">
        <v>43260</v>
      </c>
      <c r="Y339" s="107"/>
      <c r="Z339" s="107"/>
      <c r="AA339" s="25"/>
      <c r="AH339" s="6"/>
    </row>
    <row r="340" spans="1:34" ht="18" customHeight="1">
      <c r="A340" s="139" t="s">
        <v>1097</v>
      </c>
      <c r="B340" s="15"/>
      <c r="D340" s="46" t="s">
        <v>1359</v>
      </c>
      <c r="E340" s="313" t="s">
        <v>1225</v>
      </c>
      <c r="F340" s="313" t="s">
        <v>1223</v>
      </c>
      <c r="G340" s="313" t="s">
        <v>936</v>
      </c>
      <c r="H340" s="19"/>
      <c r="I340" s="30"/>
      <c r="J340" s="9"/>
      <c r="K340" s="9"/>
      <c r="L340" s="9"/>
      <c r="M340" s="9"/>
      <c r="N340" s="109"/>
      <c r="O340" s="320" t="s">
        <v>1317</v>
      </c>
      <c r="P340" s="320" t="s">
        <v>498</v>
      </c>
      <c r="Q340" s="313" t="s">
        <v>1353</v>
      </c>
      <c r="R340" s="110"/>
      <c r="S340" s="324">
        <v>43210</v>
      </c>
      <c r="T340" s="324">
        <v>43210</v>
      </c>
      <c r="U340" s="107"/>
      <c r="V340" s="107"/>
      <c r="W340" s="324">
        <v>43260</v>
      </c>
      <c r="X340" s="324">
        <v>43260</v>
      </c>
      <c r="Y340" s="107"/>
      <c r="Z340" s="107"/>
      <c r="AA340" s="25"/>
      <c r="AH340" s="6"/>
    </row>
    <row r="341" spans="1:34" ht="18" customHeight="1">
      <c r="A341" s="139" t="s">
        <v>1098</v>
      </c>
      <c r="B341" s="15"/>
      <c r="D341" s="46" t="s">
        <v>1359</v>
      </c>
      <c r="E341" s="313" t="s">
        <v>1226</v>
      </c>
      <c r="F341" s="313" t="s">
        <v>1223</v>
      </c>
      <c r="G341" s="313" t="s">
        <v>971</v>
      </c>
      <c r="H341" s="19"/>
      <c r="I341" s="30"/>
      <c r="J341" s="9"/>
      <c r="K341" s="9"/>
      <c r="L341" s="9"/>
      <c r="M341" s="9"/>
      <c r="N341" s="109"/>
      <c r="O341" s="320" t="s">
        <v>1317</v>
      </c>
      <c r="P341" s="320" t="s">
        <v>498</v>
      </c>
      <c r="Q341" s="313" t="s">
        <v>1353</v>
      </c>
      <c r="R341" s="110"/>
      <c r="S341" s="324">
        <v>43210</v>
      </c>
      <c r="T341" s="324">
        <v>43210</v>
      </c>
      <c r="U341" s="107"/>
      <c r="V341" s="107"/>
      <c r="W341" s="324">
        <v>43260</v>
      </c>
      <c r="X341" s="324">
        <v>43260</v>
      </c>
      <c r="Y341" s="107"/>
      <c r="Z341" s="107"/>
      <c r="AA341" s="25"/>
      <c r="AH341" s="6"/>
    </row>
    <row r="342" spans="1:34" ht="18" customHeight="1">
      <c r="A342" s="139" t="s">
        <v>1099</v>
      </c>
      <c r="B342" s="15"/>
      <c r="D342" s="46" t="s">
        <v>1359</v>
      </c>
      <c r="E342" s="313" t="s">
        <v>1226</v>
      </c>
      <c r="F342" s="313" t="s">
        <v>1227</v>
      </c>
      <c r="G342" s="313" t="s">
        <v>65</v>
      </c>
      <c r="I342" s="30"/>
      <c r="J342" s="9"/>
      <c r="K342" s="9"/>
      <c r="L342" s="9"/>
      <c r="M342" s="9"/>
      <c r="N342" s="109"/>
      <c r="O342" s="320" t="s">
        <v>1317</v>
      </c>
      <c r="P342" s="320" t="s">
        <v>498</v>
      </c>
      <c r="Q342" s="313" t="s">
        <v>1352</v>
      </c>
      <c r="R342" s="110"/>
      <c r="S342" s="324">
        <v>43210</v>
      </c>
      <c r="T342" s="324">
        <v>43210</v>
      </c>
      <c r="U342" s="107"/>
      <c r="V342" s="107"/>
      <c r="W342" s="324">
        <v>43260</v>
      </c>
      <c r="X342" s="324">
        <v>43260</v>
      </c>
      <c r="Y342" s="107"/>
      <c r="Z342" s="107"/>
      <c r="AA342" s="25"/>
      <c r="AH342" s="6"/>
    </row>
    <row r="343" spans="1:34" ht="18" customHeight="1">
      <c r="A343" s="139" t="s">
        <v>1100</v>
      </c>
      <c r="B343" s="15"/>
      <c r="D343" s="46" t="s">
        <v>1359</v>
      </c>
      <c r="E343" s="313" t="s">
        <v>1226</v>
      </c>
      <c r="F343" s="313" t="s">
        <v>1227</v>
      </c>
      <c r="G343" s="313" t="s">
        <v>909</v>
      </c>
      <c r="H343" s="19"/>
      <c r="I343" s="30"/>
      <c r="J343" s="9"/>
      <c r="K343" s="9"/>
      <c r="L343" s="9"/>
      <c r="M343" s="9"/>
      <c r="N343" s="109"/>
      <c r="O343" s="320" t="s">
        <v>1317</v>
      </c>
      <c r="P343" s="320" t="s">
        <v>498</v>
      </c>
      <c r="Q343" s="313" t="s">
        <v>1352</v>
      </c>
      <c r="R343" s="110"/>
      <c r="S343" s="324">
        <v>43210</v>
      </c>
      <c r="T343" s="324">
        <v>43210</v>
      </c>
      <c r="U343" s="107"/>
      <c r="V343" s="107"/>
      <c r="W343" s="324">
        <v>43260</v>
      </c>
      <c r="X343" s="324">
        <v>43260</v>
      </c>
      <c r="Y343" s="107"/>
      <c r="Z343" s="107"/>
      <c r="AA343" s="25"/>
      <c r="AH343" s="6"/>
    </row>
    <row r="344" spans="1:34" ht="18" customHeight="1">
      <c r="A344" s="139" t="s">
        <v>1101</v>
      </c>
      <c r="B344" s="15"/>
      <c r="D344" s="46" t="s">
        <v>1359</v>
      </c>
      <c r="E344" s="313" t="s">
        <v>1226</v>
      </c>
      <c r="F344" s="313" t="s">
        <v>1228</v>
      </c>
      <c r="G344" s="313" t="s">
        <v>65</v>
      </c>
      <c r="H344" s="19"/>
      <c r="I344" s="30"/>
      <c r="J344" s="9"/>
      <c r="K344" s="9"/>
      <c r="L344" s="9"/>
      <c r="M344" s="9"/>
      <c r="N344" s="109"/>
      <c r="O344" s="320" t="s">
        <v>1317</v>
      </c>
      <c r="P344" s="320" t="s">
        <v>498</v>
      </c>
      <c r="Q344" s="313" t="s">
        <v>1353</v>
      </c>
      <c r="R344" s="110"/>
      <c r="S344" s="324">
        <v>43210</v>
      </c>
      <c r="T344" s="324">
        <v>43210</v>
      </c>
      <c r="U344" s="107"/>
      <c r="V344" s="107"/>
      <c r="W344" s="324">
        <v>43260</v>
      </c>
      <c r="X344" s="324">
        <v>43260</v>
      </c>
      <c r="Y344" s="107"/>
      <c r="Z344" s="107"/>
      <c r="AA344" s="25"/>
      <c r="AH344" s="6"/>
    </row>
    <row r="345" spans="1:34" ht="18" customHeight="1">
      <c r="A345" s="139" t="s">
        <v>1102</v>
      </c>
      <c r="B345" s="15"/>
      <c r="D345" s="46" t="s">
        <v>1359</v>
      </c>
      <c r="E345" s="313" t="s">
        <v>1226</v>
      </c>
      <c r="F345" s="313" t="s">
        <v>1228</v>
      </c>
      <c r="G345" s="313" t="s">
        <v>1229</v>
      </c>
      <c r="I345" s="30"/>
      <c r="J345" s="9"/>
      <c r="K345" s="9"/>
      <c r="L345" s="9"/>
      <c r="M345" s="9"/>
      <c r="N345" s="109"/>
      <c r="O345" s="320" t="s">
        <v>1317</v>
      </c>
      <c r="P345" s="320" t="s">
        <v>498</v>
      </c>
      <c r="Q345" s="313" t="s">
        <v>1351</v>
      </c>
      <c r="R345" s="110"/>
      <c r="S345" s="324">
        <v>43210</v>
      </c>
      <c r="T345" s="324">
        <v>43210</v>
      </c>
      <c r="U345" s="107"/>
      <c r="V345" s="107"/>
      <c r="W345" s="324">
        <v>43260</v>
      </c>
      <c r="X345" s="324">
        <v>43260</v>
      </c>
      <c r="Y345" s="107"/>
      <c r="Z345" s="107"/>
      <c r="AA345" s="25"/>
      <c r="AH345" s="6"/>
    </row>
    <row r="346" spans="1:34" ht="18" customHeight="1">
      <c r="A346" s="139" t="s">
        <v>1103</v>
      </c>
      <c r="B346" s="15"/>
      <c r="D346" s="46" t="s">
        <v>1359</v>
      </c>
      <c r="E346" s="313" t="s">
        <v>1226</v>
      </c>
      <c r="F346" s="313" t="s">
        <v>1230</v>
      </c>
      <c r="G346" s="313" t="s">
        <v>6</v>
      </c>
      <c r="H346" s="19"/>
      <c r="I346" s="30"/>
      <c r="J346" s="9"/>
      <c r="K346" s="9"/>
      <c r="L346" s="9"/>
      <c r="M346" s="9"/>
      <c r="N346" s="109"/>
      <c r="O346" s="320" t="s">
        <v>1317</v>
      </c>
      <c r="P346" s="320" t="s">
        <v>498</v>
      </c>
      <c r="Q346" s="313" t="s">
        <v>1353</v>
      </c>
      <c r="R346" s="110"/>
      <c r="S346" s="324">
        <v>43210</v>
      </c>
      <c r="T346" s="324">
        <v>43210</v>
      </c>
      <c r="U346" s="107"/>
      <c r="V346" s="107"/>
      <c r="W346" s="324">
        <v>43260</v>
      </c>
      <c r="X346" s="324">
        <v>43260</v>
      </c>
      <c r="Y346" s="107"/>
      <c r="Z346" s="107"/>
      <c r="AA346" s="25"/>
      <c r="AH346" s="6"/>
    </row>
    <row r="347" spans="1:34" ht="18" customHeight="1">
      <c r="A347" s="139" t="s">
        <v>1104</v>
      </c>
      <c r="B347" s="15"/>
      <c r="D347" s="46" t="s">
        <v>1359</v>
      </c>
      <c r="E347" s="313" t="s">
        <v>1226</v>
      </c>
      <c r="F347" s="313" t="s">
        <v>1230</v>
      </c>
      <c r="G347" s="313" t="s">
        <v>9</v>
      </c>
      <c r="H347" s="19"/>
      <c r="I347" s="30"/>
      <c r="J347" s="9"/>
      <c r="K347" s="9"/>
      <c r="L347" s="9"/>
      <c r="M347" s="9"/>
      <c r="N347" s="109"/>
      <c r="O347" s="320" t="s">
        <v>1317</v>
      </c>
      <c r="P347" s="320" t="s">
        <v>498</v>
      </c>
      <c r="Q347" s="313" t="s">
        <v>1353</v>
      </c>
      <c r="R347" s="110"/>
      <c r="S347" s="324">
        <v>43210</v>
      </c>
      <c r="T347" s="324">
        <v>43210</v>
      </c>
      <c r="U347" s="107"/>
      <c r="V347" s="107"/>
      <c r="W347" s="324">
        <v>43260</v>
      </c>
      <c r="X347" s="324">
        <v>43260</v>
      </c>
      <c r="Y347" s="107"/>
      <c r="Z347" s="107"/>
      <c r="AA347" s="25"/>
      <c r="AH347" s="6"/>
    </row>
    <row r="348" spans="1:34" ht="18" customHeight="1">
      <c r="A348" s="139" t="s">
        <v>1105</v>
      </c>
      <c r="B348" s="15"/>
      <c r="D348" s="46" t="s">
        <v>1359</v>
      </c>
      <c r="E348" s="314" t="s">
        <v>357</v>
      </c>
      <c r="F348" s="315" t="s">
        <v>1231</v>
      </c>
      <c r="G348" s="316" t="s">
        <v>1232</v>
      </c>
      <c r="H348" s="19"/>
      <c r="I348" s="30"/>
      <c r="J348" s="9"/>
      <c r="K348" s="9"/>
      <c r="L348" s="9"/>
      <c r="M348" s="9"/>
      <c r="N348" s="109"/>
      <c r="O348" s="321" t="s">
        <v>1318</v>
      </c>
      <c r="P348" s="321" t="s">
        <v>1342</v>
      </c>
      <c r="Q348" s="323" t="s">
        <v>1354</v>
      </c>
      <c r="R348" s="110"/>
      <c r="S348" s="325">
        <v>43023</v>
      </c>
      <c r="T348" s="325">
        <v>43023</v>
      </c>
      <c r="U348" s="107">
        <v>43023</v>
      </c>
      <c r="V348" s="107"/>
      <c r="W348" s="325">
        <v>43238</v>
      </c>
      <c r="X348" s="325">
        <v>43238</v>
      </c>
      <c r="Y348" s="107">
        <v>43115</v>
      </c>
      <c r="Z348" s="107"/>
      <c r="AA348" s="25"/>
      <c r="AH348" s="6"/>
    </row>
    <row r="349" spans="1:34" ht="18" customHeight="1">
      <c r="A349" s="139" t="s">
        <v>1106</v>
      </c>
      <c r="B349" s="15"/>
      <c r="D349" s="46" t="s">
        <v>1359</v>
      </c>
      <c r="E349" s="314" t="s">
        <v>357</v>
      </c>
      <c r="F349" s="315" t="s">
        <v>1233</v>
      </c>
      <c r="G349" s="316" t="s">
        <v>1234</v>
      </c>
      <c r="H349" s="19"/>
      <c r="I349" s="30"/>
      <c r="J349" s="9"/>
      <c r="K349" s="9"/>
      <c r="L349" s="9"/>
      <c r="M349" s="9"/>
      <c r="N349" s="109"/>
      <c r="O349" s="321" t="s">
        <v>1319</v>
      </c>
      <c r="P349" s="321" t="s">
        <v>1342</v>
      </c>
      <c r="Q349" s="323" t="s">
        <v>1354</v>
      </c>
      <c r="R349" s="110"/>
      <c r="S349" s="325">
        <v>43023</v>
      </c>
      <c r="T349" s="325">
        <v>43023</v>
      </c>
      <c r="U349" s="107">
        <v>43023</v>
      </c>
      <c r="V349" s="107"/>
      <c r="W349" s="325">
        <v>43238</v>
      </c>
      <c r="X349" s="325">
        <v>43238</v>
      </c>
      <c r="Y349" s="107">
        <v>43115</v>
      </c>
      <c r="Z349" s="107"/>
      <c r="AA349" s="25"/>
      <c r="AD349" s="4"/>
      <c r="AE349" s="4"/>
      <c r="AH349" s="6"/>
    </row>
    <row r="350" spans="1:34" ht="18" customHeight="1">
      <c r="A350" s="139" t="s">
        <v>1107</v>
      </c>
      <c r="B350" s="15"/>
      <c r="D350" s="46" t="s">
        <v>1359</v>
      </c>
      <c r="E350" s="317" t="s">
        <v>357</v>
      </c>
      <c r="F350" s="318" t="s">
        <v>1235</v>
      </c>
      <c r="G350" s="319" t="s">
        <v>1236</v>
      </c>
      <c r="H350" s="19"/>
      <c r="I350" s="30"/>
      <c r="J350" s="9"/>
      <c r="K350" s="9"/>
      <c r="L350" s="9"/>
      <c r="M350" s="9"/>
      <c r="N350" s="109"/>
      <c r="O350" s="320" t="s">
        <v>1320</v>
      </c>
      <c r="P350" s="320" t="s">
        <v>499</v>
      </c>
      <c r="Q350" s="313" t="s">
        <v>1354</v>
      </c>
      <c r="R350" s="110"/>
      <c r="S350" s="324">
        <v>43038</v>
      </c>
      <c r="T350" s="324">
        <v>43038</v>
      </c>
      <c r="U350" s="107">
        <v>43038</v>
      </c>
      <c r="V350" s="107"/>
      <c r="W350" s="324">
        <v>43238</v>
      </c>
      <c r="X350" s="324">
        <v>43238</v>
      </c>
      <c r="Y350" s="107"/>
      <c r="Z350" s="107"/>
      <c r="AA350" s="25"/>
      <c r="AD350" s="4"/>
      <c r="AE350" s="4"/>
      <c r="AH350" s="6"/>
    </row>
    <row r="351" spans="1:34" ht="18" customHeight="1">
      <c r="A351" s="139" t="s">
        <v>1108</v>
      </c>
      <c r="B351" s="15"/>
      <c r="D351" s="46" t="s">
        <v>1359</v>
      </c>
      <c r="E351" s="317" t="s">
        <v>357</v>
      </c>
      <c r="F351" s="318" t="s">
        <v>1235</v>
      </c>
      <c r="G351" s="319" t="s">
        <v>1237</v>
      </c>
      <c r="H351" s="19"/>
      <c r="I351" s="30"/>
      <c r="J351" s="9"/>
      <c r="K351" s="9"/>
      <c r="L351" s="9"/>
      <c r="M351" s="9"/>
      <c r="N351" s="109"/>
      <c r="O351" s="320" t="s">
        <v>1321</v>
      </c>
      <c r="P351" s="320" t="s">
        <v>499</v>
      </c>
      <c r="Q351" s="313" t="s">
        <v>1354</v>
      </c>
      <c r="R351" s="110"/>
      <c r="S351" s="324">
        <v>43038</v>
      </c>
      <c r="T351" s="324">
        <v>43038</v>
      </c>
      <c r="U351" s="107">
        <v>43038</v>
      </c>
      <c r="V351" s="107"/>
      <c r="W351" s="324">
        <v>43238</v>
      </c>
      <c r="X351" s="324">
        <v>43238</v>
      </c>
      <c r="Y351" s="107"/>
      <c r="Z351" s="107"/>
      <c r="AA351" s="25"/>
      <c r="AE351" s="4"/>
      <c r="AH351" s="6"/>
    </row>
    <row r="352" spans="1:34" ht="18" customHeight="1">
      <c r="A352" s="139" t="s">
        <v>1109</v>
      </c>
      <c r="B352" s="15"/>
      <c r="D352" s="46" t="s">
        <v>1359</v>
      </c>
      <c r="E352" s="317" t="s">
        <v>357</v>
      </c>
      <c r="F352" s="318" t="s">
        <v>1235</v>
      </c>
      <c r="G352" s="319" t="s">
        <v>1238</v>
      </c>
      <c r="H352" s="19"/>
      <c r="I352" s="30"/>
      <c r="J352" s="9"/>
      <c r="K352" s="9"/>
      <c r="L352" s="9"/>
      <c r="M352" s="9"/>
      <c r="N352" s="109"/>
      <c r="O352" s="320" t="s">
        <v>1321</v>
      </c>
      <c r="P352" s="320" t="s">
        <v>499</v>
      </c>
      <c r="Q352" s="313" t="s">
        <v>1354</v>
      </c>
      <c r="R352" s="110"/>
      <c r="S352" s="324">
        <v>43038</v>
      </c>
      <c r="T352" s="324">
        <v>43038</v>
      </c>
      <c r="U352" s="107">
        <v>43038</v>
      </c>
      <c r="V352" s="107"/>
      <c r="W352" s="324">
        <v>43238</v>
      </c>
      <c r="X352" s="324">
        <v>43238</v>
      </c>
      <c r="Y352" s="107"/>
      <c r="Z352" s="107"/>
      <c r="AA352" s="25"/>
      <c r="AH352" s="6"/>
    </row>
    <row r="353" spans="1:34" ht="18" customHeight="1">
      <c r="A353" s="139" t="s">
        <v>1110</v>
      </c>
      <c r="B353" s="15"/>
      <c r="D353" s="46" t="s">
        <v>1359</v>
      </c>
      <c r="E353" s="317" t="s">
        <v>357</v>
      </c>
      <c r="F353" s="318" t="s">
        <v>1235</v>
      </c>
      <c r="G353" s="319" t="s">
        <v>1239</v>
      </c>
      <c r="H353" s="19"/>
      <c r="I353" s="30"/>
      <c r="J353" s="9"/>
      <c r="K353" s="9"/>
      <c r="L353" s="9"/>
      <c r="M353" s="9"/>
      <c r="N353" s="109"/>
      <c r="O353" s="320" t="s">
        <v>1321</v>
      </c>
      <c r="P353" s="320" t="s">
        <v>499</v>
      </c>
      <c r="Q353" s="313" t="s">
        <v>1354</v>
      </c>
      <c r="R353" s="110"/>
      <c r="S353" s="324">
        <v>43038</v>
      </c>
      <c r="T353" s="324">
        <v>43038</v>
      </c>
      <c r="U353" s="107">
        <v>43038</v>
      </c>
      <c r="V353" s="107"/>
      <c r="W353" s="324">
        <v>43238</v>
      </c>
      <c r="X353" s="324">
        <v>43238</v>
      </c>
      <c r="Y353" s="107"/>
      <c r="Z353" s="107"/>
      <c r="AA353" s="25"/>
      <c r="AH353" s="6"/>
    </row>
    <row r="354" spans="1:34" ht="18" customHeight="1">
      <c r="A354" s="139" t="s">
        <v>1111</v>
      </c>
      <c r="B354" s="15"/>
      <c r="D354" s="46" t="s">
        <v>1359</v>
      </c>
      <c r="E354" s="317" t="s">
        <v>357</v>
      </c>
      <c r="F354" s="318" t="s">
        <v>500</v>
      </c>
      <c r="G354" s="319" t="s">
        <v>7</v>
      </c>
      <c r="I354" s="30"/>
      <c r="J354" s="9"/>
      <c r="K354" s="9"/>
      <c r="L354" s="9"/>
      <c r="M354" s="9"/>
      <c r="N354" s="109"/>
      <c r="O354" s="320" t="s">
        <v>1321</v>
      </c>
      <c r="P354" s="320" t="s">
        <v>499</v>
      </c>
      <c r="Q354" s="313" t="s">
        <v>1354</v>
      </c>
      <c r="R354" s="110"/>
      <c r="S354" s="324">
        <v>43038</v>
      </c>
      <c r="T354" s="324">
        <v>43038</v>
      </c>
      <c r="U354" s="107">
        <v>43038</v>
      </c>
      <c r="V354" s="107"/>
      <c r="W354" s="324">
        <v>43238</v>
      </c>
      <c r="X354" s="324">
        <v>43238</v>
      </c>
      <c r="Y354" s="107"/>
      <c r="Z354" s="107"/>
      <c r="AA354" s="25"/>
      <c r="AE354" s="4"/>
      <c r="AH354" s="6"/>
    </row>
    <row r="355" spans="1:34" ht="18" customHeight="1">
      <c r="A355" s="139" t="s">
        <v>1360</v>
      </c>
      <c r="B355" s="15"/>
      <c r="D355" s="46" t="s">
        <v>1359</v>
      </c>
      <c r="E355" s="317" t="s">
        <v>357</v>
      </c>
      <c r="F355" s="318" t="s">
        <v>500</v>
      </c>
      <c r="G355" s="319" t="s">
        <v>8</v>
      </c>
      <c r="I355" s="30"/>
      <c r="J355" s="9"/>
      <c r="K355" s="9"/>
      <c r="L355" s="9"/>
      <c r="M355" s="9"/>
      <c r="N355" s="109"/>
      <c r="O355" s="320" t="s">
        <v>1321</v>
      </c>
      <c r="P355" s="320" t="s">
        <v>499</v>
      </c>
      <c r="Q355" s="313" t="s">
        <v>1354</v>
      </c>
      <c r="R355" s="110"/>
      <c r="S355" s="324">
        <v>43038</v>
      </c>
      <c r="T355" s="324">
        <v>43038</v>
      </c>
      <c r="U355" s="107">
        <v>43038</v>
      </c>
      <c r="V355" s="107"/>
      <c r="W355" s="324">
        <v>43238</v>
      </c>
      <c r="X355" s="324">
        <v>43238</v>
      </c>
      <c r="Y355" s="107"/>
      <c r="Z355" s="107"/>
      <c r="AA355" s="25"/>
      <c r="AH355" s="6"/>
    </row>
    <row r="356" spans="1:34" ht="18" customHeight="1">
      <c r="A356" s="139" t="s">
        <v>1361</v>
      </c>
      <c r="B356" s="15"/>
      <c r="D356" s="46" t="s">
        <v>1359</v>
      </c>
      <c r="E356" s="317" t="s">
        <v>357</v>
      </c>
      <c r="F356" s="318" t="s">
        <v>500</v>
      </c>
      <c r="G356" s="319" t="s">
        <v>1240</v>
      </c>
      <c r="H356" s="19"/>
      <c r="I356" s="30"/>
      <c r="J356" s="9"/>
      <c r="K356" s="9"/>
      <c r="L356" s="9"/>
      <c r="M356" s="9"/>
      <c r="N356" s="109"/>
      <c r="O356" s="320" t="s">
        <v>1321</v>
      </c>
      <c r="P356" s="320" t="s">
        <v>499</v>
      </c>
      <c r="Q356" s="313" t="s">
        <v>1354</v>
      </c>
      <c r="R356" s="110"/>
      <c r="S356" s="324">
        <v>43038</v>
      </c>
      <c r="T356" s="324">
        <v>43038</v>
      </c>
      <c r="U356" s="107">
        <v>43038</v>
      </c>
      <c r="V356" s="107"/>
      <c r="W356" s="324">
        <v>43238</v>
      </c>
      <c r="X356" s="324">
        <v>43238</v>
      </c>
      <c r="Y356" s="107"/>
      <c r="Z356" s="107"/>
      <c r="AA356" s="25"/>
      <c r="AH356" s="6"/>
    </row>
    <row r="357" spans="1:34" ht="18" customHeight="1">
      <c r="A357" s="139" t="s">
        <v>1362</v>
      </c>
      <c r="B357" s="15"/>
      <c r="D357" s="46" t="s">
        <v>1359</v>
      </c>
      <c r="E357" s="317" t="s">
        <v>357</v>
      </c>
      <c r="F357" s="318" t="s">
        <v>500</v>
      </c>
      <c r="G357" s="319" t="s">
        <v>1241</v>
      </c>
      <c r="H357" s="19"/>
      <c r="I357" s="30"/>
      <c r="J357" s="9"/>
      <c r="K357" s="9"/>
      <c r="L357" s="9"/>
      <c r="M357" s="9"/>
      <c r="N357" s="109"/>
      <c r="O357" s="320" t="s">
        <v>1321</v>
      </c>
      <c r="P357" s="320" t="s">
        <v>499</v>
      </c>
      <c r="Q357" s="313" t="s">
        <v>1354</v>
      </c>
      <c r="R357" s="110"/>
      <c r="S357" s="324">
        <v>43038</v>
      </c>
      <c r="T357" s="324">
        <v>43038</v>
      </c>
      <c r="U357" s="107">
        <v>43038</v>
      </c>
      <c r="V357" s="107"/>
      <c r="W357" s="324">
        <v>43238</v>
      </c>
      <c r="X357" s="324">
        <v>43238</v>
      </c>
      <c r="Y357" s="107"/>
      <c r="Z357" s="107"/>
      <c r="AA357" s="25"/>
      <c r="AH357" s="6"/>
    </row>
    <row r="358" spans="1:34" ht="18" customHeight="1">
      <c r="A358" s="139" t="s">
        <v>1363</v>
      </c>
      <c r="B358" s="15"/>
      <c r="D358" s="46" t="s">
        <v>1359</v>
      </c>
      <c r="E358" s="317" t="s">
        <v>357</v>
      </c>
      <c r="F358" s="318" t="s">
        <v>500</v>
      </c>
      <c r="G358" s="319" t="s">
        <v>1242</v>
      </c>
      <c r="H358" s="19"/>
      <c r="I358" s="30"/>
      <c r="J358" s="9"/>
      <c r="K358" s="9"/>
      <c r="L358" s="9"/>
      <c r="M358" s="9"/>
      <c r="N358" s="109"/>
      <c r="O358" s="320" t="s">
        <v>1321</v>
      </c>
      <c r="P358" s="320" t="s">
        <v>499</v>
      </c>
      <c r="Q358" s="313" t="s">
        <v>1354</v>
      </c>
      <c r="R358" s="110"/>
      <c r="S358" s="324">
        <v>43038</v>
      </c>
      <c r="T358" s="324">
        <v>43038</v>
      </c>
      <c r="U358" s="107">
        <v>43038</v>
      </c>
      <c r="V358" s="107"/>
      <c r="W358" s="324">
        <v>43238</v>
      </c>
      <c r="X358" s="324">
        <v>43238</v>
      </c>
      <c r="Y358" s="107"/>
      <c r="Z358" s="107"/>
      <c r="AA358" s="25"/>
      <c r="AE358" s="4"/>
      <c r="AH358" s="6"/>
    </row>
    <row r="359" spans="1:34" ht="18" customHeight="1">
      <c r="A359" s="139" t="s">
        <v>1364</v>
      </c>
      <c r="B359" s="15"/>
      <c r="D359" s="46" t="s">
        <v>1359</v>
      </c>
      <c r="E359" s="317" t="s">
        <v>357</v>
      </c>
      <c r="F359" s="318" t="s">
        <v>500</v>
      </c>
      <c r="G359" s="319" t="s">
        <v>1243</v>
      </c>
      <c r="H359" s="19"/>
      <c r="I359" s="30"/>
      <c r="J359" s="9"/>
      <c r="K359" s="9"/>
      <c r="L359" s="9"/>
      <c r="M359" s="9"/>
      <c r="N359" s="109"/>
      <c r="O359" s="320" t="s">
        <v>1321</v>
      </c>
      <c r="P359" s="320" t="s">
        <v>499</v>
      </c>
      <c r="Q359" s="313" t="s">
        <v>1354</v>
      </c>
      <c r="R359" s="110"/>
      <c r="S359" s="324">
        <v>43038</v>
      </c>
      <c r="T359" s="324">
        <v>43038</v>
      </c>
      <c r="U359" s="107">
        <v>43038</v>
      </c>
      <c r="V359" s="107"/>
      <c r="W359" s="324">
        <v>43238</v>
      </c>
      <c r="X359" s="324">
        <v>43238</v>
      </c>
      <c r="Y359" s="107"/>
      <c r="Z359" s="107"/>
      <c r="AA359" s="25"/>
      <c r="AD359" s="4"/>
      <c r="AE359" s="4"/>
      <c r="AH359" s="6"/>
    </row>
    <row r="360" spans="1:34" ht="18" customHeight="1">
      <c r="A360" s="139" t="s">
        <v>1367</v>
      </c>
      <c r="B360" s="15"/>
      <c r="D360" s="46" t="s">
        <v>1359</v>
      </c>
      <c r="E360" s="317" t="s">
        <v>357</v>
      </c>
      <c r="F360" s="318" t="s">
        <v>500</v>
      </c>
      <c r="G360" s="319" t="s">
        <v>1244</v>
      </c>
      <c r="H360" s="19"/>
      <c r="I360" s="30"/>
      <c r="J360" s="9"/>
      <c r="K360" s="9"/>
      <c r="L360" s="9"/>
      <c r="M360" s="9"/>
      <c r="N360" s="109"/>
      <c r="O360" s="320" t="s">
        <v>1321</v>
      </c>
      <c r="P360" s="320" t="s">
        <v>499</v>
      </c>
      <c r="Q360" s="313" t="s">
        <v>1354</v>
      </c>
      <c r="R360" s="110"/>
      <c r="S360" s="324">
        <v>43038</v>
      </c>
      <c r="T360" s="324">
        <v>43038</v>
      </c>
      <c r="U360" s="107">
        <v>43038</v>
      </c>
      <c r="V360" s="107"/>
      <c r="W360" s="324">
        <v>43238</v>
      </c>
      <c r="X360" s="324">
        <v>43238</v>
      </c>
      <c r="Y360" s="107"/>
      <c r="Z360" s="107"/>
      <c r="AA360" s="25"/>
      <c r="AE360" s="4"/>
      <c r="AH360" s="6"/>
    </row>
    <row r="361" spans="1:34" ht="18" customHeight="1">
      <c r="A361" s="139" t="s">
        <v>1368</v>
      </c>
      <c r="B361" s="15"/>
      <c r="D361" s="46" t="s">
        <v>1359</v>
      </c>
      <c r="E361" s="317" t="s">
        <v>357</v>
      </c>
      <c r="F361" s="318" t="s">
        <v>500</v>
      </c>
      <c r="G361" s="319" t="s">
        <v>1245</v>
      </c>
      <c r="H361" s="19"/>
      <c r="I361" s="30"/>
      <c r="J361" s="9"/>
      <c r="K361" s="9"/>
      <c r="L361" s="9"/>
      <c r="M361" s="9"/>
      <c r="N361" s="109"/>
      <c r="O361" s="320" t="s">
        <v>1321</v>
      </c>
      <c r="P361" s="320" t="s">
        <v>499</v>
      </c>
      <c r="Q361" s="313" t="s">
        <v>1354</v>
      </c>
      <c r="R361" s="110"/>
      <c r="S361" s="324">
        <v>43038</v>
      </c>
      <c r="T361" s="324">
        <v>43038</v>
      </c>
      <c r="U361" s="107">
        <v>43038</v>
      </c>
      <c r="V361" s="107"/>
      <c r="W361" s="324">
        <v>43238</v>
      </c>
      <c r="X361" s="324">
        <v>43238</v>
      </c>
      <c r="Y361" s="107"/>
      <c r="Z361" s="107"/>
      <c r="AA361" s="25"/>
      <c r="AE361" s="4"/>
      <c r="AH361" s="6"/>
    </row>
    <row r="362" spans="1:34" ht="18" customHeight="1">
      <c r="A362" s="139" t="s">
        <v>1369</v>
      </c>
      <c r="B362" s="15"/>
      <c r="D362" s="46" t="s">
        <v>1359</v>
      </c>
      <c r="E362" s="317" t="s">
        <v>357</v>
      </c>
      <c r="F362" s="318" t="s">
        <v>500</v>
      </c>
      <c r="G362" s="319" t="s">
        <v>1246</v>
      </c>
      <c r="H362" s="19"/>
      <c r="I362" s="30"/>
      <c r="J362" s="126"/>
      <c r="K362" s="126"/>
      <c r="L362" s="110"/>
      <c r="M362" s="110"/>
      <c r="N362" s="110"/>
      <c r="O362" s="320" t="s">
        <v>1321</v>
      </c>
      <c r="P362" s="320" t="s">
        <v>499</v>
      </c>
      <c r="Q362" s="313" t="s">
        <v>1354</v>
      </c>
      <c r="R362" s="104"/>
      <c r="S362" s="324">
        <v>43038</v>
      </c>
      <c r="T362" s="324">
        <v>43038</v>
      </c>
      <c r="U362" s="107">
        <v>43038</v>
      </c>
      <c r="V362" s="107"/>
      <c r="W362" s="324">
        <v>43238</v>
      </c>
      <c r="X362" s="324">
        <v>43238</v>
      </c>
      <c r="Y362" s="107"/>
      <c r="Z362" s="107"/>
      <c r="AA362" s="25"/>
      <c r="AD362" s="4"/>
      <c r="AE362" s="4"/>
      <c r="AF362" s="4"/>
      <c r="AH362" s="6"/>
    </row>
    <row r="363" spans="1:34" ht="18" customHeight="1">
      <c r="A363" s="139" t="s">
        <v>1370</v>
      </c>
      <c r="B363" s="15"/>
      <c r="D363" s="46" t="s">
        <v>1359</v>
      </c>
      <c r="E363" s="314" t="s">
        <v>357</v>
      </c>
      <c r="F363" s="315" t="s">
        <v>1247</v>
      </c>
      <c r="G363" s="316" t="s">
        <v>6</v>
      </c>
      <c r="H363" s="19"/>
      <c r="I363" s="30"/>
      <c r="J363" s="126"/>
      <c r="K363" s="126"/>
      <c r="L363" s="110"/>
      <c r="M363" s="110"/>
      <c r="N363" s="110"/>
      <c r="O363" s="320" t="s">
        <v>1321</v>
      </c>
      <c r="P363" s="320" t="s">
        <v>499</v>
      </c>
      <c r="Q363" s="313" t="s">
        <v>1354</v>
      </c>
      <c r="R363" s="104"/>
      <c r="S363" s="325">
        <v>43038</v>
      </c>
      <c r="T363" s="325">
        <v>43038</v>
      </c>
      <c r="U363" s="107">
        <v>43038</v>
      </c>
      <c r="V363" s="107"/>
      <c r="W363" s="324">
        <v>43238</v>
      </c>
      <c r="X363" s="324">
        <v>43238</v>
      </c>
      <c r="Y363" s="107"/>
      <c r="Z363" s="107"/>
      <c r="AA363" s="25"/>
      <c r="AD363" s="4"/>
      <c r="AE363" s="4"/>
      <c r="AF363" s="4"/>
      <c r="AH363" s="6"/>
    </row>
    <row r="364" spans="1:34" ht="18" customHeight="1">
      <c r="A364" s="139" t="s">
        <v>1371</v>
      </c>
      <c r="B364" s="15"/>
      <c r="D364" s="46" t="s">
        <v>1359</v>
      </c>
      <c r="E364" s="317" t="s">
        <v>357</v>
      </c>
      <c r="F364" s="318" t="s">
        <v>1248</v>
      </c>
      <c r="G364" s="319" t="s">
        <v>7</v>
      </c>
      <c r="H364" s="19"/>
      <c r="I364" s="30"/>
      <c r="J364" s="126"/>
      <c r="K364" s="126"/>
      <c r="L364" s="110"/>
      <c r="M364" s="110"/>
      <c r="N364" s="110"/>
      <c r="O364" s="320" t="s">
        <v>1321</v>
      </c>
      <c r="P364" s="320" t="s">
        <v>499</v>
      </c>
      <c r="Q364" s="313" t="s">
        <v>1354</v>
      </c>
      <c r="R364" s="104"/>
      <c r="S364" s="324">
        <v>43038</v>
      </c>
      <c r="T364" s="324">
        <v>43038</v>
      </c>
      <c r="U364" s="107">
        <v>43038</v>
      </c>
      <c r="V364" s="107"/>
      <c r="W364" s="324">
        <v>43238</v>
      </c>
      <c r="X364" s="324">
        <v>43238</v>
      </c>
      <c r="Y364" s="107"/>
      <c r="Z364" s="107"/>
      <c r="AA364" s="25"/>
      <c r="AD364" s="4"/>
      <c r="AE364" s="4"/>
      <c r="AF364" s="4"/>
    </row>
    <row r="365" spans="1:34" ht="18" customHeight="1">
      <c r="A365" s="139" t="s">
        <v>1372</v>
      </c>
      <c r="B365" s="15"/>
      <c r="D365" s="46" t="s">
        <v>1359</v>
      </c>
      <c r="E365" s="317" t="s">
        <v>357</v>
      </c>
      <c r="F365" s="318" t="s">
        <v>1248</v>
      </c>
      <c r="G365" s="319" t="s">
        <v>8</v>
      </c>
      <c r="H365" s="19"/>
      <c r="I365" s="30"/>
      <c r="J365" s="106"/>
      <c r="K365" s="126"/>
      <c r="L365" s="110"/>
      <c r="M365" s="110"/>
      <c r="N365" s="110"/>
      <c r="O365" s="320" t="s">
        <v>1320</v>
      </c>
      <c r="P365" s="320" t="s">
        <v>499</v>
      </c>
      <c r="Q365" s="313" t="s">
        <v>1354</v>
      </c>
      <c r="R365" s="104"/>
      <c r="S365" s="324">
        <v>43038</v>
      </c>
      <c r="T365" s="324">
        <v>43038</v>
      </c>
      <c r="U365" s="107">
        <v>43038</v>
      </c>
      <c r="V365" s="107"/>
      <c r="W365" s="324">
        <v>43238</v>
      </c>
      <c r="X365" s="324">
        <v>43238</v>
      </c>
      <c r="Y365" s="107"/>
      <c r="Z365" s="107"/>
      <c r="AA365" s="25"/>
    </row>
    <row r="366" spans="1:34" ht="18" customHeight="1">
      <c r="A366" s="139" t="s">
        <v>1373</v>
      </c>
      <c r="B366" s="110"/>
      <c r="D366" s="46" t="s">
        <v>1359</v>
      </c>
      <c r="E366" s="317" t="s">
        <v>357</v>
      </c>
      <c r="F366" s="318" t="s">
        <v>1249</v>
      </c>
      <c r="G366" s="319" t="s">
        <v>7</v>
      </c>
      <c r="H366" s="105"/>
      <c r="I366" s="220"/>
      <c r="J366" s="126"/>
      <c r="K366" s="126"/>
      <c r="L366" s="110"/>
      <c r="M366" s="110"/>
      <c r="N366" s="110"/>
      <c r="O366" s="320" t="s">
        <v>1320</v>
      </c>
      <c r="P366" s="320" t="s">
        <v>499</v>
      </c>
      <c r="Q366" s="313" t="s">
        <v>1354</v>
      </c>
      <c r="R366" s="113"/>
      <c r="S366" s="324">
        <v>43038</v>
      </c>
      <c r="T366" s="324">
        <v>43038</v>
      </c>
      <c r="U366" s="107">
        <v>43038</v>
      </c>
      <c r="V366" s="107"/>
      <c r="W366" s="324">
        <v>43238</v>
      </c>
      <c r="X366" s="324">
        <v>43238</v>
      </c>
      <c r="Y366" s="107"/>
      <c r="Z366" s="107"/>
      <c r="AA366" s="25"/>
    </row>
    <row r="367" spans="1:34" ht="18" customHeight="1">
      <c r="A367" s="139" t="s">
        <v>1374</v>
      </c>
      <c r="B367" s="110"/>
      <c r="D367" s="46" t="s">
        <v>1359</v>
      </c>
      <c r="E367" s="317" t="s">
        <v>357</v>
      </c>
      <c r="F367" s="318" t="s">
        <v>1250</v>
      </c>
      <c r="G367" s="319" t="s">
        <v>7</v>
      </c>
      <c r="H367" s="105"/>
      <c r="I367" s="221"/>
      <c r="J367" s="126"/>
      <c r="K367" s="126"/>
      <c r="L367" s="130"/>
      <c r="M367" s="130"/>
      <c r="N367" s="130"/>
      <c r="O367" s="320" t="s">
        <v>1321</v>
      </c>
      <c r="P367" s="320" t="s">
        <v>499</v>
      </c>
      <c r="Q367" s="313" t="s">
        <v>1354</v>
      </c>
      <c r="R367" s="104"/>
      <c r="S367" s="324">
        <v>43038</v>
      </c>
      <c r="T367" s="324">
        <v>43038</v>
      </c>
      <c r="U367" s="107">
        <v>43038</v>
      </c>
      <c r="V367" s="107"/>
      <c r="W367" s="324">
        <v>43238</v>
      </c>
      <c r="X367" s="324">
        <v>43238</v>
      </c>
      <c r="Y367" s="107"/>
      <c r="Z367" s="107"/>
      <c r="AA367" s="25"/>
    </row>
    <row r="368" spans="1:34" ht="18" customHeight="1">
      <c r="A368" s="139" t="s">
        <v>1375</v>
      </c>
      <c r="B368" s="110"/>
      <c r="D368" s="46" t="s">
        <v>1359</v>
      </c>
      <c r="E368" s="317" t="s">
        <v>357</v>
      </c>
      <c r="F368" s="318" t="s">
        <v>500</v>
      </c>
      <c r="G368" s="319" t="s">
        <v>1251</v>
      </c>
      <c r="H368" s="105"/>
      <c r="I368" s="221"/>
      <c r="J368" s="126"/>
      <c r="K368" s="126"/>
      <c r="L368" s="130"/>
      <c r="M368" s="130"/>
      <c r="N368" s="130"/>
      <c r="O368" s="320" t="s">
        <v>1320</v>
      </c>
      <c r="P368" s="320" t="s">
        <v>499</v>
      </c>
      <c r="Q368" s="313" t="s">
        <v>1354</v>
      </c>
      <c r="R368" s="104"/>
      <c r="S368" s="324">
        <v>43038</v>
      </c>
      <c r="T368" s="324">
        <v>43038</v>
      </c>
      <c r="U368" s="107">
        <v>43038</v>
      </c>
      <c r="V368" s="107"/>
      <c r="W368" s="324">
        <v>43238</v>
      </c>
      <c r="X368" s="324">
        <v>43238</v>
      </c>
      <c r="Y368" s="107"/>
      <c r="Z368" s="107"/>
      <c r="AA368" s="25"/>
    </row>
    <row r="369" spans="1:34" ht="18" customHeight="1">
      <c r="A369" s="139" t="s">
        <v>1376</v>
      </c>
      <c r="B369" s="110"/>
      <c r="D369" s="46" t="s">
        <v>1359</v>
      </c>
      <c r="E369" s="317" t="s">
        <v>357</v>
      </c>
      <c r="F369" s="318" t="s">
        <v>1252</v>
      </c>
      <c r="G369" s="319" t="s">
        <v>1253</v>
      </c>
      <c r="H369" s="105"/>
      <c r="I369" s="221"/>
      <c r="J369" s="126"/>
      <c r="K369" s="126"/>
      <c r="L369" s="110"/>
      <c r="M369" s="110"/>
      <c r="N369" s="110"/>
      <c r="O369" s="320" t="s">
        <v>1321</v>
      </c>
      <c r="P369" s="320" t="s">
        <v>499</v>
      </c>
      <c r="Q369" s="313" t="s">
        <v>1354</v>
      </c>
      <c r="R369" s="104"/>
      <c r="S369" s="324">
        <v>43038</v>
      </c>
      <c r="T369" s="324">
        <v>43038</v>
      </c>
      <c r="U369" s="107">
        <v>43038</v>
      </c>
      <c r="V369" s="107"/>
      <c r="W369" s="324">
        <v>43238</v>
      </c>
      <c r="X369" s="324">
        <v>43238</v>
      </c>
      <c r="Y369" s="107"/>
      <c r="Z369" s="107"/>
      <c r="AA369" s="25"/>
      <c r="AD369" s="4"/>
      <c r="AE369" s="4"/>
    </row>
    <row r="370" spans="1:34" ht="18" customHeight="1">
      <c r="A370" s="139" t="s">
        <v>1377</v>
      </c>
      <c r="B370" s="110"/>
      <c r="D370" s="46" t="s">
        <v>1359</v>
      </c>
      <c r="E370" s="317" t="s">
        <v>357</v>
      </c>
      <c r="F370" s="318" t="s">
        <v>1254</v>
      </c>
      <c r="G370" s="319" t="s">
        <v>1253</v>
      </c>
      <c r="H370" s="105"/>
      <c r="I370" s="221"/>
      <c r="J370" s="126"/>
      <c r="K370" s="126"/>
      <c r="L370" s="110"/>
      <c r="M370" s="110"/>
      <c r="N370" s="110"/>
      <c r="O370" s="320" t="s">
        <v>1321</v>
      </c>
      <c r="P370" s="320" t="s">
        <v>499</v>
      </c>
      <c r="Q370" s="313" t="s">
        <v>1354</v>
      </c>
      <c r="R370" s="104"/>
      <c r="S370" s="324">
        <v>43038</v>
      </c>
      <c r="T370" s="324">
        <v>43038</v>
      </c>
      <c r="U370" s="107">
        <v>43038</v>
      </c>
      <c r="V370" s="107"/>
      <c r="W370" s="324">
        <v>43238</v>
      </c>
      <c r="X370" s="324">
        <v>43238</v>
      </c>
      <c r="Y370" s="107"/>
      <c r="Z370" s="107"/>
      <c r="AA370" s="25"/>
      <c r="AH370" s="6"/>
    </row>
    <row r="371" spans="1:34" ht="18" customHeight="1">
      <c r="A371" s="139" t="s">
        <v>1378</v>
      </c>
      <c r="B371" s="110"/>
      <c r="D371" s="46" t="s">
        <v>1359</v>
      </c>
      <c r="E371" s="317" t="s">
        <v>357</v>
      </c>
      <c r="F371" s="318" t="s">
        <v>1255</v>
      </c>
      <c r="G371" s="319" t="s">
        <v>1256</v>
      </c>
      <c r="H371" s="105"/>
      <c r="I371" s="221"/>
      <c r="J371" s="126"/>
      <c r="K371" s="126"/>
      <c r="L371" s="110"/>
      <c r="M371" s="110"/>
      <c r="N371" s="110"/>
      <c r="O371" s="320" t="s">
        <v>1321</v>
      </c>
      <c r="P371" s="320" t="s">
        <v>499</v>
      </c>
      <c r="Q371" s="313" t="s">
        <v>1354</v>
      </c>
      <c r="R371" s="104"/>
      <c r="S371" s="324">
        <v>43038</v>
      </c>
      <c r="T371" s="324">
        <v>43038</v>
      </c>
      <c r="U371" s="107">
        <v>43038</v>
      </c>
      <c r="V371" s="107"/>
      <c r="W371" s="324">
        <v>43238</v>
      </c>
      <c r="X371" s="324">
        <v>43238</v>
      </c>
      <c r="Y371" s="107"/>
      <c r="Z371" s="107"/>
      <c r="AA371" s="25"/>
      <c r="AD371" s="4"/>
      <c r="AE371" s="4"/>
      <c r="AH371" s="6"/>
    </row>
    <row r="372" spans="1:34" ht="18" customHeight="1">
      <c r="A372" s="139" t="s">
        <v>1379</v>
      </c>
      <c r="B372" s="110"/>
      <c r="D372" s="46" t="s">
        <v>1359</v>
      </c>
      <c r="E372" s="317" t="s">
        <v>357</v>
      </c>
      <c r="F372" s="318" t="s">
        <v>1255</v>
      </c>
      <c r="G372" s="319" t="s">
        <v>1257</v>
      </c>
      <c r="H372" s="105"/>
      <c r="I372" s="221"/>
      <c r="J372" s="126"/>
      <c r="K372" s="126"/>
      <c r="L372" s="110"/>
      <c r="M372" s="110"/>
      <c r="N372" s="127"/>
      <c r="O372" s="320" t="s">
        <v>1321</v>
      </c>
      <c r="P372" s="320" t="s">
        <v>499</v>
      </c>
      <c r="Q372" s="313" t="s">
        <v>1354</v>
      </c>
      <c r="R372" s="104"/>
      <c r="S372" s="324">
        <v>43038</v>
      </c>
      <c r="T372" s="324">
        <v>43038</v>
      </c>
      <c r="U372" s="107">
        <v>43038</v>
      </c>
      <c r="V372" s="107"/>
      <c r="W372" s="324">
        <v>43238</v>
      </c>
      <c r="X372" s="324">
        <v>43238</v>
      </c>
      <c r="Y372" s="107"/>
      <c r="Z372" s="107"/>
      <c r="AA372" s="25"/>
      <c r="AD372" s="4"/>
      <c r="AE372" s="4"/>
      <c r="AH372" s="6"/>
    </row>
    <row r="373" spans="1:34" ht="18" customHeight="1">
      <c r="A373" s="139" t="s">
        <v>1380</v>
      </c>
      <c r="B373" s="110"/>
      <c r="D373" s="46" t="s">
        <v>1359</v>
      </c>
      <c r="E373" s="317" t="s">
        <v>357</v>
      </c>
      <c r="F373" s="318" t="s">
        <v>1255</v>
      </c>
      <c r="G373" s="319" t="s">
        <v>1258</v>
      </c>
      <c r="H373" s="110"/>
      <c r="I373" s="221"/>
      <c r="J373" s="126"/>
      <c r="K373" s="126"/>
      <c r="L373" s="110"/>
      <c r="M373" s="110"/>
      <c r="N373" s="110"/>
      <c r="O373" s="320" t="s">
        <v>1320</v>
      </c>
      <c r="P373" s="320" t="s">
        <v>499</v>
      </c>
      <c r="Q373" s="313" t="s">
        <v>1354</v>
      </c>
      <c r="R373" s="104"/>
      <c r="S373" s="324">
        <v>43038</v>
      </c>
      <c r="T373" s="324">
        <v>43038</v>
      </c>
      <c r="U373" s="107">
        <v>43038</v>
      </c>
      <c r="V373" s="107"/>
      <c r="W373" s="324">
        <v>43238</v>
      </c>
      <c r="X373" s="324">
        <v>43238</v>
      </c>
      <c r="Y373" s="107"/>
      <c r="Z373" s="107"/>
      <c r="AA373" s="25"/>
      <c r="AH373" s="6"/>
    </row>
    <row r="374" spans="1:34" ht="18" customHeight="1">
      <c r="A374" s="139" t="s">
        <v>1381</v>
      </c>
      <c r="B374" s="110"/>
      <c r="D374" s="46" t="s">
        <v>1359</v>
      </c>
      <c r="E374" s="317" t="s">
        <v>357</v>
      </c>
      <c r="F374" s="318" t="s">
        <v>1255</v>
      </c>
      <c r="G374" s="319" t="s">
        <v>1259</v>
      </c>
      <c r="H374" s="110"/>
      <c r="I374" s="221"/>
      <c r="J374" s="126"/>
      <c r="K374" s="126"/>
      <c r="L374" s="110"/>
      <c r="M374" s="110"/>
      <c r="N374" s="110"/>
      <c r="O374" s="320" t="s">
        <v>1321</v>
      </c>
      <c r="P374" s="320" t="s">
        <v>499</v>
      </c>
      <c r="Q374" s="313" t="s">
        <v>1354</v>
      </c>
      <c r="R374" s="104"/>
      <c r="S374" s="324">
        <v>43038</v>
      </c>
      <c r="T374" s="324">
        <v>43038</v>
      </c>
      <c r="U374" s="107">
        <v>43038</v>
      </c>
      <c r="V374" s="107"/>
      <c r="W374" s="324">
        <v>43238</v>
      </c>
      <c r="X374" s="324">
        <v>43238</v>
      </c>
      <c r="Y374" s="107"/>
      <c r="Z374" s="107"/>
      <c r="AA374" s="25"/>
      <c r="AH374" s="6"/>
    </row>
    <row r="375" spans="1:34" ht="18" customHeight="1">
      <c r="A375" s="139" t="s">
        <v>1382</v>
      </c>
      <c r="B375" s="110"/>
      <c r="D375" s="46" t="s">
        <v>1359</v>
      </c>
      <c r="E375" s="317" t="s">
        <v>357</v>
      </c>
      <c r="F375" s="318" t="s">
        <v>1260</v>
      </c>
      <c r="G375" s="319" t="s">
        <v>1261</v>
      </c>
      <c r="H375" s="110"/>
      <c r="I375" s="221"/>
      <c r="J375" s="126"/>
      <c r="K375" s="126"/>
      <c r="L375" s="110"/>
      <c r="M375" s="110"/>
      <c r="N375" s="110"/>
      <c r="O375" s="320" t="s">
        <v>1321</v>
      </c>
      <c r="P375" s="320" t="s">
        <v>499</v>
      </c>
      <c r="Q375" s="313" t="s">
        <v>1354</v>
      </c>
      <c r="R375" s="104"/>
      <c r="S375" s="324">
        <v>43038</v>
      </c>
      <c r="T375" s="324">
        <v>43038</v>
      </c>
      <c r="U375" s="107">
        <v>43038</v>
      </c>
      <c r="V375" s="107"/>
      <c r="W375" s="324">
        <v>43238</v>
      </c>
      <c r="X375" s="324">
        <v>43238</v>
      </c>
      <c r="Y375" s="107"/>
      <c r="Z375" s="107"/>
      <c r="AA375" s="25"/>
      <c r="AH375" s="6"/>
    </row>
    <row r="376" spans="1:34" ht="18" customHeight="1">
      <c r="A376" s="139" t="s">
        <v>1383</v>
      </c>
      <c r="B376" s="110"/>
      <c r="D376" s="46" t="s">
        <v>1359</v>
      </c>
      <c r="E376" s="317" t="s">
        <v>357</v>
      </c>
      <c r="F376" s="318" t="s">
        <v>1262</v>
      </c>
      <c r="G376" s="319" t="s">
        <v>1263</v>
      </c>
      <c r="H376" s="110"/>
      <c r="I376" s="221"/>
      <c r="J376" s="126"/>
      <c r="K376" s="126"/>
      <c r="L376" s="110"/>
      <c r="M376" s="110"/>
      <c r="N376" s="110"/>
      <c r="O376" s="320" t="s">
        <v>1321</v>
      </c>
      <c r="P376" s="320" t="s">
        <v>499</v>
      </c>
      <c r="Q376" s="313" t="s">
        <v>1354</v>
      </c>
      <c r="R376" s="104"/>
      <c r="S376" s="324">
        <v>43038</v>
      </c>
      <c r="T376" s="324">
        <v>43038</v>
      </c>
      <c r="U376" s="107">
        <v>43038</v>
      </c>
      <c r="V376" s="107"/>
      <c r="W376" s="324">
        <v>43238</v>
      </c>
      <c r="X376" s="324">
        <v>43238</v>
      </c>
      <c r="Y376" s="107"/>
      <c r="Z376" s="107"/>
      <c r="AA376" s="25"/>
      <c r="AH376" s="6"/>
    </row>
    <row r="377" spans="1:34" ht="18" customHeight="1">
      <c r="A377" s="139" t="s">
        <v>1384</v>
      </c>
      <c r="B377" s="110"/>
      <c r="D377" s="46" t="s">
        <v>1359</v>
      </c>
      <c r="E377" s="317" t="s">
        <v>357</v>
      </c>
      <c r="F377" s="318" t="s">
        <v>1260</v>
      </c>
      <c r="G377" s="319" t="s">
        <v>1264</v>
      </c>
      <c r="H377" s="110"/>
      <c r="I377" s="221"/>
      <c r="J377" s="126"/>
      <c r="K377" s="126"/>
      <c r="L377" s="110"/>
      <c r="M377" s="110"/>
      <c r="N377" s="110"/>
      <c r="O377" s="320" t="s">
        <v>1321</v>
      </c>
      <c r="P377" s="320" t="s">
        <v>499</v>
      </c>
      <c r="Q377" s="313" t="s">
        <v>1354</v>
      </c>
      <c r="R377" s="104"/>
      <c r="S377" s="324">
        <v>43038</v>
      </c>
      <c r="T377" s="324">
        <v>43038</v>
      </c>
      <c r="U377" s="107">
        <v>43038</v>
      </c>
      <c r="V377" s="107"/>
      <c r="W377" s="324">
        <v>43238</v>
      </c>
      <c r="X377" s="324">
        <v>43238</v>
      </c>
      <c r="Y377" s="107"/>
      <c r="Z377" s="107"/>
      <c r="AA377" s="25"/>
      <c r="AC377" s="217"/>
    </row>
    <row r="378" spans="1:34" ht="18" customHeight="1">
      <c r="A378" s="139" t="s">
        <v>1385</v>
      </c>
      <c r="B378" s="110"/>
      <c r="D378" s="46" t="s">
        <v>1359</v>
      </c>
      <c r="E378" s="317" t="s">
        <v>357</v>
      </c>
      <c r="F378" s="318" t="s">
        <v>1265</v>
      </c>
      <c r="G378" s="319" t="s">
        <v>1266</v>
      </c>
      <c r="H378" s="110"/>
      <c r="I378" s="221"/>
      <c r="J378" s="126"/>
      <c r="K378" s="126"/>
      <c r="L378" s="110"/>
      <c r="M378" s="110"/>
      <c r="N378" s="110"/>
      <c r="O378" s="320" t="s">
        <v>1321</v>
      </c>
      <c r="P378" s="320" t="s">
        <v>499</v>
      </c>
      <c r="Q378" s="313" t="s">
        <v>1354</v>
      </c>
      <c r="R378" s="104"/>
      <c r="S378" s="324">
        <v>43038</v>
      </c>
      <c r="T378" s="324">
        <v>43038</v>
      </c>
      <c r="U378" s="107">
        <v>43038</v>
      </c>
      <c r="V378" s="107"/>
      <c r="W378" s="324">
        <v>43238</v>
      </c>
      <c r="X378" s="324">
        <v>43238</v>
      </c>
      <c r="Y378" s="107"/>
      <c r="Z378" s="107"/>
      <c r="AA378" s="25"/>
      <c r="AD378" s="4"/>
      <c r="AE378" s="4"/>
      <c r="AH378" s="6"/>
    </row>
    <row r="379" spans="1:34" ht="18" customHeight="1">
      <c r="A379" s="139" t="s">
        <v>1386</v>
      </c>
      <c r="B379" s="110"/>
      <c r="D379" s="46" t="s">
        <v>1359</v>
      </c>
      <c r="E379" s="317" t="s">
        <v>357</v>
      </c>
      <c r="F379" s="318" t="s">
        <v>1267</v>
      </c>
      <c r="G379" s="319" t="s">
        <v>1232</v>
      </c>
      <c r="H379" s="110"/>
      <c r="I379" s="221"/>
      <c r="J379" s="126"/>
      <c r="K379" s="126"/>
      <c r="L379" s="110"/>
      <c r="M379" s="110"/>
      <c r="N379" s="110"/>
      <c r="O379" s="320" t="s">
        <v>1321</v>
      </c>
      <c r="P379" s="320" t="s">
        <v>499</v>
      </c>
      <c r="Q379" s="313" t="s">
        <v>1354</v>
      </c>
      <c r="R379" s="104"/>
      <c r="S379" s="324">
        <v>43038</v>
      </c>
      <c r="T379" s="324">
        <v>43038</v>
      </c>
      <c r="U379" s="107">
        <v>43038</v>
      </c>
      <c r="V379" s="107"/>
      <c r="W379" s="324">
        <v>43238</v>
      </c>
      <c r="X379" s="324">
        <v>43238</v>
      </c>
      <c r="Y379" s="107"/>
      <c r="Z379" s="107"/>
      <c r="AA379" s="25"/>
    </row>
    <row r="380" spans="1:34" ht="18" customHeight="1">
      <c r="A380" s="139" t="s">
        <v>1387</v>
      </c>
      <c r="B380" s="110"/>
      <c r="D380" s="46" t="s">
        <v>1359</v>
      </c>
      <c r="E380" s="317" t="s">
        <v>357</v>
      </c>
      <c r="F380" s="318" t="s">
        <v>1268</v>
      </c>
      <c r="G380" s="319" t="s">
        <v>1269</v>
      </c>
      <c r="H380" s="110"/>
      <c r="I380" s="221"/>
      <c r="J380" s="126"/>
      <c r="K380" s="126"/>
      <c r="L380" s="131"/>
      <c r="M380" s="131"/>
      <c r="N380" s="131"/>
      <c r="O380" s="320" t="s">
        <v>1320</v>
      </c>
      <c r="P380" s="320" t="s">
        <v>499</v>
      </c>
      <c r="Q380" s="313" t="s">
        <v>1354</v>
      </c>
      <c r="R380" s="104"/>
      <c r="S380" s="324">
        <v>43038</v>
      </c>
      <c r="T380" s="324">
        <v>43038</v>
      </c>
      <c r="U380" s="107">
        <v>43038</v>
      </c>
      <c r="V380" s="222"/>
      <c r="W380" s="324">
        <v>43238</v>
      </c>
      <c r="X380" s="324">
        <v>43238</v>
      </c>
      <c r="Y380" s="107"/>
      <c r="Z380" s="107"/>
      <c r="AA380" s="25"/>
    </row>
    <row r="381" spans="1:34" ht="18" customHeight="1">
      <c r="A381" s="139" t="s">
        <v>1388</v>
      </c>
      <c r="B381" s="110"/>
      <c r="D381" s="46" t="s">
        <v>1359</v>
      </c>
      <c r="E381" s="317" t="s">
        <v>357</v>
      </c>
      <c r="F381" s="318" t="s">
        <v>1270</v>
      </c>
      <c r="G381" s="319" t="s">
        <v>1271</v>
      </c>
      <c r="H381" s="110"/>
      <c r="I381" s="221"/>
      <c r="J381" s="126"/>
      <c r="K381" s="126"/>
      <c r="L381" s="110"/>
      <c r="M381" s="110"/>
      <c r="N381" s="110"/>
      <c r="O381" s="320" t="s">
        <v>1322</v>
      </c>
      <c r="P381" s="320" t="s">
        <v>499</v>
      </c>
      <c r="Q381" s="313" t="s">
        <v>1354</v>
      </c>
      <c r="R381" s="104"/>
      <c r="S381" s="324">
        <v>43038</v>
      </c>
      <c r="T381" s="324">
        <v>43038</v>
      </c>
      <c r="U381" s="107">
        <v>43038</v>
      </c>
      <c r="V381" s="222"/>
      <c r="W381" s="324">
        <v>43238</v>
      </c>
      <c r="X381" s="324">
        <v>43238</v>
      </c>
      <c r="Y381" s="107"/>
      <c r="Z381" s="107"/>
      <c r="AA381" s="25"/>
    </row>
    <row r="382" spans="1:34" ht="18" customHeight="1">
      <c r="A382" s="139" t="s">
        <v>1389</v>
      </c>
      <c r="B382" s="110"/>
      <c r="D382" s="46" t="s">
        <v>1359</v>
      </c>
      <c r="E382" s="317" t="s">
        <v>357</v>
      </c>
      <c r="F382" s="318" t="s">
        <v>1272</v>
      </c>
      <c r="G382" s="319" t="s">
        <v>1269</v>
      </c>
      <c r="H382" s="110"/>
      <c r="I382" s="221"/>
      <c r="J382" s="126"/>
      <c r="K382" s="126"/>
      <c r="L382" s="110"/>
      <c r="M382" s="110"/>
      <c r="N382" s="110"/>
      <c r="O382" s="320" t="s">
        <v>1320</v>
      </c>
      <c r="P382" s="320" t="s">
        <v>499</v>
      </c>
      <c r="Q382" s="313" t="s">
        <v>1354</v>
      </c>
      <c r="R382" s="104"/>
      <c r="S382" s="324">
        <v>43038</v>
      </c>
      <c r="T382" s="324">
        <v>43038</v>
      </c>
      <c r="U382" s="107">
        <v>43038</v>
      </c>
      <c r="V382" s="222"/>
      <c r="W382" s="324">
        <v>43238</v>
      </c>
      <c r="X382" s="324">
        <v>43238</v>
      </c>
      <c r="Y382" s="107"/>
      <c r="Z382" s="107"/>
      <c r="AA382" s="25"/>
    </row>
    <row r="383" spans="1:34" ht="18" customHeight="1">
      <c r="A383" s="139" t="s">
        <v>1390</v>
      </c>
      <c r="B383" s="110"/>
      <c r="D383" s="46" t="s">
        <v>1359</v>
      </c>
      <c r="E383" s="317" t="s">
        <v>357</v>
      </c>
      <c r="F383" s="318" t="s">
        <v>1273</v>
      </c>
      <c r="G383" s="319" t="s">
        <v>7</v>
      </c>
      <c r="H383" s="105"/>
      <c r="I383" s="221"/>
      <c r="J383" s="126"/>
      <c r="K383" s="126"/>
      <c r="L383" s="110"/>
      <c r="M383" s="110"/>
      <c r="N383" s="110"/>
      <c r="O383" s="322" t="s">
        <v>1323</v>
      </c>
      <c r="P383" s="322" t="s">
        <v>501</v>
      </c>
      <c r="Q383" s="313" t="s">
        <v>1355</v>
      </c>
      <c r="R383" s="104"/>
      <c r="S383" s="324">
        <v>43209</v>
      </c>
      <c r="T383" s="324">
        <v>43209</v>
      </c>
      <c r="U383" s="107"/>
      <c r="V383" s="222"/>
      <c r="W383" s="324">
        <v>43270</v>
      </c>
      <c r="X383" s="324">
        <v>43270</v>
      </c>
      <c r="Y383" s="107"/>
      <c r="Z383" s="107"/>
      <c r="AA383" s="25"/>
    </row>
    <row r="384" spans="1:34" ht="18" customHeight="1">
      <c r="A384" s="139" t="s">
        <v>1391</v>
      </c>
      <c r="B384" s="110"/>
      <c r="D384" s="46" t="s">
        <v>1359</v>
      </c>
      <c r="E384" s="317" t="s">
        <v>357</v>
      </c>
      <c r="F384" s="318" t="s">
        <v>1274</v>
      </c>
      <c r="G384" s="319" t="s">
        <v>7</v>
      </c>
      <c r="H384" s="105"/>
      <c r="I384" s="221"/>
      <c r="J384" s="126"/>
      <c r="K384" s="126"/>
      <c r="L384" s="110"/>
      <c r="M384" s="110"/>
      <c r="N384" s="110"/>
      <c r="O384" s="322" t="s">
        <v>1324</v>
      </c>
      <c r="P384" s="322" t="s">
        <v>501</v>
      </c>
      <c r="Q384" s="313" t="s">
        <v>1355</v>
      </c>
      <c r="R384" s="104"/>
      <c r="S384" s="324">
        <v>43209</v>
      </c>
      <c r="T384" s="324">
        <v>43209</v>
      </c>
      <c r="U384" s="107"/>
      <c r="V384" s="222"/>
      <c r="W384" s="324">
        <v>43270</v>
      </c>
      <c r="X384" s="324">
        <v>43270</v>
      </c>
      <c r="Y384" s="107"/>
      <c r="Z384" s="107"/>
      <c r="AA384" s="25"/>
    </row>
    <row r="385" spans="1:34" ht="18" customHeight="1">
      <c r="A385" s="139" t="s">
        <v>1392</v>
      </c>
      <c r="B385" s="110"/>
      <c r="D385" s="46" t="s">
        <v>1359</v>
      </c>
      <c r="E385" s="317" t="s">
        <v>357</v>
      </c>
      <c r="F385" s="318" t="s">
        <v>1275</v>
      </c>
      <c r="G385" s="319" t="s">
        <v>7</v>
      </c>
      <c r="H385" s="105"/>
      <c r="I385" s="221"/>
      <c r="J385" s="126"/>
      <c r="K385" s="126"/>
      <c r="L385" s="131"/>
      <c r="M385" s="131"/>
      <c r="N385" s="131"/>
      <c r="O385" s="322" t="s">
        <v>1325</v>
      </c>
      <c r="P385" s="322" t="s">
        <v>501</v>
      </c>
      <c r="Q385" s="313" t="s">
        <v>1355</v>
      </c>
      <c r="R385" s="104"/>
      <c r="S385" s="324">
        <v>43209</v>
      </c>
      <c r="T385" s="324">
        <v>43209</v>
      </c>
      <c r="U385" s="107"/>
      <c r="V385" s="222"/>
      <c r="W385" s="324">
        <v>43270</v>
      </c>
      <c r="X385" s="324">
        <v>43270</v>
      </c>
      <c r="Y385" s="107"/>
      <c r="Z385" s="107"/>
      <c r="AA385" s="25"/>
      <c r="AH385" s="6"/>
    </row>
    <row r="386" spans="1:34" ht="18" customHeight="1">
      <c r="A386" s="139" t="s">
        <v>1393</v>
      </c>
      <c r="B386" s="110"/>
      <c r="D386" s="46" t="s">
        <v>1359</v>
      </c>
      <c r="E386" s="317" t="s">
        <v>357</v>
      </c>
      <c r="F386" s="318" t="s">
        <v>502</v>
      </c>
      <c r="G386" s="319" t="s">
        <v>1276</v>
      </c>
      <c r="H386" s="105"/>
      <c r="I386" s="221"/>
      <c r="J386" s="126"/>
      <c r="K386" s="126"/>
      <c r="L386" s="131"/>
      <c r="M386" s="131"/>
      <c r="N386" s="131"/>
      <c r="O386" s="322" t="s">
        <v>1324</v>
      </c>
      <c r="P386" s="322" t="s">
        <v>501</v>
      </c>
      <c r="Q386" s="313" t="s">
        <v>1355</v>
      </c>
      <c r="R386" s="104"/>
      <c r="S386" s="324">
        <v>43209</v>
      </c>
      <c r="T386" s="324">
        <v>43209</v>
      </c>
      <c r="U386" s="107"/>
      <c r="V386" s="222"/>
      <c r="W386" s="324">
        <v>43270</v>
      </c>
      <c r="X386" s="324">
        <v>43270</v>
      </c>
      <c r="Y386" s="107"/>
      <c r="Z386" s="107"/>
      <c r="AA386" s="25"/>
      <c r="AH386" s="6"/>
    </row>
    <row r="387" spans="1:34" ht="18" customHeight="1">
      <c r="A387" s="139" t="s">
        <v>1394</v>
      </c>
      <c r="B387" s="110"/>
      <c r="D387" s="46" t="s">
        <v>1359</v>
      </c>
      <c r="E387" s="317" t="s">
        <v>357</v>
      </c>
      <c r="F387" s="318" t="s">
        <v>1277</v>
      </c>
      <c r="G387" s="319" t="s">
        <v>1278</v>
      </c>
      <c r="H387" s="105"/>
      <c r="I387" s="221"/>
      <c r="J387" s="126"/>
      <c r="K387" s="126"/>
      <c r="L387" s="110"/>
      <c r="M387" s="110"/>
      <c r="N387" s="110"/>
      <c r="O387" s="322" t="s">
        <v>1324</v>
      </c>
      <c r="P387" s="322" t="s">
        <v>501</v>
      </c>
      <c r="Q387" s="313" t="s">
        <v>1355</v>
      </c>
      <c r="R387" s="104"/>
      <c r="S387" s="324">
        <v>43209</v>
      </c>
      <c r="T387" s="324">
        <v>43209</v>
      </c>
      <c r="U387" s="107"/>
      <c r="V387" s="222"/>
      <c r="W387" s="324">
        <v>43270</v>
      </c>
      <c r="X387" s="324">
        <v>43270</v>
      </c>
      <c r="Y387" s="107"/>
      <c r="Z387" s="107"/>
      <c r="AA387" s="25"/>
    </row>
    <row r="388" spans="1:34" ht="18" customHeight="1">
      <c r="A388" s="139" t="s">
        <v>1395</v>
      </c>
      <c r="B388" s="110"/>
      <c r="D388" s="46" t="s">
        <v>1359</v>
      </c>
      <c r="E388" s="317" t="s">
        <v>1279</v>
      </c>
      <c r="F388" s="318" t="s">
        <v>1280</v>
      </c>
      <c r="G388" s="319" t="s">
        <v>7</v>
      </c>
      <c r="H388" s="105"/>
      <c r="I388" s="221"/>
      <c r="J388" s="126"/>
      <c r="K388" s="126"/>
      <c r="L388" s="110"/>
      <c r="M388" s="110"/>
      <c r="N388" s="110"/>
      <c r="O388" s="322" t="s">
        <v>1326</v>
      </c>
      <c r="P388" s="322" t="s">
        <v>1343</v>
      </c>
      <c r="Q388" s="313" t="s">
        <v>1355</v>
      </c>
      <c r="R388" s="104"/>
      <c r="S388" s="324">
        <v>43209</v>
      </c>
      <c r="T388" s="324">
        <v>43209</v>
      </c>
      <c r="U388" s="107"/>
      <c r="V388" s="222"/>
      <c r="W388" s="324">
        <v>43277</v>
      </c>
      <c r="X388" s="324">
        <v>43277</v>
      </c>
      <c r="Y388" s="107"/>
      <c r="Z388" s="107"/>
      <c r="AA388" s="25"/>
      <c r="AH388" s="6"/>
    </row>
    <row r="389" spans="1:34" ht="18" customHeight="1">
      <c r="A389" s="139" t="s">
        <v>1396</v>
      </c>
      <c r="B389" s="110"/>
      <c r="D389" s="46" t="s">
        <v>1359</v>
      </c>
      <c r="E389" s="317" t="s">
        <v>357</v>
      </c>
      <c r="F389" s="318" t="s">
        <v>1281</v>
      </c>
      <c r="G389" s="319" t="s">
        <v>1282</v>
      </c>
      <c r="H389" s="105"/>
      <c r="I389" s="221"/>
      <c r="J389" s="126"/>
      <c r="K389" s="126"/>
      <c r="L389" s="110"/>
      <c r="M389" s="110"/>
      <c r="N389" s="110"/>
      <c r="O389" s="322" t="s">
        <v>1326</v>
      </c>
      <c r="P389" s="322" t="s">
        <v>1344</v>
      </c>
      <c r="Q389" s="313" t="s">
        <v>1355</v>
      </c>
      <c r="R389" s="104"/>
      <c r="S389" s="324">
        <v>43209</v>
      </c>
      <c r="T389" s="324">
        <v>43209</v>
      </c>
      <c r="U389" s="107"/>
      <c r="V389" s="222"/>
      <c r="W389" s="324">
        <v>43277</v>
      </c>
      <c r="X389" s="324">
        <v>43277</v>
      </c>
      <c r="Y389" s="107"/>
      <c r="Z389" s="107"/>
      <c r="AA389" s="25"/>
    </row>
    <row r="390" spans="1:34" ht="18" customHeight="1">
      <c r="A390" s="139" t="s">
        <v>1397</v>
      </c>
      <c r="B390" s="110"/>
      <c r="D390" s="46" t="s">
        <v>1359</v>
      </c>
      <c r="E390" s="317" t="s">
        <v>357</v>
      </c>
      <c r="F390" s="318" t="s">
        <v>1283</v>
      </c>
      <c r="G390" s="319" t="s">
        <v>8</v>
      </c>
      <c r="H390" s="105"/>
      <c r="I390" s="221"/>
      <c r="J390" s="126"/>
      <c r="K390" s="126"/>
      <c r="L390" s="110"/>
      <c r="M390" s="110"/>
      <c r="N390" s="110"/>
      <c r="O390" s="322" t="s">
        <v>1326</v>
      </c>
      <c r="P390" s="322" t="s">
        <v>1344</v>
      </c>
      <c r="Q390" s="313" t="s">
        <v>1355</v>
      </c>
      <c r="R390" s="130"/>
      <c r="S390" s="324">
        <v>43209</v>
      </c>
      <c r="T390" s="324">
        <v>43209</v>
      </c>
      <c r="U390" s="107"/>
      <c r="V390" s="222"/>
      <c r="W390" s="324">
        <v>43277</v>
      </c>
      <c r="X390" s="324">
        <v>43277</v>
      </c>
      <c r="Y390" s="107"/>
      <c r="Z390" s="107"/>
      <c r="AA390" s="25"/>
    </row>
    <row r="391" spans="1:34" ht="18" customHeight="1">
      <c r="A391" s="139" t="s">
        <v>1398</v>
      </c>
      <c r="B391" s="110"/>
      <c r="D391" s="46" t="s">
        <v>1359</v>
      </c>
      <c r="E391" s="317" t="s">
        <v>357</v>
      </c>
      <c r="F391" s="318" t="s">
        <v>1283</v>
      </c>
      <c r="G391" s="319" t="s">
        <v>1238</v>
      </c>
      <c r="H391" s="105"/>
      <c r="I391" s="221"/>
      <c r="J391" s="126"/>
      <c r="K391" s="126"/>
      <c r="L391" s="130"/>
      <c r="M391" s="130"/>
      <c r="N391" s="130"/>
      <c r="O391" s="322" t="s">
        <v>1326</v>
      </c>
      <c r="P391" s="322" t="s">
        <v>1344</v>
      </c>
      <c r="Q391" s="313" t="s">
        <v>1355</v>
      </c>
      <c r="R391" s="104"/>
      <c r="S391" s="324">
        <v>43209</v>
      </c>
      <c r="T391" s="324">
        <v>43209</v>
      </c>
      <c r="U391" s="107"/>
      <c r="V391" s="222"/>
      <c r="W391" s="324">
        <v>43277</v>
      </c>
      <c r="X391" s="324">
        <v>43277</v>
      </c>
      <c r="Y391" s="107"/>
      <c r="Z391" s="107"/>
      <c r="AA391" s="25"/>
    </row>
    <row r="392" spans="1:34" ht="18" customHeight="1">
      <c r="A392" s="139" t="s">
        <v>1399</v>
      </c>
      <c r="B392" s="110"/>
      <c r="D392" s="46" t="s">
        <v>1359</v>
      </c>
      <c r="E392" s="317" t="s">
        <v>357</v>
      </c>
      <c r="F392" s="318" t="s">
        <v>1283</v>
      </c>
      <c r="G392" s="319" t="s">
        <v>1241</v>
      </c>
      <c r="H392" s="110"/>
      <c r="I392" s="110"/>
      <c r="J392" s="126"/>
      <c r="K392" s="126"/>
      <c r="L392" s="110"/>
      <c r="M392" s="110"/>
      <c r="N392" s="110"/>
      <c r="O392" s="322" t="s">
        <v>1327</v>
      </c>
      <c r="P392" s="322" t="s">
        <v>1344</v>
      </c>
      <c r="Q392" s="313" t="s">
        <v>1355</v>
      </c>
      <c r="R392" s="104"/>
      <c r="S392" s="324">
        <v>43209</v>
      </c>
      <c r="T392" s="324">
        <v>43209</v>
      </c>
      <c r="U392" s="107"/>
      <c r="V392" s="107"/>
      <c r="W392" s="324">
        <v>43277</v>
      </c>
      <c r="X392" s="324">
        <v>43277</v>
      </c>
      <c r="Y392" s="107"/>
      <c r="Z392" s="107"/>
      <c r="AA392" s="25"/>
      <c r="AD392" s="4"/>
      <c r="AE392" s="4"/>
      <c r="AH392" s="6"/>
    </row>
    <row r="393" spans="1:34" ht="18" customHeight="1">
      <c r="A393" s="139" t="s">
        <v>1400</v>
      </c>
      <c r="B393" s="15"/>
      <c r="D393" s="46" t="s">
        <v>1359</v>
      </c>
      <c r="E393" s="317" t="s">
        <v>357</v>
      </c>
      <c r="F393" s="318" t="s">
        <v>1283</v>
      </c>
      <c r="G393" s="319" t="s">
        <v>1242</v>
      </c>
      <c r="H393" s="19"/>
      <c r="I393" s="30"/>
      <c r="J393" s="126"/>
      <c r="K393" s="126"/>
      <c r="L393" s="110"/>
      <c r="M393" s="110"/>
      <c r="N393" s="104"/>
      <c r="O393" s="322" t="s">
        <v>1326</v>
      </c>
      <c r="P393" s="322" t="s">
        <v>1344</v>
      </c>
      <c r="Q393" s="313" t="s">
        <v>1355</v>
      </c>
      <c r="R393" s="104"/>
      <c r="S393" s="324">
        <v>43209</v>
      </c>
      <c r="T393" s="324">
        <v>43209</v>
      </c>
      <c r="U393" s="107"/>
      <c r="V393" s="107"/>
      <c r="W393" s="324">
        <v>43277</v>
      </c>
      <c r="X393" s="324">
        <v>43277</v>
      </c>
      <c r="Y393" s="107"/>
      <c r="Z393" s="107"/>
      <c r="AA393" s="25"/>
      <c r="AH393" s="6"/>
    </row>
    <row r="394" spans="1:34" ht="18" customHeight="1">
      <c r="A394" s="139" t="s">
        <v>1401</v>
      </c>
      <c r="B394" s="15"/>
      <c r="D394" s="46" t="s">
        <v>1359</v>
      </c>
      <c r="E394" s="317" t="s">
        <v>357</v>
      </c>
      <c r="F394" s="318" t="s">
        <v>1283</v>
      </c>
      <c r="G394" s="319" t="s">
        <v>1243</v>
      </c>
      <c r="H394" s="19"/>
      <c r="I394" s="30"/>
      <c r="J394" s="126"/>
      <c r="K394" s="126"/>
      <c r="L394" s="110"/>
      <c r="M394" s="110"/>
      <c r="N394" s="104"/>
      <c r="O394" s="322" t="s">
        <v>1326</v>
      </c>
      <c r="P394" s="322" t="s">
        <v>1344</v>
      </c>
      <c r="Q394" s="313" t="s">
        <v>1355</v>
      </c>
      <c r="R394" s="104"/>
      <c r="S394" s="324">
        <v>43209</v>
      </c>
      <c r="T394" s="324">
        <v>43209</v>
      </c>
      <c r="U394" s="107"/>
      <c r="V394" s="107"/>
      <c r="W394" s="324">
        <v>43277</v>
      </c>
      <c r="X394" s="324">
        <v>43277</v>
      </c>
      <c r="Y394" s="107"/>
      <c r="Z394" s="107"/>
      <c r="AA394" s="25"/>
      <c r="AH394" s="6"/>
    </row>
    <row r="395" spans="1:34" ht="18" customHeight="1">
      <c r="A395" s="139" t="s">
        <v>1402</v>
      </c>
      <c r="B395" s="15"/>
      <c r="D395" s="46" t="s">
        <v>1359</v>
      </c>
      <c r="E395" s="317" t="s">
        <v>357</v>
      </c>
      <c r="F395" s="318" t="s">
        <v>1284</v>
      </c>
      <c r="G395" s="319" t="s">
        <v>8</v>
      </c>
      <c r="H395" s="19"/>
      <c r="I395" s="30"/>
      <c r="J395" s="126"/>
      <c r="K395" s="126"/>
      <c r="L395" s="110"/>
      <c r="M395" s="110"/>
      <c r="N395" s="104"/>
      <c r="O395" s="322" t="s">
        <v>1326</v>
      </c>
      <c r="P395" s="322" t="s">
        <v>1344</v>
      </c>
      <c r="Q395" s="313" t="s">
        <v>1355</v>
      </c>
      <c r="R395" s="104"/>
      <c r="S395" s="324">
        <v>43209</v>
      </c>
      <c r="T395" s="324">
        <v>43209</v>
      </c>
      <c r="U395" s="107"/>
      <c r="V395" s="107"/>
      <c r="W395" s="324">
        <v>43277</v>
      </c>
      <c r="X395" s="324">
        <v>43277</v>
      </c>
      <c r="Y395" s="107"/>
      <c r="Z395" s="107"/>
      <c r="AA395" s="25"/>
      <c r="AH395" s="6"/>
    </row>
    <row r="396" spans="1:34" ht="18" customHeight="1">
      <c r="A396" s="139" t="s">
        <v>1403</v>
      </c>
      <c r="B396" s="15"/>
      <c r="D396" s="46" t="s">
        <v>1359</v>
      </c>
      <c r="E396" s="317" t="s">
        <v>357</v>
      </c>
      <c r="F396" s="318" t="s">
        <v>1284</v>
      </c>
      <c r="G396" s="319" t="s">
        <v>1238</v>
      </c>
      <c r="H396" s="19"/>
      <c r="I396" s="30"/>
      <c r="J396" s="126"/>
      <c r="K396" s="126"/>
      <c r="L396" s="110"/>
      <c r="M396" s="110"/>
      <c r="N396" s="104"/>
      <c r="O396" s="322" t="s">
        <v>1326</v>
      </c>
      <c r="P396" s="322" t="s">
        <v>1344</v>
      </c>
      <c r="Q396" s="313" t="s">
        <v>1355</v>
      </c>
      <c r="R396" s="104"/>
      <c r="S396" s="324">
        <v>43209</v>
      </c>
      <c r="T396" s="324">
        <v>43209</v>
      </c>
      <c r="U396" s="107"/>
      <c r="V396" s="107"/>
      <c r="W396" s="324">
        <v>43277</v>
      </c>
      <c r="X396" s="324">
        <v>43277</v>
      </c>
      <c r="Y396" s="107"/>
      <c r="Z396" s="107"/>
      <c r="AA396" s="25"/>
      <c r="AH396" s="6"/>
    </row>
    <row r="397" spans="1:34" ht="18" customHeight="1">
      <c r="A397" s="139" t="s">
        <v>1404</v>
      </c>
      <c r="B397" s="15"/>
      <c r="D397" s="46" t="s">
        <v>1359</v>
      </c>
      <c r="E397" s="317" t="s">
        <v>357</v>
      </c>
      <c r="F397" s="318" t="s">
        <v>1284</v>
      </c>
      <c r="G397" s="319" t="s">
        <v>1241</v>
      </c>
      <c r="H397" s="19"/>
      <c r="I397" s="30"/>
      <c r="J397" s="126"/>
      <c r="K397" s="126"/>
      <c r="L397" s="110"/>
      <c r="M397" s="110"/>
      <c r="N397" s="104"/>
      <c r="O397" s="322" t="s">
        <v>1328</v>
      </c>
      <c r="P397" s="322" t="s">
        <v>1344</v>
      </c>
      <c r="Q397" s="313" t="s">
        <v>1355</v>
      </c>
      <c r="R397" s="104"/>
      <c r="S397" s="324">
        <v>43209</v>
      </c>
      <c r="T397" s="324">
        <v>43209</v>
      </c>
      <c r="U397" s="107"/>
      <c r="V397" s="107"/>
      <c r="W397" s="324">
        <v>43277</v>
      </c>
      <c r="X397" s="324">
        <v>43277</v>
      </c>
      <c r="Y397" s="107"/>
      <c r="Z397" s="107"/>
      <c r="AA397" s="25"/>
      <c r="AH397" s="6"/>
    </row>
    <row r="398" spans="1:34" ht="18" customHeight="1">
      <c r="A398" s="139" t="s">
        <v>1405</v>
      </c>
      <c r="B398" s="15"/>
      <c r="D398" s="46" t="s">
        <v>1359</v>
      </c>
      <c r="E398" s="317" t="s">
        <v>357</v>
      </c>
      <c r="F398" s="318" t="s">
        <v>1284</v>
      </c>
      <c r="G398" s="319" t="s">
        <v>1242</v>
      </c>
      <c r="H398" s="19"/>
      <c r="I398" s="30"/>
      <c r="J398" s="126"/>
      <c r="K398" s="126"/>
      <c r="L398" s="110"/>
      <c r="M398" s="110"/>
      <c r="N398" s="127"/>
      <c r="O398" s="322" t="s">
        <v>1326</v>
      </c>
      <c r="P398" s="322" t="s">
        <v>1344</v>
      </c>
      <c r="Q398" s="313" t="s">
        <v>1355</v>
      </c>
      <c r="R398" s="104"/>
      <c r="S398" s="324">
        <v>43209</v>
      </c>
      <c r="T398" s="324">
        <v>43209</v>
      </c>
      <c r="U398" s="107"/>
      <c r="V398" s="107"/>
      <c r="W398" s="324">
        <v>43277</v>
      </c>
      <c r="X398" s="324">
        <v>43277</v>
      </c>
      <c r="Y398" s="107"/>
      <c r="Z398" s="107"/>
      <c r="AA398" s="25"/>
      <c r="AH398" s="6"/>
    </row>
    <row r="399" spans="1:34" ht="18" customHeight="1">
      <c r="A399" s="139" t="s">
        <v>1406</v>
      </c>
      <c r="B399" s="15"/>
      <c r="D399" s="46" t="s">
        <v>1359</v>
      </c>
      <c r="E399" s="317" t="s">
        <v>357</v>
      </c>
      <c r="F399" s="318" t="s">
        <v>1284</v>
      </c>
      <c r="G399" s="319" t="s">
        <v>1243</v>
      </c>
      <c r="H399" s="19"/>
      <c r="I399" s="30"/>
      <c r="J399" s="126"/>
      <c r="K399" s="126"/>
      <c r="L399" s="110"/>
      <c r="M399" s="110"/>
      <c r="N399" s="127"/>
      <c r="O399" s="322" t="s">
        <v>1326</v>
      </c>
      <c r="P399" s="322" t="s">
        <v>1344</v>
      </c>
      <c r="Q399" s="313" t="s">
        <v>1355</v>
      </c>
      <c r="R399" s="104"/>
      <c r="S399" s="324">
        <v>43209</v>
      </c>
      <c r="T399" s="324">
        <v>43209</v>
      </c>
      <c r="U399" s="107"/>
      <c r="V399" s="107"/>
      <c r="W399" s="324">
        <v>43277</v>
      </c>
      <c r="X399" s="324">
        <v>43277</v>
      </c>
      <c r="Y399" s="107"/>
      <c r="Z399" s="107"/>
      <c r="AA399" s="25"/>
      <c r="AH399" s="6"/>
    </row>
    <row r="400" spans="1:34" ht="18" customHeight="1">
      <c r="A400" s="139" t="s">
        <v>1407</v>
      </c>
      <c r="B400" s="15"/>
      <c r="D400" s="46" t="s">
        <v>1359</v>
      </c>
      <c r="E400" s="317" t="s">
        <v>357</v>
      </c>
      <c r="F400" s="318" t="s">
        <v>1285</v>
      </c>
      <c r="G400" s="319" t="s">
        <v>1238</v>
      </c>
      <c r="H400" s="19"/>
      <c r="I400" s="30"/>
      <c r="J400" s="126"/>
      <c r="K400" s="126"/>
      <c r="L400" s="110"/>
      <c r="M400" s="110"/>
      <c r="N400" s="127"/>
      <c r="O400" s="322" t="s">
        <v>1326</v>
      </c>
      <c r="P400" s="322" t="s">
        <v>1344</v>
      </c>
      <c r="Q400" s="313" t="s">
        <v>1355</v>
      </c>
      <c r="R400" s="104"/>
      <c r="S400" s="324">
        <v>43209</v>
      </c>
      <c r="T400" s="324">
        <v>43209</v>
      </c>
      <c r="U400" s="107"/>
      <c r="V400" s="107"/>
      <c r="W400" s="324">
        <v>43277</v>
      </c>
      <c r="X400" s="324">
        <v>43277</v>
      </c>
      <c r="Y400" s="107"/>
      <c r="Z400" s="107"/>
      <c r="AA400" s="25"/>
      <c r="AH400" s="6"/>
    </row>
    <row r="401" spans="1:34" ht="18" customHeight="1">
      <c r="A401" s="139" t="s">
        <v>1408</v>
      </c>
      <c r="B401" s="15"/>
      <c r="D401" s="46" t="s">
        <v>1359</v>
      </c>
      <c r="E401" s="317" t="s">
        <v>357</v>
      </c>
      <c r="F401" s="318" t="s">
        <v>1285</v>
      </c>
      <c r="G401" s="319" t="s">
        <v>1251</v>
      </c>
      <c r="H401" s="19"/>
      <c r="I401" s="30"/>
      <c r="J401" s="126"/>
      <c r="K401" s="126"/>
      <c r="L401" s="110"/>
      <c r="M401" s="110"/>
      <c r="N401" s="127"/>
      <c r="O401" s="322" t="s">
        <v>1328</v>
      </c>
      <c r="P401" s="322" t="s">
        <v>1344</v>
      </c>
      <c r="Q401" s="313" t="s">
        <v>1355</v>
      </c>
      <c r="R401" s="104"/>
      <c r="S401" s="324">
        <v>43209</v>
      </c>
      <c r="T401" s="324">
        <v>43209</v>
      </c>
      <c r="U401" s="107"/>
      <c r="V401" s="107"/>
      <c r="W401" s="324">
        <v>43277</v>
      </c>
      <c r="X401" s="324">
        <v>43277</v>
      </c>
      <c r="Y401" s="107"/>
      <c r="Z401" s="107"/>
      <c r="AA401" s="25"/>
      <c r="AH401" s="6"/>
    </row>
    <row r="402" spans="1:34" ht="18" customHeight="1">
      <c r="A402" s="139" t="s">
        <v>1409</v>
      </c>
      <c r="B402" s="15"/>
      <c r="D402" s="46" t="s">
        <v>1359</v>
      </c>
      <c r="E402" s="317" t="s">
        <v>357</v>
      </c>
      <c r="F402" s="318" t="s">
        <v>1285</v>
      </c>
      <c r="G402" s="319" t="s">
        <v>1241</v>
      </c>
      <c r="H402" s="19"/>
      <c r="I402" s="30"/>
      <c r="J402" s="126"/>
      <c r="K402" s="126"/>
      <c r="L402" s="110"/>
      <c r="M402" s="110"/>
      <c r="N402" s="110"/>
      <c r="O402" s="322" t="s">
        <v>1328</v>
      </c>
      <c r="P402" s="322" t="s">
        <v>1344</v>
      </c>
      <c r="Q402" s="313" t="s">
        <v>1355</v>
      </c>
      <c r="R402" s="104"/>
      <c r="S402" s="324">
        <v>43209</v>
      </c>
      <c r="T402" s="324">
        <v>43209</v>
      </c>
      <c r="U402" s="107"/>
      <c r="V402" s="107"/>
      <c r="W402" s="324">
        <v>43277</v>
      </c>
      <c r="X402" s="324">
        <v>43277</v>
      </c>
      <c r="Y402" s="107"/>
      <c r="Z402" s="107"/>
      <c r="AA402" s="25"/>
      <c r="AH402" s="6"/>
    </row>
    <row r="403" spans="1:34" ht="18" customHeight="1">
      <c r="A403" s="139" t="s">
        <v>1410</v>
      </c>
      <c r="B403" s="15"/>
      <c r="D403" s="46" t="s">
        <v>1359</v>
      </c>
      <c r="E403" s="317" t="s">
        <v>357</v>
      </c>
      <c r="F403" s="318" t="s">
        <v>1285</v>
      </c>
      <c r="G403" s="319" t="s">
        <v>1243</v>
      </c>
      <c r="H403" s="19"/>
      <c r="I403" s="30"/>
      <c r="J403" s="126"/>
      <c r="K403" s="126"/>
      <c r="L403" s="110"/>
      <c r="M403" s="110"/>
      <c r="N403" s="110"/>
      <c r="O403" s="322" t="s">
        <v>1326</v>
      </c>
      <c r="P403" s="322" t="s">
        <v>1344</v>
      </c>
      <c r="Q403" s="313" t="s">
        <v>1355</v>
      </c>
      <c r="R403" s="104"/>
      <c r="S403" s="324">
        <v>43209</v>
      </c>
      <c r="T403" s="324">
        <v>43209</v>
      </c>
      <c r="U403" s="107"/>
      <c r="V403" s="107"/>
      <c r="W403" s="324">
        <v>43277</v>
      </c>
      <c r="X403" s="324">
        <v>43277</v>
      </c>
      <c r="Y403" s="107"/>
      <c r="Z403" s="107"/>
      <c r="AA403" s="25"/>
      <c r="AH403" s="6"/>
    </row>
    <row r="404" spans="1:34" ht="18" customHeight="1">
      <c r="A404" s="139" t="s">
        <v>1411</v>
      </c>
      <c r="B404" s="15"/>
      <c r="D404" s="46" t="s">
        <v>1359</v>
      </c>
      <c r="E404" s="317" t="s">
        <v>357</v>
      </c>
      <c r="F404" s="318" t="s">
        <v>1280</v>
      </c>
      <c r="G404" s="319" t="s">
        <v>1238</v>
      </c>
      <c r="H404" s="19"/>
      <c r="I404" s="30"/>
      <c r="J404" s="126"/>
      <c r="K404" s="126"/>
      <c r="L404" s="110"/>
      <c r="M404" s="110"/>
      <c r="N404" s="110"/>
      <c r="O404" s="322" t="s">
        <v>1328</v>
      </c>
      <c r="P404" s="322" t="s">
        <v>1344</v>
      </c>
      <c r="Q404" s="313" t="s">
        <v>1355</v>
      </c>
      <c r="R404" s="104"/>
      <c r="S404" s="324">
        <v>43209</v>
      </c>
      <c r="T404" s="324">
        <v>43209</v>
      </c>
      <c r="U404" s="107"/>
      <c r="V404" s="107"/>
      <c r="W404" s="324">
        <v>43277</v>
      </c>
      <c r="X404" s="324">
        <v>43277</v>
      </c>
      <c r="Y404" s="107"/>
      <c r="Z404" s="107"/>
      <c r="AA404" s="25"/>
    </row>
    <row r="405" spans="1:34" ht="18" customHeight="1">
      <c r="A405" s="139" t="s">
        <v>1412</v>
      </c>
      <c r="B405" s="15"/>
      <c r="D405" s="46" t="s">
        <v>1359</v>
      </c>
      <c r="E405" s="317" t="s">
        <v>357</v>
      </c>
      <c r="F405" s="318" t="s">
        <v>1280</v>
      </c>
      <c r="G405" s="319" t="s">
        <v>1251</v>
      </c>
      <c r="H405" s="19"/>
      <c r="I405" s="30"/>
      <c r="J405" s="126"/>
      <c r="K405" s="126"/>
      <c r="L405" s="110"/>
      <c r="M405" s="110"/>
      <c r="N405" s="110"/>
      <c r="O405" s="322" t="s">
        <v>1326</v>
      </c>
      <c r="P405" s="322" t="s">
        <v>1344</v>
      </c>
      <c r="Q405" s="313" t="s">
        <v>1355</v>
      </c>
      <c r="R405" s="104"/>
      <c r="S405" s="324">
        <v>43209</v>
      </c>
      <c r="T405" s="324">
        <v>43209</v>
      </c>
      <c r="U405" s="107"/>
      <c r="V405" s="107"/>
      <c r="W405" s="324">
        <v>43277</v>
      </c>
      <c r="X405" s="324">
        <v>43277</v>
      </c>
      <c r="Y405" s="107"/>
      <c r="Z405" s="107"/>
      <c r="AA405" s="25"/>
      <c r="AH405" s="6"/>
    </row>
    <row r="406" spans="1:34" ht="18" customHeight="1">
      <c r="A406" s="139" t="s">
        <v>1413</v>
      </c>
      <c r="B406" s="15"/>
      <c r="D406" s="46" t="s">
        <v>1359</v>
      </c>
      <c r="E406" s="317" t="s">
        <v>357</v>
      </c>
      <c r="F406" s="318" t="s">
        <v>1280</v>
      </c>
      <c r="G406" s="319" t="s">
        <v>1242</v>
      </c>
      <c r="H406" s="19"/>
      <c r="I406" s="30"/>
      <c r="J406" s="126"/>
      <c r="K406" s="126"/>
      <c r="L406" s="110"/>
      <c r="M406" s="110"/>
      <c r="N406" s="110"/>
      <c r="O406" s="322" t="s">
        <v>1326</v>
      </c>
      <c r="P406" s="322" t="s">
        <v>1344</v>
      </c>
      <c r="Q406" s="313" t="s">
        <v>1355</v>
      </c>
      <c r="R406" s="104"/>
      <c r="S406" s="324">
        <v>43209</v>
      </c>
      <c r="T406" s="324">
        <v>43209</v>
      </c>
      <c r="U406" s="107"/>
      <c r="V406" s="107"/>
      <c r="W406" s="324">
        <v>43277</v>
      </c>
      <c r="X406" s="324">
        <v>43277</v>
      </c>
      <c r="Y406" s="107"/>
      <c r="Z406" s="107"/>
      <c r="AA406" s="25"/>
      <c r="AH406" s="6"/>
    </row>
    <row r="407" spans="1:34" ht="18" customHeight="1">
      <c r="A407" s="139" t="s">
        <v>1414</v>
      </c>
      <c r="B407" s="15"/>
      <c r="D407" s="46" t="s">
        <v>1359</v>
      </c>
      <c r="E407" s="317" t="s">
        <v>357</v>
      </c>
      <c r="F407" s="318" t="s">
        <v>1280</v>
      </c>
      <c r="G407" s="319" t="s">
        <v>1243</v>
      </c>
      <c r="H407" s="19"/>
      <c r="I407" s="30"/>
      <c r="J407" s="126"/>
      <c r="K407" s="126"/>
      <c r="L407" s="110"/>
      <c r="M407" s="110"/>
      <c r="N407" s="110"/>
      <c r="O407" s="322" t="s">
        <v>1326</v>
      </c>
      <c r="P407" s="322" t="s">
        <v>1344</v>
      </c>
      <c r="Q407" s="313" t="s">
        <v>1355</v>
      </c>
      <c r="R407" s="104"/>
      <c r="S407" s="324">
        <v>43209</v>
      </c>
      <c r="T407" s="324">
        <v>43209</v>
      </c>
      <c r="U407" s="107"/>
      <c r="V407" s="107"/>
      <c r="W407" s="324">
        <v>43277</v>
      </c>
      <c r="X407" s="324">
        <v>43277</v>
      </c>
      <c r="Y407" s="107"/>
      <c r="Z407" s="107"/>
      <c r="AA407" s="25"/>
      <c r="AH407" s="6"/>
    </row>
    <row r="408" spans="1:34" ht="18" customHeight="1">
      <c r="A408" s="139" t="s">
        <v>1415</v>
      </c>
      <c r="B408" s="15"/>
      <c r="D408" s="46" t="s">
        <v>1359</v>
      </c>
      <c r="E408" s="317" t="s">
        <v>357</v>
      </c>
      <c r="F408" s="318" t="s">
        <v>1286</v>
      </c>
      <c r="G408" s="319" t="s">
        <v>1287</v>
      </c>
      <c r="H408" s="19"/>
      <c r="I408" s="30"/>
      <c r="J408" s="126"/>
      <c r="K408" s="126"/>
      <c r="L408" s="131"/>
      <c r="M408" s="131"/>
      <c r="N408" s="131"/>
      <c r="O408" s="322" t="s">
        <v>1326</v>
      </c>
      <c r="P408" s="322" t="s">
        <v>1344</v>
      </c>
      <c r="Q408" s="313" t="s">
        <v>1355</v>
      </c>
      <c r="R408" s="104"/>
      <c r="S408" s="324">
        <v>43209</v>
      </c>
      <c r="T408" s="324">
        <v>43209</v>
      </c>
      <c r="U408" s="107"/>
      <c r="V408" s="107"/>
      <c r="W408" s="324">
        <v>43277</v>
      </c>
      <c r="X408" s="324">
        <v>43277</v>
      </c>
      <c r="Y408" s="107"/>
      <c r="Z408" s="107"/>
      <c r="AA408" s="25"/>
    </row>
    <row r="409" spans="1:34" ht="18" customHeight="1">
      <c r="A409" s="139" t="s">
        <v>1416</v>
      </c>
      <c r="B409" s="15"/>
      <c r="D409" s="46" t="s">
        <v>1359</v>
      </c>
      <c r="E409" s="317" t="s">
        <v>357</v>
      </c>
      <c r="F409" s="318" t="s">
        <v>1286</v>
      </c>
      <c r="G409" s="319" t="s">
        <v>1282</v>
      </c>
      <c r="H409" s="19"/>
      <c r="I409" s="30"/>
      <c r="J409" s="126"/>
      <c r="K409" s="126"/>
      <c r="L409" s="110"/>
      <c r="M409" s="110"/>
      <c r="N409" s="110"/>
      <c r="O409" s="322" t="s">
        <v>1328</v>
      </c>
      <c r="P409" s="322" t="s">
        <v>1344</v>
      </c>
      <c r="Q409" s="313" t="s">
        <v>1355</v>
      </c>
      <c r="R409" s="104"/>
      <c r="S409" s="324">
        <v>43209</v>
      </c>
      <c r="T409" s="324">
        <v>43209</v>
      </c>
      <c r="U409" s="107"/>
      <c r="V409" s="107"/>
      <c r="W409" s="324">
        <v>43277</v>
      </c>
      <c r="X409" s="324">
        <v>43277</v>
      </c>
      <c r="Y409" s="107"/>
      <c r="Z409" s="107"/>
      <c r="AA409" s="25"/>
      <c r="AH409" s="6"/>
    </row>
    <row r="410" spans="1:34" ht="18" customHeight="1">
      <c r="A410" s="139" t="s">
        <v>1417</v>
      </c>
      <c r="B410" s="15"/>
      <c r="D410" s="46" t="s">
        <v>1359</v>
      </c>
      <c r="E410" s="317" t="s">
        <v>357</v>
      </c>
      <c r="F410" s="318" t="s">
        <v>1281</v>
      </c>
      <c r="G410" s="319" t="s">
        <v>1287</v>
      </c>
      <c r="H410" s="19"/>
      <c r="I410" s="30"/>
      <c r="J410" s="126"/>
      <c r="K410" s="126"/>
      <c r="L410" s="110"/>
      <c r="M410" s="110"/>
      <c r="N410" s="110"/>
      <c r="O410" s="322" t="s">
        <v>1326</v>
      </c>
      <c r="P410" s="322" t="s">
        <v>1344</v>
      </c>
      <c r="Q410" s="313" t="s">
        <v>1355</v>
      </c>
      <c r="R410" s="104"/>
      <c r="S410" s="324">
        <v>43209</v>
      </c>
      <c r="T410" s="324">
        <v>43209</v>
      </c>
      <c r="U410" s="107"/>
      <c r="V410" s="107"/>
      <c r="W410" s="324">
        <v>43277</v>
      </c>
      <c r="X410" s="324">
        <v>43277</v>
      </c>
      <c r="Y410" s="107"/>
      <c r="Z410" s="109"/>
      <c r="AA410" s="25"/>
      <c r="AH410" s="6"/>
    </row>
    <row r="411" spans="1:34" ht="18" customHeight="1">
      <c r="A411" s="139" t="s">
        <v>1418</v>
      </c>
      <c r="B411" s="15"/>
      <c r="D411" s="46" t="s">
        <v>1359</v>
      </c>
      <c r="E411" s="317" t="s">
        <v>1279</v>
      </c>
      <c r="F411" s="318" t="s">
        <v>1285</v>
      </c>
      <c r="G411" s="319" t="s">
        <v>7</v>
      </c>
      <c r="H411" s="19"/>
      <c r="I411" s="30"/>
      <c r="J411" s="126"/>
      <c r="K411" s="126"/>
      <c r="L411" s="110"/>
      <c r="M411" s="110"/>
      <c r="N411" s="110"/>
      <c r="O411" s="322" t="s">
        <v>1326</v>
      </c>
      <c r="P411" s="322" t="s">
        <v>1344</v>
      </c>
      <c r="Q411" s="313" t="s">
        <v>1355</v>
      </c>
      <c r="R411" s="104"/>
      <c r="S411" s="324">
        <v>43209</v>
      </c>
      <c r="T411" s="324">
        <v>43209</v>
      </c>
      <c r="U411" s="107"/>
      <c r="V411" s="107"/>
      <c r="W411" s="324">
        <v>43277</v>
      </c>
      <c r="X411" s="324">
        <v>43277</v>
      </c>
      <c r="Y411" s="128"/>
      <c r="Z411" s="109"/>
      <c r="AA411" s="25"/>
    </row>
    <row r="412" spans="1:34" ht="18" customHeight="1">
      <c r="A412" s="139" t="s">
        <v>1419</v>
      </c>
      <c r="B412" s="15"/>
      <c r="D412" s="46" t="s">
        <v>1359</v>
      </c>
      <c r="E412" s="317" t="s">
        <v>1279</v>
      </c>
      <c r="F412" s="318" t="s">
        <v>1285</v>
      </c>
      <c r="G412" s="319" t="s">
        <v>7</v>
      </c>
      <c r="H412" s="19"/>
      <c r="I412" s="30"/>
      <c r="J412" s="126"/>
      <c r="K412" s="126"/>
      <c r="L412" s="110"/>
      <c r="M412" s="110"/>
      <c r="N412" s="110"/>
      <c r="O412" s="322" t="s">
        <v>1328</v>
      </c>
      <c r="P412" s="322" t="s">
        <v>1344</v>
      </c>
      <c r="Q412" s="313" t="s">
        <v>1355</v>
      </c>
      <c r="R412" s="104"/>
      <c r="S412" s="324">
        <v>43209</v>
      </c>
      <c r="T412" s="324">
        <v>43209</v>
      </c>
      <c r="U412" s="107"/>
      <c r="V412" s="107"/>
      <c r="W412" s="324">
        <v>43277</v>
      </c>
      <c r="X412" s="324">
        <v>43277</v>
      </c>
      <c r="Y412" s="107"/>
      <c r="Z412" s="109"/>
      <c r="AA412" s="25"/>
      <c r="AH412" s="6"/>
    </row>
    <row r="413" spans="1:34" ht="18" customHeight="1">
      <c r="A413" s="139" t="s">
        <v>1420</v>
      </c>
      <c r="B413" s="15"/>
      <c r="D413" s="46" t="s">
        <v>1359</v>
      </c>
      <c r="E413" s="317" t="s">
        <v>357</v>
      </c>
      <c r="F413" s="318" t="s">
        <v>1285</v>
      </c>
      <c r="G413" s="319" t="s">
        <v>8</v>
      </c>
      <c r="H413" s="19"/>
      <c r="I413" s="30"/>
      <c r="J413" s="126"/>
      <c r="K413" s="126"/>
      <c r="L413" s="110"/>
      <c r="M413" s="110"/>
      <c r="N413" s="127"/>
      <c r="O413" s="322" t="s">
        <v>1326</v>
      </c>
      <c r="P413" s="322" t="s">
        <v>1344</v>
      </c>
      <c r="Q413" s="313" t="s">
        <v>1355</v>
      </c>
      <c r="R413" s="104"/>
      <c r="S413" s="324">
        <v>43209</v>
      </c>
      <c r="T413" s="324">
        <v>43209</v>
      </c>
      <c r="U413" s="107"/>
      <c r="V413" s="107"/>
      <c r="W413" s="324">
        <v>43277</v>
      </c>
      <c r="X413" s="324">
        <v>43277</v>
      </c>
      <c r="Y413" s="107"/>
      <c r="Z413" s="109"/>
      <c r="AA413" s="25"/>
      <c r="AH413" s="6"/>
    </row>
    <row r="414" spans="1:34" ht="18" customHeight="1">
      <c r="A414" s="139" t="s">
        <v>1421</v>
      </c>
      <c r="B414" s="15"/>
      <c r="D414" s="46" t="s">
        <v>1359</v>
      </c>
      <c r="E414" s="317" t="s">
        <v>357</v>
      </c>
      <c r="F414" s="318" t="s">
        <v>1280</v>
      </c>
      <c r="G414" s="319" t="s">
        <v>8</v>
      </c>
      <c r="H414" s="19"/>
      <c r="I414" s="208"/>
      <c r="J414" s="126"/>
      <c r="K414" s="126"/>
      <c r="L414" s="110"/>
      <c r="M414" s="110"/>
      <c r="N414" s="110"/>
      <c r="O414" s="322" t="s">
        <v>1326</v>
      </c>
      <c r="P414" s="322" t="s">
        <v>1344</v>
      </c>
      <c r="Q414" s="313" t="s">
        <v>1355</v>
      </c>
      <c r="R414" s="104"/>
      <c r="S414" s="324">
        <v>43209</v>
      </c>
      <c r="T414" s="324">
        <v>43209</v>
      </c>
      <c r="U414" s="107"/>
      <c r="V414" s="64"/>
      <c r="W414" s="324">
        <v>43277</v>
      </c>
      <c r="X414" s="324">
        <v>43277</v>
      </c>
      <c r="Y414" s="107"/>
      <c r="Z414" s="109"/>
      <c r="AA414" s="25"/>
      <c r="AB414" s="37"/>
      <c r="AE414" s="4"/>
      <c r="AH414" s="6"/>
    </row>
    <row r="415" spans="1:34" ht="18" customHeight="1">
      <c r="A415" s="139" t="s">
        <v>1422</v>
      </c>
      <c r="B415" s="15"/>
      <c r="D415" s="46" t="s">
        <v>1359</v>
      </c>
      <c r="E415" s="317" t="s">
        <v>357</v>
      </c>
      <c r="F415" s="318" t="s">
        <v>1285</v>
      </c>
      <c r="G415" s="319" t="s">
        <v>7</v>
      </c>
      <c r="H415" s="19"/>
      <c r="I415" s="30"/>
      <c r="J415" s="126"/>
      <c r="K415" s="126"/>
      <c r="L415" s="110"/>
      <c r="M415" s="110"/>
      <c r="N415" s="110"/>
      <c r="O415" s="322" t="s">
        <v>1326</v>
      </c>
      <c r="P415" s="322" t="s">
        <v>1344</v>
      </c>
      <c r="Q415" s="313" t="s">
        <v>1355</v>
      </c>
      <c r="R415" s="104"/>
      <c r="S415" s="324">
        <v>43209</v>
      </c>
      <c r="T415" s="324">
        <v>43209</v>
      </c>
      <c r="U415" s="107"/>
      <c r="V415" s="108"/>
      <c r="W415" s="324">
        <v>43277</v>
      </c>
      <c r="X415" s="324">
        <v>43277</v>
      </c>
      <c r="Y415" s="128"/>
      <c r="Z415" s="109"/>
      <c r="AA415" s="25"/>
      <c r="AH415" s="6"/>
    </row>
    <row r="416" spans="1:34" ht="18" customHeight="1">
      <c r="A416" s="139" t="s">
        <v>1423</v>
      </c>
      <c r="B416" s="15"/>
      <c r="D416" s="46" t="s">
        <v>1359</v>
      </c>
      <c r="E416" s="317" t="s">
        <v>357</v>
      </c>
      <c r="F416" s="318" t="s">
        <v>1280</v>
      </c>
      <c r="G416" s="319" t="s">
        <v>7</v>
      </c>
      <c r="H416" s="19"/>
      <c r="I416" s="30"/>
      <c r="J416" s="126"/>
      <c r="K416" s="126"/>
      <c r="L416" s="110"/>
      <c r="M416" s="110"/>
      <c r="N416" s="127"/>
      <c r="O416" s="322" t="s">
        <v>1328</v>
      </c>
      <c r="P416" s="322" t="s">
        <v>1344</v>
      </c>
      <c r="Q416" s="313" t="s">
        <v>1355</v>
      </c>
      <c r="R416" s="104"/>
      <c r="S416" s="324">
        <v>43209</v>
      </c>
      <c r="T416" s="324">
        <v>43209</v>
      </c>
      <c r="U416" s="107"/>
      <c r="V416" s="108"/>
      <c r="W416" s="324">
        <v>43277</v>
      </c>
      <c r="X416" s="324">
        <v>43277</v>
      </c>
      <c r="Y416" s="107"/>
      <c r="Z416" s="109"/>
      <c r="AA416" s="25"/>
      <c r="AC416" s="218"/>
      <c r="AD416" s="4"/>
      <c r="AE416" s="4"/>
    </row>
    <row r="417" spans="1:34" ht="18" customHeight="1">
      <c r="A417" s="139" t="s">
        <v>1424</v>
      </c>
      <c r="B417" s="35"/>
      <c r="D417" s="46" t="s">
        <v>1359</v>
      </c>
      <c r="E417" s="317" t="s">
        <v>357</v>
      </c>
      <c r="F417" s="318" t="s">
        <v>1288</v>
      </c>
      <c r="G417" s="319" t="s">
        <v>936</v>
      </c>
      <c r="H417" s="19"/>
      <c r="I417" s="30"/>
      <c r="J417" s="126"/>
      <c r="K417" s="126"/>
      <c r="L417" s="110"/>
      <c r="M417" s="110"/>
      <c r="N417" s="110"/>
      <c r="O417" s="322" t="s">
        <v>1329</v>
      </c>
      <c r="P417" s="322" t="s">
        <v>1345</v>
      </c>
      <c r="Q417" s="313" t="s">
        <v>1356</v>
      </c>
      <c r="R417" s="104"/>
      <c r="S417" s="324">
        <v>43205</v>
      </c>
      <c r="T417" s="324">
        <v>43205</v>
      </c>
      <c r="U417" s="107"/>
      <c r="V417" s="108"/>
      <c r="W417" s="324">
        <v>43266</v>
      </c>
      <c r="X417" s="324">
        <v>43266</v>
      </c>
      <c r="Y417" s="128"/>
      <c r="Z417" s="109"/>
      <c r="AA417" s="25"/>
      <c r="AD417" s="4"/>
      <c r="AE417" s="4"/>
      <c r="AH417" s="6"/>
    </row>
    <row r="418" spans="1:34" ht="18" customHeight="1">
      <c r="A418" s="139" t="s">
        <v>1425</v>
      </c>
      <c r="B418" s="15"/>
      <c r="D418" s="46" t="s">
        <v>1359</v>
      </c>
      <c r="E418" s="317" t="s">
        <v>357</v>
      </c>
      <c r="F418" s="318" t="s">
        <v>1289</v>
      </c>
      <c r="G418" s="319" t="s">
        <v>6</v>
      </c>
      <c r="H418" s="19"/>
      <c r="I418" s="30"/>
      <c r="J418" s="126"/>
      <c r="K418" s="126"/>
      <c r="L418" s="110"/>
      <c r="M418" s="110"/>
      <c r="N418" s="127"/>
      <c r="O418" s="322" t="s">
        <v>1329</v>
      </c>
      <c r="P418" s="322" t="s">
        <v>1345</v>
      </c>
      <c r="Q418" s="313" t="s">
        <v>1356</v>
      </c>
      <c r="R418" s="104"/>
      <c r="S418" s="324">
        <v>43205</v>
      </c>
      <c r="T418" s="324">
        <v>43205</v>
      </c>
      <c r="U418" s="107"/>
      <c r="V418" s="108"/>
      <c r="W418" s="324">
        <v>43266</v>
      </c>
      <c r="X418" s="324">
        <v>43266</v>
      </c>
      <c r="Y418" s="128"/>
      <c r="Z418" s="109"/>
      <c r="AA418" s="25"/>
    </row>
    <row r="419" spans="1:34" ht="18" customHeight="1">
      <c r="A419" s="139" t="s">
        <v>1426</v>
      </c>
      <c r="B419" s="15"/>
      <c r="D419" s="46" t="s">
        <v>1359</v>
      </c>
      <c r="E419" s="317" t="s">
        <v>357</v>
      </c>
      <c r="F419" s="318" t="s">
        <v>1289</v>
      </c>
      <c r="G419" s="319" t="s">
        <v>6</v>
      </c>
      <c r="H419" s="19"/>
      <c r="I419" s="30"/>
      <c r="J419" s="126"/>
      <c r="K419" s="126"/>
      <c r="L419" s="110"/>
      <c r="M419" s="110"/>
      <c r="N419" s="110"/>
      <c r="O419" s="322" t="s">
        <v>1330</v>
      </c>
      <c r="P419" s="322" t="s">
        <v>503</v>
      </c>
      <c r="Q419" s="313" t="s">
        <v>1356</v>
      </c>
      <c r="R419" s="104"/>
      <c r="S419" s="324">
        <v>43205</v>
      </c>
      <c r="T419" s="324">
        <v>43205</v>
      </c>
      <c r="U419" s="107"/>
      <c r="V419" s="108"/>
      <c r="W419" s="324">
        <v>43266</v>
      </c>
      <c r="X419" s="324">
        <v>43266</v>
      </c>
      <c r="Y419" s="128"/>
      <c r="Z419" s="109"/>
      <c r="AA419" s="25"/>
    </row>
    <row r="420" spans="1:34" ht="18" customHeight="1">
      <c r="A420" s="139" t="s">
        <v>1427</v>
      </c>
      <c r="B420" s="35"/>
      <c r="D420" s="46" t="s">
        <v>1359</v>
      </c>
      <c r="E420" s="317" t="s">
        <v>357</v>
      </c>
      <c r="F420" s="318" t="s">
        <v>504</v>
      </c>
      <c r="G420" s="319" t="s">
        <v>6</v>
      </c>
      <c r="H420" s="19"/>
      <c r="I420" s="30"/>
      <c r="J420" s="126"/>
      <c r="K420" s="126"/>
      <c r="L420" s="110"/>
      <c r="M420" s="110"/>
      <c r="N420" s="110"/>
      <c r="O420" s="322" t="s">
        <v>1331</v>
      </c>
      <c r="P420" s="322" t="s">
        <v>1346</v>
      </c>
      <c r="Q420" s="313" t="s">
        <v>1356</v>
      </c>
      <c r="R420" s="104"/>
      <c r="S420" s="324">
        <v>43205</v>
      </c>
      <c r="T420" s="324">
        <v>43205</v>
      </c>
      <c r="U420" s="107"/>
      <c r="V420" s="108"/>
      <c r="W420" s="324">
        <v>43266</v>
      </c>
      <c r="X420" s="324">
        <v>43266</v>
      </c>
      <c r="Y420" s="128"/>
      <c r="Z420" s="109"/>
      <c r="AA420" s="25"/>
      <c r="AD420" s="4"/>
      <c r="AE420" s="4"/>
      <c r="AH420" s="6"/>
    </row>
    <row r="421" spans="1:34" ht="18" customHeight="1">
      <c r="A421" s="139" t="s">
        <v>1428</v>
      </c>
      <c r="B421" s="15"/>
      <c r="D421" s="46" t="s">
        <v>1359</v>
      </c>
      <c r="E421" s="317" t="s">
        <v>357</v>
      </c>
      <c r="F421" s="318" t="s">
        <v>1290</v>
      </c>
      <c r="G421" s="319" t="s">
        <v>6</v>
      </c>
      <c r="H421" s="19"/>
      <c r="I421" s="30"/>
      <c r="J421" s="126"/>
      <c r="K421" s="126"/>
      <c r="L421" s="110"/>
      <c r="M421" s="110"/>
      <c r="N421" s="110"/>
      <c r="O421" s="322" t="s">
        <v>1331</v>
      </c>
      <c r="P421" s="322" t="s">
        <v>1346</v>
      </c>
      <c r="Q421" s="313" t="s">
        <v>1356</v>
      </c>
      <c r="R421" s="104"/>
      <c r="S421" s="324">
        <v>43205</v>
      </c>
      <c r="T421" s="324">
        <v>43205</v>
      </c>
      <c r="U421" s="107"/>
      <c r="V421" s="108"/>
      <c r="W421" s="324">
        <v>43266</v>
      </c>
      <c r="X421" s="324">
        <v>43266</v>
      </c>
      <c r="Y421" s="107"/>
      <c r="Z421" s="109"/>
      <c r="AA421" s="25"/>
      <c r="AH421" s="6"/>
    </row>
    <row r="422" spans="1:34" ht="18" customHeight="1">
      <c r="A422" s="139" t="s">
        <v>1429</v>
      </c>
      <c r="B422" s="15"/>
      <c r="D422" s="46" t="s">
        <v>1359</v>
      </c>
      <c r="E422" s="317" t="s">
        <v>357</v>
      </c>
      <c r="F422" s="318" t="s">
        <v>1291</v>
      </c>
      <c r="G422" s="319" t="s">
        <v>6</v>
      </c>
      <c r="H422" s="19"/>
      <c r="I422" s="30"/>
      <c r="J422" s="126"/>
      <c r="K422" s="126"/>
      <c r="L422" s="110"/>
      <c r="M422" s="110"/>
      <c r="N422" s="127"/>
      <c r="O422" s="322" t="s">
        <v>1332</v>
      </c>
      <c r="P422" s="322" t="s">
        <v>505</v>
      </c>
      <c r="Q422" s="313" t="s">
        <v>1356</v>
      </c>
      <c r="R422" s="104"/>
      <c r="S422" s="324">
        <v>43205</v>
      </c>
      <c r="T422" s="324">
        <v>43205</v>
      </c>
      <c r="U422" s="107"/>
      <c r="V422" s="108"/>
      <c r="W422" s="324">
        <v>43266</v>
      </c>
      <c r="X422" s="324">
        <v>43266</v>
      </c>
      <c r="Y422" s="107"/>
      <c r="Z422" s="109"/>
      <c r="AA422" s="25"/>
    </row>
    <row r="423" spans="1:34" ht="18" customHeight="1">
      <c r="A423" s="139" t="s">
        <v>1430</v>
      </c>
      <c r="B423" s="15"/>
      <c r="D423" s="46" t="s">
        <v>1359</v>
      </c>
      <c r="E423" s="317" t="s">
        <v>357</v>
      </c>
      <c r="F423" s="318" t="s">
        <v>1292</v>
      </c>
      <c r="G423" s="319" t="s">
        <v>6</v>
      </c>
      <c r="H423" s="19"/>
      <c r="I423" s="30"/>
      <c r="J423" s="126"/>
      <c r="K423" s="126"/>
      <c r="L423" s="110"/>
      <c r="M423" s="110"/>
      <c r="N423" s="127"/>
      <c r="O423" s="322" t="s">
        <v>1332</v>
      </c>
      <c r="P423" s="322" t="s">
        <v>505</v>
      </c>
      <c r="Q423" s="313" t="s">
        <v>1356</v>
      </c>
      <c r="R423" s="104"/>
      <c r="S423" s="324">
        <v>43205</v>
      </c>
      <c r="T423" s="324">
        <v>43205</v>
      </c>
      <c r="U423" s="107"/>
      <c r="V423" s="108"/>
      <c r="W423" s="324">
        <v>43266</v>
      </c>
      <c r="X423" s="324">
        <v>43266</v>
      </c>
      <c r="Y423" s="107"/>
      <c r="Z423" s="109"/>
      <c r="AA423" s="25"/>
    </row>
    <row r="424" spans="1:34" ht="18" customHeight="1">
      <c r="A424" s="139" t="s">
        <v>1431</v>
      </c>
      <c r="B424" s="15"/>
      <c r="D424" s="46" t="s">
        <v>1359</v>
      </c>
      <c r="E424" s="317" t="s">
        <v>357</v>
      </c>
      <c r="F424" s="318" t="s">
        <v>1293</v>
      </c>
      <c r="G424" s="319" t="s">
        <v>1236</v>
      </c>
      <c r="H424" s="19"/>
      <c r="I424" s="30"/>
      <c r="J424" s="126"/>
      <c r="K424" s="126"/>
      <c r="L424" s="110"/>
      <c r="M424" s="110"/>
      <c r="N424" s="110"/>
      <c r="O424" s="322" t="s">
        <v>1333</v>
      </c>
      <c r="P424" s="322" t="s">
        <v>506</v>
      </c>
      <c r="Q424" s="313" t="s">
        <v>1356</v>
      </c>
      <c r="R424" s="104"/>
      <c r="S424" s="324">
        <v>43205</v>
      </c>
      <c r="T424" s="324">
        <v>43205</v>
      </c>
      <c r="U424" s="107"/>
      <c r="V424" s="108"/>
      <c r="W424" s="324">
        <v>43266</v>
      </c>
      <c r="X424" s="324">
        <v>43266</v>
      </c>
      <c r="Y424" s="107"/>
      <c r="Z424" s="109"/>
      <c r="AA424" s="25"/>
      <c r="AH424" s="6"/>
    </row>
    <row r="425" spans="1:34" ht="18" customHeight="1">
      <c r="A425" s="139" t="s">
        <v>1432</v>
      </c>
      <c r="B425" s="15"/>
      <c r="D425" s="46" t="s">
        <v>1359</v>
      </c>
      <c r="E425" s="317" t="s">
        <v>357</v>
      </c>
      <c r="F425" s="318" t="s">
        <v>1293</v>
      </c>
      <c r="G425" s="319" t="s">
        <v>1239</v>
      </c>
      <c r="H425" s="19"/>
      <c r="I425" s="30"/>
      <c r="J425" s="126"/>
      <c r="K425" s="126"/>
      <c r="L425" s="110"/>
      <c r="M425" s="110"/>
      <c r="N425" s="127"/>
      <c r="O425" s="322" t="s">
        <v>1334</v>
      </c>
      <c r="P425" s="322" t="s">
        <v>506</v>
      </c>
      <c r="Q425" s="313" t="s">
        <v>1356</v>
      </c>
      <c r="R425" s="104"/>
      <c r="S425" s="324">
        <v>43205</v>
      </c>
      <c r="T425" s="324">
        <v>43205</v>
      </c>
      <c r="U425" s="107"/>
      <c r="V425" s="108"/>
      <c r="W425" s="324">
        <v>43266</v>
      </c>
      <c r="X425" s="324">
        <v>43266</v>
      </c>
      <c r="Y425" s="107"/>
      <c r="Z425" s="109"/>
      <c r="AA425" s="25"/>
      <c r="AH425" s="6"/>
    </row>
    <row r="426" spans="1:34" ht="18" customHeight="1">
      <c r="A426" s="139" t="s">
        <v>1433</v>
      </c>
      <c r="B426" s="15"/>
      <c r="D426" s="46" t="s">
        <v>1359</v>
      </c>
      <c r="E426" s="317" t="s">
        <v>357</v>
      </c>
      <c r="F426" s="318" t="s">
        <v>1294</v>
      </c>
      <c r="G426" s="319" t="s">
        <v>6</v>
      </c>
      <c r="H426" s="19"/>
      <c r="I426" s="30"/>
      <c r="J426" s="126"/>
      <c r="K426" s="126"/>
      <c r="L426" s="110"/>
      <c r="M426" s="110"/>
      <c r="N426" s="127"/>
      <c r="O426" s="322" t="s">
        <v>1333</v>
      </c>
      <c r="P426" s="322" t="s">
        <v>506</v>
      </c>
      <c r="Q426" s="313" t="s">
        <v>1356</v>
      </c>
      <c r="R426" s="104"/>
      <c r="S426" s="324">
        <v>43205</v>
      </c>
      <c r="T426" s="324">
        <v>43205</v>
      </c>
      <c r="U426" s="107"/>
      <c r="V426" s="108"/>
      <c r="W426" s="324">
        <v>43266</v>
      </c>
      <c r="X426" s="324">
        <v>43266</v>
      </c>
      <c r="Y426" s="107"/>
      <c r="Z426" s="109"/>
      <c r="AA426" s="25"/>
      <c r="AH426" s="6"/>
    </row>
    <row r="427" spans="1:34" ht="18" customHeight="1">
      <c r="A427" s="139" t="s">
        <v>1434</v>
      </c>
      <c r="B427" s="15"/>
      <c r="D427" s="46" t="s">
        <v>1359</v>
      </c>
      <c r="E427" s="317" t="s">
        <v>357</v>
      </c>
      <c r="F427" s="318" t="s">
        <v>1294</v>
      </c>
      <c r="G427" s="319" t="s">
        <v>9</v>
      </c>
      <c r="H427" s="19"/>
      <c r="I427" s="30"/>
      <c r="J427" s="126"/>
      <c r="K427" s="126"/>
      <c r="L427" s="110"/>
      <c r="M427" s="110"/>
      <c r="N427" s="127"/>
      <c r="O427" s="322" t="s">
        <v>1334</v>
      </c>
      <c r="P427" s="322" t="s">
        <v>506</v>
      </c>
      <c r="Q427" s="313" t="s">
        <v>1356</v>
      </c>
      <c r="R427" s="104"/>
      <c r="S427" s="324">
        <v>43205</v>
      </c>
      <c r="T427" s="324">
        <v>43205</v>
      </c>
      <c r="U427" s="107"/>
      <c r="V427" s="108"/>
      <c r="W427" s="324">
        <v>43266</v>
      </c>
      <c r="X427" s="324">
        <v>43266</v>
      </c>
      <c r="Y427" s="107"/>
      <c r="Z427" s="109"/>
      <c r="AA427" s="25"/>
    </row>
    <row r="428" spans="1:34" ht="18" customHeight="1">
      <c r="A428" s="139" t="s">
        <v>1435</v>
      </c>
      <c r="B428" s="15"/>
      <c r="D428" s="46" t="s">
        <v>1359</v>
      </c>
      <c r="E428" s="317" t="s">
        <v>357</v>
      </c>
      <c r="F428" s="318" t="s">
        <v>1295</v>
      </c>
      <c r="G428" s="319" t="s">
        <v>6</v>
      </c>
      <c r="H428" s="19"/>
      <c r="I428" s="30"/>
      <c r="J428" s="126"/>
      <c r="K428" s="126"/>
      <c r="L428" s="110"/>
      <c r="M428" s="110"/>
      <c r="N428" s="127"/>
      <c r="O428" s="322" t="s">
        <v>1333</v>
      </c>
      <c r="P428" s="322" t="s">
        <v>506</v>
      </c>
      <c r="Q428" s="313" t="s">
        <v>1356</v>
      </c>
      <c r="R428" s="104"/>
      <c r="S428" s="324">
        <v>43205</v>
      </c>
      <c r="T428" s="324">
        <v>43205</v>
      </c>
      <c r="U428" s="107"/>
      <c r="V428" s="108"/>
      <c r="W428" s="324">
        <v>43266</v>
      </c>
      <c r="X428" s="324">
        <v>43266</v>
      </c>
      <c r="Y428" s="107"/>
      <c r="Z428" s="109"/>
      <c r="AA428" s="25"/>
    </row>
    <row r="429" spans="1:34" ht="18" customHeight="1">
      <c r="A429" s="139" t="s">
        <v>1436</v>
      </c>
      <c r="B429" s="15"/>
      <c r="D429" s="46" t="s">
        <v>1359</v>
      </c>
      <c r="E429" s="317" t="s">
        <v>357</v>
      </c>
      <c r="F429" s="318" t="s">
        <v>507</v>
      </c>
      <c r="G429" s="319" t="s">
        <v>1239</v>
      </c>
      <c r="I429" s="30"/>
      <c r="J429" s="126"/>
      <c r="K429" s="126"/>
      <c r="L429" s="110"/>
      <c r="M429" s="110"/>
      <c r="N429" s="110"/>
      <c r="O429" s="322" t="s">
        <v>1335</v>
      </c>
      <c r="P429" s="322" t="s">
        <v>1347</v>
      </c>
      <c r="Q429" s="313" t="s">
        <v>1356</v>
      </c>
      <c r="R429" s="104"/>
      <c r="S429" s="324">
        <v>43205</v>
      </c>
      <c r="T429" s="324">
        <v>43205</v>
      </c>
      <c r="U429" s="128"/>
      <c r="V429" s="108"/>
      <c r="W429" s="324">
        <v>43266</v>
      </c>
      <c r="X429" s="324">
        <v>43266</v>
      </c>
      <c r="Y429" s="107"/>
      <c r="Z429" s="109"/>
      <c r="AA429" s="25"/>
    </row>
    <row r="430" spans="1:34" ht="18" customHeight="1">
      <c r="A430" s="139" t="s">
        <v>1437</v>
      </c>
      <c r="B430" s="15"/>
      <c r="D430" s="46" t="s">
        <v>1359</v>
      </c>
      <c r="E430" s="317" t="s">
        <v>357</v>
      </c>
      <c r="F430" s="318" t="s">
        <v>507</v>
      </c>
      <c r="G430" s="319" t="s">
        <v>1296</v>
      </c>
      <c r="H430" s="19"/>
      <c r="I430" s="30"/>
      <c r="J430" s="126"/>
      <c r="K430" s="126"/>
      <c r="L430" s="110"/>
      <c r="M430" s="110"/>
      <c r="N430" s="110"/>
      <c r="O430" s="322" t="s">
        <v>1336</v>
      </c>
      <c r="P430" s="322" t="s">
        <v>1347</v>
      </c>
      <c r="Q430" s="313" t="s">
        <v>1356</v>
      </c>
      <c r="R430" s="104"/>
      <c r="S430" s="324">
        <v>43205</v>
      </c>
      <c r="T430" s="324">
        <v>43205</v>
      </c>
      <c r="U430" s="128"/>
      <c r="V430" s="108"/>
      <c r="W430" s="324">
        <v>43266</v>
      </c>
      <c r="X430" s="324">
        <v>43266</v>
      </c>
      <c r="Y430" s="107"/>
      <c r="Z430" s="109"/>
      <c r="AA430" s="25"/>
    </row>
    <row r="431" spans="1:34" ht="18" customHeight="1">
      <c r="A431" s="139" t="s">
        <v>1438</v>
      </c>
      <c r="B431" s="15"/>
      <c r="D431" s="46" t="s">
        <v>1359</v>
      </c>
      <c r="E431" s="317" t="s">
        <v>357</v>
      </c>
      <c r="F431" s="318" t="s">
        <v>507</v>
      </c>
      <c r="G431" s="319" t="s">
        <v>1297</v>
      </c>
      <c r="H431" s="19"/>
      <c r="I431" s="30"/>
      <c r="J431" s="126"/>
      <c r="K431" s="126"/>
      <c r="L431" s="110"/>
      <c r="M431" s="110"/>
      <c r="N431" s="110"/>
      <c r="O431" s="322" t="s">
        <v>1336</v>
      </c>
      <c r="P431" s="322" t="s">
        <v>1347</v>
      </c>
      <c r="Q431" s="313" t="s">
        <v>1356</v>
      </c>
      <c r="R431" s="104"/>
      <c r="S431" s="324">
        <v>43205</v>
      </c>
      <c r="T431" s="324">
        <v>43205</v>
      </c>
      <c r="U431" s="107"/>
      <c r="V431" s="108"/>
      <c r="W431" s="324">
        <v>43266</v>
      </c>
      <c r="X431" s="324">
        <v>43266</v>
      </c>
      <c r="Y431" s="107"/>
      <c r="Z431" s="109"/>
      <c r="AA431" s="25"/>
      <c r="AH431" s="6"/>
    </row>
    <row r="432" spans="1:34" ht="18" customHeight="1">
      <c r="A432" s="139" t="s">
        <v>1439</v>
      </c>
      <c r="B432" s="15"/>
      <c r="D432" s="46" t="s">
        <v>1359</v>
      </c>
      <c r="E432" s="317" t="s">
        <v>357</v>
      </c>
      <c r="F432" s="318" t="s">
        <v>507</v>
      </c>
      <c r="G432" s="319" t="s">
        <v>1298</v>
      </c>
      <c r="H432" s="19"/>
      <c r="I432" s="30"/>
      <c r="J432" s="126"/>
      <c r="K432" s="126"/>
      <c r="L432" s="110"/>
      <c r="M432" s="110"/>
      <c r="N432" s="110"/>
      <c r="O432" s="322" t="s">
        <v>1336</v>
      </c>
      <c r="P432" s="322" t="s">
        <v>1347</v>
      </c>
      <c r="Q432" s="313" t="s">
        <v>1356</v>
      </c>
      <c r="R432" s="104"/>
      <c r="S432" s="324">
        <v>43205</v>
      </c>
      <c r="T432" s="324">
        <v>43205</v>
      </c>
      <c r="U432" s="107"/>
      <c r="V432" s="108"/>
      <c r="W432" s="324">
        <v>43266</v>
      </c>
      <c r="X432" s="324">
        <v>43266</v>
      </c>
      <c r="Y432" s="107"/>
      <c r="Z432" s="109"/>
      <c r="AA432" s="25"/>
      <c r="AH432" s="6"/>
    </row>
    <row r="433" spans="1:35" ht="18" customHeight="1">
      <c r="A433" s="139" t="s">
        <v>1440</v>
      </c>
      <c r="B433" s="15"/>
      <c r="D433" s="46" t="s">
        <v>1359</v>
      </c>
      <c r="E433" s="317" t="s">
        <v>357</v>
      </c>
      <c r="F433" s="318" t="s">
        <v>507</v>
      </c>
      <c r="G433" s="319" t="s">
        <v>1299</v>
      </c>
      <c r="H433" s="19"/>
      <c r="I433" s="30"/>
      <c r="J433" s="126"/>
      <c r="K433" s="126"/>
      <c r="L433" s="110"/>
      <c r="M433" s="110"/>
      <c r="N433" s="110"/>
      <c r="O433" s="322" t="s">
        <v>1335</v>
      </c>
      <c r="P433" s="322" t="s">
        <v>1347</v>
      </c>
      <c r="Q433" s="313" t="s">
        <v>1356</v>
      </c>
      <c r="R433" s="104"/>
      <c r="S433" s="324">
        <v>43205</v>
      </c>
      <c r="T433" s="324">
        <v>43205</v>
      </c>
      <c r="U433" s="107"/>
      <c r="V433" s="108"/>
      <c r="W433" s="324">
        <v>43266</v>
      </c>
      <c r="X433" s="324">
        <v>43266</v>
      </c>
      <c r="Y433" s="107"/>
      <c r="Z433" s="109"/>
      <c r="AA433" s="25"/>
      <c r="AH433" s="6"/>
    </row>
    <row r="434" spans="1:35" ht="18" customHeight="1">
      <c r="A434" s="139" t="s">
        <v>1441</v>
      </c>
      <c r="B434" s="15"/>
      <c r="D434" s="46" t="s">
        <v>1359</v>
      </c>
      <c r="E434" s="317" t="s">
        <v>357</v>
      </c>
      <c r="F434" s="318" t="s">
        <v>507</v>
      </c>
      <c r="G434" s="319" t="s">
        <v>1300</v>
      </c>
      <c r="H434" s="19"/>
      <c r="I434" s="30"/>
      <c r="J434" s="126"/>
      <c r="K434" s="126"/>
      <c r="L434" s="110"/>
      <c r="M434" s="110"/>
      <c r="N434" s="110"/>
      <c r="O434" s="322" t="s">
        <v>1336</v>
      </c>
      <c r="P434" s="322" t="s">
        <v>1347</v>
      </c>
      <c r="Q434" s="313" t="s">
        <v>1356</v>
      </c>
      <c r="R434" s="104"/>
      <c r="S434" s="324">
        <v>43205</v>
      </c>
      <c r="T434" s="324">
        <v>43205</v>
      </c>
      <c r="U434" s="107"/>
      <c r="V434" s="129"/>
      <c r="W434" s="324">
        <v>43266</v>
      </c>
      <c r="X434" s="324">
        <v>43266</v>
      </c>
      <c r="Y434" s="107"/>
      <c r="Z434" s="109"/>
      <c r="AA434" s="25"/>
      <c r="AD434" s="4"/>
      <c r="AE434" s="4"/>
      <c r="AH434" s="6"/>
    </row>
    <row r="435" spans="1:35" ht="18" customHeight="1">
      <c r="A435" s="139" t="s">
        <v>1442</v>
      </c>
      <c r="B435" s="15"/>
      <c r="D435" s="46" t="s">
        <v>1359</v>
      </c>
      <c r="E435" s="317" t="s">
        <v>357</v>
      </c>
      <c r="F435" s="318" t="s">
        <v>1301</v>
      </c>
      <c r="G435" s="319" t="s">
        <v>1256</v>
      </c>
      <c r="H435" s="19"/>
      <c r="I435" s="30"/>
      <c r="J435" s="126"/>
      <c r="K435" s="126"/>
      <c r="L435" s="110"/>
      <c r="M435" s="110"/>
      <c r="N435" s="110"/>
      <c r="O435" s="322" t="s">
        <v>1336</v>
      </c>
      <c r="P435" s="322" t="s">
        <v>1347</v>
      </c>
      <c r="Q435" s="313" t="s">
        <v>1356</v>
      </c>
      <c r="R435" s="104"/>
      <c r="S435" s="324">
        <v>43205</v>
      </c>
      <c r="T435" s="324">
        <v>43205</v>
      </c>
      <c r="U435" s="107"/>
      <c r="V435" s="129"/>
      <c r="W435" s="324">
        <v>43266</v>
      </c>
      <c r="X435" s="324">
        <v>43266</v>
      </c>
      <c r="Y435" s="107"/>
      <c r="Z435" s="109"/>
      <c r="AA435" s="25"/>
      <c r="AD435" s="4"/>
      <c r="AE435" s="4"/>
      <c r="AH435" s="6"/>
    </row>
    <row r="436" spans="1:35" s="44" customFormat="1" ht="18" customHeight="1">
      <c r="A436" s="139" t="s">
        <v>1443</v>
      </c>
      <c r="B436" s="15"/>
      <c r="D436" s="46" t="s">
        <v>1359</v>
      </c>
      <c r="E436" s="317" t="s">
        <v>357</v>
      </c>
      <c r="F436" s="318" t="s">
        <v>1301</v>
      </c>
      <c r="G436" s="319" t="s">
        <v>1257</v>
      </c>
      <c r="H436" s="19"/>
      <c r="I436" s="30"/>
      <c r="J436" s="126"/>
      <c r="K436" s="126"/>
      <c r="L436" s="110"/>
      <c r="M436" s="110"/>
      <c r="N436" s="110"/>
      <c r="O436" s="322" t="s">
        <v>1336</v>
      </c>
      <c r="P436" s="322" t="s">
        <v>1347</v>
      </c>
      <c r="Q436" s="313" t="s">
        <v>1356</v>
      </c>
      <c r="R436" s="104"/>
      <c r="S436" s="324">
        <v>43205</v>
      </c>
      <c r="T436" s="324">
        <v>43205</v>
      </c>
      <c r="U436" s="107"/>
      <c r="V436" s="129"/>
      <c r="W436" s="324">
        <v>43266</v>
      </c>
      <c r="X436" s="324">
        <v>43266</v>
      </c>
      <c r="Y436" s="107"/>
      <c r="Z436" s="109"/>
      <c r="AA436" s="25"/>
      <c r="AB436" s="3"/>
      <c r="AC436" s="3"/>
      <c r="AD436" s="4"/>
      <c r="AE436" s="4"/>
      <c r="AF436" s="3"/>
      <c r="AG436" s="3"/>
      <c r="AH436" s="6"/>
      <c r="AI436" s="3"/>
    </row>
    <row r="437" spans="1:35" s="44" customFormat="1" ht="18" customHeight="1">
      <c r="A437" s="139" t="s">
        <v>1444</v>
      </c>
      <c r="B437" s="15"/>
      <c r="D437" s="46" t="s">
        <v>1359</v>
      </c>
      <c r="E437" s="317" t="s">
        <v>357</v>
      </c>
      <c r="F437" s="318" t="s">
        <v>1301</v>
      </c>
      <c r="G437" s="319" t="s">
        <v>1302</v>
      </c>
      <c r="H437" s="19"/>
      <c r="I437" s="30"/>
      <c r="J437" s="126"/>
      <c r="K437" s="126"/>
      <c r="L437" s="110"/>
      <c r="M437" s="110"/>
      <c r="N437" s="110"/>
      <c r="O437" s="322" t="s">
        <v>1335</v>
      </c>
      <c r="P437" s="322" t="s">
        <v>1347</v>
      </c>
      <c r="Q437" s="313" t="s">
        <v>1356</v>
      </c>
      <c r="R437" s="104"/>
      <c r="S437" s="324">
        <v>43205</v>
      </c>
      <c r="T437" s="324">
        <v>43205</v>
      </c>
      <c r="U437" s="107"/>
      <c r="V437" s="108"/>
      <c r="W437" s="324">
        <v>43266</v>
      </c>
      <c r="X437" s="324">
        <v>43266</v>
      </c>
      <c r="Y437" s="107"/>
      <c r="Z437" s="109"/>
      <c r="AA437" s="25"/>
      <c r="AB437" s="3"/>
      <c r="AC437" s="3"/>
      <c r="AD437" s="3"/>
      <c r="AE437" s="3"/>
      <c r="AF437" s="3"/>
      <c r="AG437" s="3"/>
      <c r="AH437" s="6"/>
      <c r="AI437" s="3"/>
    </row>
    <row r="438" spans="1:35" ht="18" customHeight="1">
      <c r="A438" s="139" t="s">
        <v>1445</v>
      </c>
      <c r="B438" s="15"/>
      <c r="D438" s="46" t="s">
        <v>1359</v>
      </c>
      <c r="E438" s="317" t="s">
        <v>357</v>
      </c>
      <c r="F438" s="318" t="s">
        <v>1303</v>
      </c>
      <c r="G438" s="319" t="s">
        <v>1304</v>
      </c>
      <c r="H438" s="19"/>
      <c r="I438" s="30"/>
      <c r="J438" s="65"/>
      <c r="K438" s="65"/>
      <c r="L438" s="15"/>
      <c r="M438" s="15"/>
      <c r="N438" s="15"/>
      <c r="O438" s="322" t="s">
        <v>1335</v>
      </c>
      <c r="P438" s="322" t="s">
        <v>1347</v>
      </c>
      <c r="Q438" s="313" t="s">
        <v>1356</v>
      </c>
      <c r="R438" s="35"/>
      <c r="S438" s="324">
        <v>43205</v>
      </c>
      <c r="T438" s="324">
        <v>43205</v>
      </c>
      <c r="W438" s="324">
        <v>43266</v>
      </c>
      <c r="X438" s="324">
        <v>43266</v>
      </c>
      <c r="Y438" s="7"/>
      <c r="AA438" s="25"/>
    </row>
    <row r="439" spans="1:35" ht="18" customHeight="1">
      <c r="A439" s="139" t="s">
        <v>1446</v>
      </c>
      <c r="B439" s="15"/>
      <c r="D439" s="46" t="s">
        <v>1359</v>
      </c>
      <c r="E439" s="317" t="s">
        <v>357</v>
      </c>
      <c r="F439" s="318" t="s">
        <v>509</v>
      </c>
      <c r="G439" s="319" t="s">
        <v>6</v>
      </c>
      <c r="H439" s="19"/>
      <c r="I439" s="30"/>
      <c r="J439" s="65"/>
      <c r="K439" s="65"/>
      <c r="L439" s="15"/>
      <c r="M439" s="15"/>
      <c r="N439" s="15"/>
      <c r="O439" s="322" t="s">
        <v>1337</v>
      </c>
      <c r="P439" s="322" t="s">
        <v>508</v>
      </c>
      <c r="Q439" s="313" t="s">
        <v>1356</v>
      </c>
      <c r="R439" s="35"/>
      <c r="S439" s="324">
        <v>43205</v>
      </c>
      <c r="T439" s="324">
        <v>43205</v>
      </c>
      <c r="W439" s="324">
        <v>43266</v>
      </c>
      <c r="X439" s="324">
        <v>43266</v>
      </c>
      <c r="Y439" s="7"/>
      <c r="AA439" s="25"/>
    </row>
    <row r="440" spans="1:35" ht="18" customHeight="1">
      <c r="A440" s="139" t="s">
        <v>1447</v>
      </c>
      <c r="B440" s="15"/>
      <c r="D440" s="46" t="s">
        <v>1359</v>
      </c>
      <c r="E440" s="317" t="s">
        <v>357</v>
      </c>
      <c r="F440" s="318" t="s">
        <v>1305</v>
      </c>
      <c r="G440" s="319" t="s">
        <v>6</v>
      </c>
      <c r="H440" s="19"/>
      <c r="I440" s="30"/>
      <c r="J440" s="65"/>
      <c r="K440" s="65"/>
      <c r="L440" s="15"/>
      <c r="M440" s="15"/>
      <c r="N440" s="15"/>
      <c r="O440" s="322" t="s">
        <v>1337</v>
      </c>
      <c r="P440" s="322" t="s">
        <v>508</v>
      </c>
      <c r="Q440" s="313" t="s">
        <v>1356</v>
      </c>
      <c r="R440" s="35"/>
      <c r="S440" s="324">
        <v>43205</v>
      </c>
      <c r="T440" s="324">
        <v>43205</v>
      </c>
      <c r="W440" s="324">
        <v>43266</v>
      </c>
      <c r="X440" s="324">
        <v>43266</v>
      </c>
      <c r="Y440" s="7"/>
      <c r="AA440" s="25"/>
    </row>
    <row r="441" spans="1:35" ht="18" customHeight="1">
      <c r="A441" s="139" t="s">
        <v>1448</v>
      </c>
      <c r="B441" s="15"/>
      <c r="D441" s="46" t="s">
        <v>1359</v>
      </c>
      <c r="E441" s="317" t="s">
        <v>357</v>
      </c>
      <c r="F441" s="318" t="s">
        <v>1306</v>
      </c>
      <c r="G441" s="319" t="s">
        <v>13</v>
      </c>
      <c r="H441" s="19"/>
      <c r="I441" s="30"/>
      <c r="J441" s="65"/>
      <c r="K441" s="65"/>
      <c r="L441" s="15"/>
      <c r="M441" s="15"/>
      <c r="N441" s="15"/>
      <c r="O441" s="322" t="s">
        <v>1337</v>
      </c>
      <c r="P441" s="322" t="s">
        <v>508</v>
      </c>
      <c r="Q441" s="313" t="s">
        <v>1356</v>
      </c>
      <c r="R441" s="35"/>
      <c r="S441" s="324">
        <v>43205</v>
      </c>
      <c r="T441" s="324">
        <v>43205</v>
      </c>
      <c r="W441" s="324">
        <v>43266</v>
      </c>
      <c r="X441" s="324">
        <v>43266</v>
      </c>
      <c r="Y441" s="7"/>
      <c r="AA441" s="25"/>
    </row>
    <row r="442" spans="1:35" ht="18" customHeight="1">
      <c r="A442" s="139" t="s">
        <v>1449</v>
      </c>
      <c r="B442" s="15"/>
      <c r="D442" s="46" t="s">
        <v>1359</v>
      </c>
      <c r="E442" s="317" t="s">
        <v>357</v>
      </c>
      <c r="F442" s="318" t="s">
        <v>1307</v>
      </c>
      <c r="G442" s="319" t="s">
        <v>13</v>
      </c>
      <c r="I442" s="30"/>
      <c r="J442" s="65"/>
      <c r="K442" s="65"/>
      <c r="L442" s="15"/>
      <c r="M442" s="15"/>
      <c r="N442" s="15"/>
      <c r="O442" s="322" t="s">
        <v>1337</v>
      </c>
      <c r="P442" s="322" t="s">
        <v>508</v>
      </c>
      <c r="Q442" s="313" t="s">
        <v>1356</v>
      </c>
      <c r="R442" s="35"/>
      <c r="S442" s="324">
        <v>43205</v>
      </c>
      <c r="T442" s="324">
        <v>43205</v>
      </c>
      <c r="U442" s="25"/>
      <c r="W442" s="324">
        <v>43266</v>
      </c>
      <c r="X442" s="324">
        <v>43266</v>
      </c>
      <c r="AA442" s="25"/>
      <c r="AD442" s="4"/>
      <c r="AE442" s="4"/>
      <c r="AH442" s="6"/>
    </row>
    <row r="443" spans="1:35" ht="18" customHeight="1">
      <c r="A443" s="139" t="s">
        <v>1450</v>
      </c>
      <c r="B443" s="15"/>
      <c r="D443" s="46" t="s">
        <v>1359</v>
      </c>
      <c r="E443" s="317" t="s">
        <v>357</v>
      </c>
      <c r="F443" s="318" t="s">
        <v>1308</v>
      </c>
      <c r="G443" s="319" t="s">
        <v>1241</v>
      </c>
      <c r="I443" s="30"/>
      <c r="J443" s="65"/>
      <c r="K443" s="65"/>
      <c r="L443" s="15"/>
      <c r="M443" s="15"/>
      <c r="N443" s="15"/>
      <c r="O443" s="322" t="s">
        <v>1338</v>
      </c>
      <c r="P443" s="322" t="s">
        <v>1348</v>
      </c>
      <c r="Q443" s="313" t="s">
        <v>1356</v>
      </c>
      <c r="R443" s="35"/>
      <c r="S443" s="324">
        <v>43205</v>
      </c>
      <c r="T443" s="324">
        <v>43205</v>
      </c>
      <c r="U443" s="7"/>
      <c r="W443" s="324">
        <v>43266</v>
      </c>
      <c r="X443" s="324">
        <v>43266</v>
      </c>
      <c r="AA443" s="25"/>
      <c r="AD443" s="4"/>
      <c r="AE443" s="4"/>
      <c r="AH443" s="6"/>
    </row>
    <row r="444" spans="1:35" ht="18" customHeight="1">
      <c r="A444" s="139" t="s">
        <v>1451</v>
      </c>
      <c r="B444" s="15"/>
      <c r="D444" s="46" t="s">
        <v>1359</v>
      </c>
      <c r="E444" s="317" t="s">
        <v>357</v>
      </c>
      <c r="F444" s="318" t="s">
        <v>1309</v>
      </c>
      <c r="G444" s="319" t="s">
        <v>1243</v>
      </c>
      <c r="H444" s="19"/>
      <c r="I444" s="30"/>
      <c r="J444" s="65"/>
      <c r="K444" s="65"/>
      <c r="L444" s="15"/>
      <c r="M444" s="15"/>
      <c r="N444" s="53"/>
      <c r="O444" s="322" t="s">
        <v>1338</v>
      </c>
      <c r="P444" s="322" t="s">
        <v>1348</v>
      </c>
      <c r="Q444" s="313" t="s">
        <v>1356</v>
      </c>
      <c r="R444" s="35"/>
      <c r="S444" s="324">
        <v>43205</v>
      </c>
      <c r="T444" s="324">
        <v>43205</v>
      </c>
      <c r="W444" s="324">
        <v>43266</v>
      </c>
      <c r="X444" s="324">
        <v>43266</v>
      </c>
      <c r="Y444" s="3"/>
      <c r="Z444" s="61"/>
      <c r="AA444" s="25"/>
    </row>
    <row r="445" spans="1:35" ht="18" customHeight="1">
      <c r="A445" s="139" t="s">
        <v>1452</v>
      </c>
      <c r="B445" s="15"/>
      <c r="D445" s="46" t="s">
        <v>1359</v>
      </c>
      <c r="E445" s="317" t="s">
        <v>357</v>
      </c>
      <c r="F445" s="318" t="s">
        <v>1309</v>
      </c>
      <c r="G445" s="319" t="s">
        <v>1244</v>
      </c>
      <c r="H445" s="19"/>
      <c r="I445" s="30"/>
      <c r="J445" s="65"/>
      <c r="K445" s="65"/>
      <c r="L445" s="15"/>
      <c r="M445" s="15"/>
      <c r="N445" s="53"/>
      <c r="O445" s="322" t="s">
        <v>1338</v>
      </c>
      <c r="P445" s="322" t="s">
        <v>1348</v>
      </c>
      <c r="Q445" s="313" t="s">
        <v>1356</v>
      </c>
      <c r="R445" s="35"/>
      <c r="S445" s="324">
        <v>43205</v>
      </c>
      <c r="T445" s="324">
        <v>43205</v>
      </c>
      <c r="W445" s="324">
        <v>43266</v>
      </c>
      <c r="X445" s="324">
        <v>43266</v>
      </c>
      <c r="Y445" s="3"/>
      <c r="Z445" s="61"/>
      <c r="AA445" s="25"/>
    </row>
    <row r="446" spans="1:35" ht="18" customHeight="1">
      <c r="A446" s="139" t="s">
        <v>1453</v>
      </c>
      <c r="B446" s="15"/>
      <c r="D446" s="46" t="s">
        <v>1359</v>
      </c>
      <c r="E446" s="317" t="s">
        <v>357</v>
      </c>
      <c r="F446" s="318" t="s">
        <v>1310</v>
      </c>
      <c r="G446" s="319" t="s">
        <v>7</v>
      </c>
      <c r="H446" s="19"/>
      <c r="I446" s="30"/>
      <c r="J446" s="65"/>
      <c r="K446" s="65"/>
      <c r="L446" s="15"/>
      <c r="M446" s="15"/>
      <c r="N446" s="15"/>
      <c r="O446" s="322" t="s">
        <v>1339</v>
      </c>
      <c r="P446" s="322" t="s">
        <v>510</v>
      </c>
      <c r="Q446" s="313" t="s">
        <v>1357</v>
      </c>
      <c r="R446" s="35"/>
      <c r="S446" s="324">
        <v>43221</v>
      </c>
      <c r="T446" s="324">
        <v>43221</v>
      </c>
      <c r="W446" s="324">
        <v>43266</v>
      </c>
      <c r="X446" s="324">
        <v>43266</v>
      </c>
      <c r="Y446" s="7"/>
      <c r="AA446" s="25"/>
      <c r="AH446" s="6"/>
    </row>
    <row r="447" spans="1:35" ht="18" customHeight="1">
      <c r="A447" s="139" t="s">
        <v>1454</v>
      </c>
      <c r="B447" s="15"/>
      <c r="D447" s="46" t="s">
        <v>1359</v>
      </c>
      <c r="E447" s="317" t="s">
        <v>357</v>
      </c>
      <c r="F447" s="318" t="s">
        <v>1311</v>
      </c>
      <c r="G447" s="319" t="s">
        <v>7</v>
      </c>
      <c r="H447" s="19"/>
      <c r="I447" s="30"/>
      <c r="J447" s="65"/>
      <c r="K447" s="65"/>
      <c r="L447" s="15"/>
      <c r="M447" s="15"/>
      <c r="N447" s="15"/>
      <c r="O447" s="322" t="s">
        <v>1339</v>
      </c>
      <c r="P447" s="322" t="s">
        <v>510</v>
      </c>
      <c r="Q447" s="313" t="s">
        <v>1357</v>
      </c>
      <c r="R447" s="35"/>
      <c r="S447" s="324">
        <v>43221</v>
      </c>
      <c r="T447" s="324">
        <v>43221</v>
      </c>
      <c r="W447" s="324">
        <v>43266</v>
      </c>
      <c r="X447" s="324">
        <v>43266</v>
      </c>
      <c r="Y447" s="7"/>
      <c r="AA447" s="25"/>
      <c r="AH447" s="6"/>
    </row>
    <row r="448" spans="1:35" ht="18" customHeight="1">
      <c r="A448" s="139" t="s">
        <v>1455</v>
      </c>
      <c r="B448" s="15"/>
      <c r="D448" s="46" t="s">
        <v>1359</v>
      </c>
      <c r="E448" s="317" t="s">
        <v>357</v>
      </c>
      <c r="F448" s="318" t="s">
        <v>1311</v>
      </c>
      <c r="G448" s="319" t="s">
        <v>8</v>
      </c>
      <c r="H448" s="19"/>
      <c r="I448" s="30"/>
      <c r="J448" s="65"/>
      <c r="K448" s="65"/>
      <c r="L448" s="15"/>
      <c r="M448" s="15"/>
      <c r="N448" s="15"/>
      <c r="O448" s="322" t="s">
        <v>1340</v>
      </c>
      <c r="P448" s="322" t="s">
        <v>510</v>
      </c>
      <c r="Q448" s="313" t="s">
        <v>1357</v>
      </c>
      <c r="R448" s="35"/>
      <c r="S448" s="324">
        <v>43221</v>
      </c>
      <c r="T448" s="324">
        <v>43221</v>
      </c>
      <c r="W448" s="324">
        <v>43266</v>
      </c>
      <c r="X448" s="324">
        <v>43266</v>
      </c>
      <c r="Y448" s="7"/>
      <c r="AA448" s="25"/>
      <c r="AH448" s="6"/>
    </row>
    <row r="449" spans="1:34" ht="18" customHeight="1">
      <c r="A449" s="139" t="s">
        <v>1456</v>
      </c>
      <c r="B449" s="15"/>
      <c r="D449" s="46" t="s">
        <v>1359</v>
      </c>
      <c r="E449" s="317" t="s">
        <v>357</v>
      </c>
      <c r="F449" s="318" t="s">
        <v>1312</v>
      </c>
      <c r="G449" s="319" t="s">
        <v>1313</v>
      </c>
      <c r="H449" s="19"/>
      <c r="I449" s="30"/>
      <c r="J449" s="65"/>
      <c r="K449" s="65"/>
      <c r="L449" s="15"/>
      <c r="M449" s="15"/>
      <c r="N449" s="15"/>
      <c r="O449" s="322" t="s">
        <v>1341</v>
      </c>
      <c r="P449" s="322" t="s">
        <v>1349</v>
      </c>
      <c r="Q449" s="313" t="s">
        <v>1357</v>
      </c>
      <c r="R449" s="35"/>
      <c r="S449" s="324">
        <v>43221</v>
      </c>
      <c r="T449" s="324">
        <v>43221</v>
      </c>
      <c r="W449" s="324">
        <v>43266</v>
      </c>
      <c r="X449" s="324">
        <v>43266</v>
      </c>
      <c r="Y449" s="7"/>
      <c r="AA449" s="25"/>
      <c r="AH449" s="6"/>
    </row>
    <row r="450" spans="1:34" ht="18" customHeight="1">
      <c r="A450" s="139" t="s">
        <v>1457</v>
      </c>
      <c r="B450" s="15"/>
      <c r="D450" s="46" t="s">
        <v>1359</v>
      </c>
      <c r="E450" s="317" t="s">
        <v>357</v>
      </c>
      <c r="F450" s="318" t="s">
        <v>1312</v>
      </c>
      <c r="G450" s="319" t="s">
        <v>1314</v>
      </c>
      <c r="H450" s="19"/>
      <c r="I450" s="30"/>
      <c r="J450" s="65"/>
      <c r="K450" s="65"/>
      <c r="L450" s="15"/>
      <c r="M450" s="15"/>
      <c r="N450" s="15"/>
      <c r="O450" s="322" t="s">
        <v>1341</v>
      </c>
      <c r="P450" s="322" t="s">
        <v>511</v>
      </c>
      <c r="Q450" s="313" t="s">
        <v>1357</v>
      </c>
      <c r="R450" s="35"/>
      <c r="S450" s="324">
        <v>43221</v>
      </c>
      <c r="T450" s="324">
        <v>43221</v>
      </c>
      <c r="W450" s="324">
        <v>43266</v>
      </c>
      <c r="X450" s="324">
        <v>43266</v>
      </c>
      <c r="Y450" s="7"/>
      <c r="AA450" s="25"/>
      <c r="AH450" s="6"/>
    </row>
    <row r="451" spans="1:34" ht="18" customHeight="1">
      <c r="A451" s="29"/>
      <c r="B451" s="15"/>
      <c r="C451" s="46"/>
      <c r="D451" s="15"/>
      <c r="E451" s="15"/>
      <c r="F451" s="15"/>
      <c r="G451" s="15"/>
      <c r="H451" s="19"/>
      <c r="I451" s="30"/>
      <c r="J451" s="65"/>
      <c r="K451" s="65"/>
      <c r="L451" s="15"/>
      <c r="M451" s="15"/>
      <c r="N451" s="15"/>
      <c r="O451" s="35"/>
      <c r="P451" s="35"/>
      <c r="Q451" s="35"/>
      <c r="R451" s="35"/>
      <c r="S451" s="25"/>
      <c r="W451" s="7"/>
      <c r="X451" s="7"/>
      <c r="Y451" s="7"/>
      <c r="AA451" s="25"/>
      <c r="AH451" s="6"/>
    </row>
    <row r="452" spans="1:34" ht="18" customHeight="1">
      <c r="A452" s="29"/>
      <c r="B452" s="15"/>
      <c r="C452" s="46"/>
      <c r="D452" s="15"/>
      <c r="E452" s="15"/>
      <c r="F452" s="15"/>
      <c r="G452" s="15"/>
      <c r="H452" s="19"/>
      <c r="I452" s="30"/>
      <c r="J452" s="65"/>
      <c r="K452" s="65"/>
      <c r="L452" s="15"/>
      <c r="M452" s="15"/>
      <c r="N452" s="15"/>
      <c r="O452" s="35"/>
      <c r="P452" s="35"/>
      <c r="Q452" s="35"/>
      <c r="R452" s="35"/>
      <c r="S452" s="25"/>
      <c r="W452" s="7"/>
      <c r="X452" s="7"/>
      <c r="Y452" s="7"/>
      <c r="AA452" s="25"/>
      <c r="AH452" s="6"/>
    </row>
    <row r="453" spans="1:34" ht="18" customHeight="1">
      <c r="A453" s="29"/>
      <c r="B453" s="15"/>
      <c r="C453" s="46"/>
      <c r="D453" s="15"/>
      <c r="E453" s="15"/>
      <c r="F453" s="15"/>
      <c r="G453" s="15"/>
      <c r="H453" s="19"/>
      <c r="I453" s="30"/>
      <c r="J453" s="65"/>
      <c r="K453" s="65"/>
      <c r="L453" s="15"/>
      <c r="M453" s="15"/>
      <c r="N453" s="15"/>
      <c r="O453" s="35"/>
      <c r="P453" s="35"/>
      <c r="Q453" s="35"/>
      <c r="R453" s="35"/>
      <c r="S453" s="25"/>
      <c r="W453" s="7"/>
      <c r="X453" s="7"/>
      <c r="Y453" s="7"/>
      <c r="AA453" s="25"/>
      <c r="AH453" s="6"/>
    </row>
    <row r="454" spans="1:34" ht="18" customHeight="1">
      <c r="A454" s="29"/>
      <c r="B454" s="15"/>
      <c r="C454" s="46"/>
      <c r="D454" s="15"/>
      <c r="E454" s="15"/>
      <c r="F454" s="15"/>
      <c r="G454" s="15"/>
      <c r="H454" s="19"/>
      <c r="I454" s="30"/>
      <c r="J454" s="65"/>
      <c r="K454" s="65"/>
      <c r="L454" s="15"/>
      <c r="M454" s="15"/>
      <c r="N454" s="15"/>
      <c r="O454" s="35"/>
      <c r="P454" s="35"/>
      <c r="Q454" s="35"/>
      <c r="R454" s="35"/>
      <c r="S454" s="25"/>
      <c r="W454" s="7"/>
      <c r="X454" s="7"/>
      <c r="Y454" s="7"/>
      <c r="AA454" s="25"/>
      <c r="AH454" s="6"/>
    </row>
    <row r="455" spans="1:34" ht="63.75" customHeight="1">
      <c r="A455" s="29"/>
      <c r="B455" s="15"/>
      <c r="C455" s="46"/>
      <c r="D455" s="15"/>
      <c r="E455" s="15"/>
      <c r="F455" s="15"/>
      <c r="G455" s="15"/>
      <c r="H455" s="19"/>
      <c r="I455" s="30"/>
      <c r="J455" s="65"/>
      <c r="K455" s="65"/>
      <c r="L455" s="15"/>
      <c r="M455" s="15"/>
      <c r="N455" s="15"/>
      <c r="O455" s="35"/>
      <c r="P455" s="35"/>
      <c r="Q455" s="35"/>
      <c r="R455" s="35"/>
      <c r="S455" s="25"/>
      <c r="W455" s="7"/>
      <c r="X455" s="7"/>
      <c r="Y455" s="7"/>
      <c r="AA455" s="25"/>
      <c r="AH455" s="6"/>
    </row>
    <row r="456" spans="1:34" ht="63.75" customHeight="1">
      <c r="A456" s="29"/>
      <c r="B456" s="15"/>
      <c r="C456" s="46"/>
      <c r="D456" s="15"/>
      <c r="E456" s="15"/>
      <c r="F456" s="15"/>
      <c r="G456" s="15"/>
      <c r="H456" s="19"/>
      <c r="I456" s="30"/>
      <c r="J456" s="65"/>
      <c r="K456" s="65"/>
      <c r="L456" s="15"/>
      <c r="M456" s="15"/>
      <c r="N456" s="15"/>
      <c r="O456" s="35"/>
      <c r="P456" s="35"/>
      <c r="Q456" s="35"/>
      <c r="R456" s="35"/>
      <c r="S456" s="25"/>
      <c r="W456" s="7"/>
      <c r="X456" s="7"/>
      <c r="Y456" s="7"/>
      <c r="AA456" s="25"/>
      <c r="AH456" s="6"/>
    </row>
    <row r="457" spans="1:34" ht="36" customHeight="1">
      <c r="A457" s="29"/>
      <c r="B457" s="15"/>
      <c r="C457" s="46"/>
      <c r="D457" s="15"/>
      <c r="E457" s="15"/>
      <c r="F457" s="15"/>
      <c r="G457" s="15"/>
      <c r="H457" s="19"/>
      <c r="I457" s="30"/>
      <c r="J457" s="65"/>
      <c r="K457" s="65"/>
      <c r="L457" s="15"/>
      <c r="M457" s="15"/>
      <c r="N457" s="15"/>
      <c r="O457" s="35"/>
      <c r="P457" s="35"/>
      <c r="Q457" s="35"/>
      <c r="R457" s="35"/>
      <c r="S457" s="25"/>
      <c r="W457" s="7"/>
      <c r="X457" s="7"/>
      <c r="Y457" s="7"/>
      <c r="AA457" s="25"/>
      <c r="AH457" s="6"/>
    </row>
    <row r="458" spans="1:34" ht="36" customHeight="1">
      <c r="A458" s="29"/>
      <c r="B458" s="15"/>
      <c r="C458" s="46"/>
      <c r="D458" s="15"/>
      <c r="E458" s="15"/>
      <c r="F458" s="36"/>
      <c r="G458" s="15"/>
      <c r="H458" s="19"/>
      <c r="I458" s="30"/>
      <c r="J458" s="65"/>
      <c r="K458" s="65"/>
      <c r="L458" s="15"/>
      <c r="M458" s="15"/>
      <c r="N458" s="15"/>
      <c r="O458" s="35"/>
      <c r="P458" s="35"/>
      <c r="Q458" s="35"/>
      <c r="R458" s="35"/>
      <c r="S458" s="25"/>
      <c r="X458" s="7"/>
      <c r="Y458" s="7"/>
      <c r="AA458" s="25"/>
      <c r="AH458" s="6"/>
    </row>
    <row r="459" spans="1:34" ht="98.25" customHeight="1">
      <c r="A459" s="29"/>
      <c r="B459" s="15"/>
      <c r="C459" s="56"/>
      <c r="D459" s="15"/>
      <c r="E459" s="15"/>
      <c r="F459" s="36"/>
      <c r="G459" s="15"/>
      <c r="H459" s="19"/>
      <c r="I459" s="30"/>
      <c r="J459" s="65"/>
      <c r="K459" s="65"/>
      <c r="L459" s="15"/>
      <c r="M459" s="15"/>
      <c r="N459" s="15"/>
      <c r="O459" s="35"/>
      <c r="P459" s="35"/>
      <c r="Q459" s="35"/>
      <c r="R459" s="35"/>
      <c r="S459" s="25"/>
      <c r="T459" s="25"/>
      <c r="X459" s="7"/>
      <c r="Y459" s="7"/>
      <c r="AA459" s="25"/>
      <c r="AH459" s="6"/>
    </row>
    <row r="460" spans="1:34" ht="102" customHeight="1">
      <c r="A460" s="29"/>
      <c r="B460" s="15"/>
      <c r="C460" s="46"/>
      <c r="D460" s="15"/>
      <c r="E460" s="15"/>
      <c r="F460" s="36"/>
      <c r="G460" s="15"/>
      <c r="H460" s="19"/>
      <c r="I460" s="30"/>
      <c r="J460" s="65"/>
      <c r="K460" s="65"/>
      <c r="L460" s="15"/>
      <c r="M460" s="15"/>
      <c r="N460" s="15"/>
      <c r="O460" s="35"/>
      <c r="P460" s="35"/>
      <c r="Q460" s="35"/>
      <c r="R460" s="35"/>
      <c r="S460" s="25"/>
      <c r="X460" s="7"/>
      <c r="Y460" s="7"/>
      <c r="AA460" s="25"/>
      <c r="AH460" s="6"/>
    </row>
    <row r="461" spans="1:34" ht="102" customHeight="1">
      <c r="A461" s="29"/>
      <c r="B461" s="15"/>
      <c r="C461" s="46"/>
      <c r="D461" s="15"/>
      <c r="E461" s="15"/>
      <c r="F461" s="15"/>
      <c r="G461" s="15"/>
      <c r="H461" s="19"/>
      <c r="I461" s="30"/>
      <c r="J461" s="65"/>
      <c r="K461" s="65"/>
      <c r="L461" s="15"/>
      <c r="M461" s="15"/>
      <c r="N461" s="15"/>
      <c r="O461" s="35"/>
      <c r="P461" s="35"/>
      <c r="Q461" s="35"/>
      <c r="R461" s="35"/>
      <c r="S461" s="25"/>
      <c r="X461" s="7"/>
      <c r="Y461" s="7"/>
      <c r="AA461" s="25"/>
      <c r="AH461" s="6"/>
    </row>
    <row r="462" spans="1:34" ht="102" customHeight="1">
      <c r="A462" s="29"/>
      <c r="B462" s="15"/>
      <c r="C462" s="46"/>
      <c r="D462" s="15"/>
      <c r="E462" s="15"/>
      <c r="F462" s="15"/>
      <c r="G462" s="15"/>
      <c r="H462" s="19"/>
      <c r="I462" s="30"/>
      <c r="J462" s="65"/>
      <c r="K462" s="65"/>
      <c r="L462" s="15"/>
      <c r="M462" s="15"/>
      <c r="N462" s="15"/>
      <c r="O462" s="35"/>
      <c r="P462" s="35"/>
      <c r="Q462" s="35"/>
      <c r="R462" s="35"/>
      <c r="S462" s="25"/>
      <c r="X462" s="7"/>
      <c r="Y462" s="7"/>
      <c r="AA462" s="25"/>
      <c r="AH462" s="6"/>
    </row>
    <row r="463" spans="1:34" ht="102" customHeight="1">
      <c r="A463" s="29"/>
      <c r="B463" s="15"/>
      <c r="C463" s="46"/>
      <c r="D463" s="15"/>
      <c r="E463" s="15"/>
      <c r="F463" s="15"/>
      <c r="G463" s="15"/>
      <c r="H463" s="19"/>
      <c r="I463" s="30"/>
      <c r="J463" s="65"/>
      <c r="K463" s="65"/>
      <c r="L463" s="15"/>
      <c r="M463" s="15"/>
      <c r="N463" s="15"/>
      <c r="O463" s="35"/>
      <c r="P463" s="35"/>
      <c r="Q463" s="35"/>
      <c r="R463" s="35"/>
      <c r="S463" s="25"/>
      <c r="X463" s="7"/>
      <c r="Y463" s="7"/>
      <c r="AA463" s="25"/>
      <c r="AH463" s="6"/>
    </row>
    <row r="464" spans="1:34" ht="102" customHeight="1">
      <c r="A464" s="29"/>
      <c r="B464" s="15"/>
      <c r="C464" s="46"/>
      <c r="D464" s="15"/>
      <c r="E464" s="15"/>
      <c r="F464" s="15"/>
      <c r="G464" s="15"/>
      <c r="H464" s="19"/>
      <c r="I464" s="30"/>
      <c r="J464" s="65"/>
      <c r="K464" s="65"/>
      <c r="L464" s="15"/>
      <c r="M464" s="15"/>
      <c r="N464" s="15"/>
      <c r="O464" s="35"/>
      <c r="P464" s="35"/>
      <c r="Q464" s="35"/>
      <c r="R464" s="35"/>
      <c r="S464" s="25"/>
      <c r="X464" s="7"/>
      <c r="Y464" s="7"/>
      <c r="AA464" s="25"/>
      <c r="AH464" s="6"/>
    </row>
    <row r="465" spans="1:34" ht="102" customHeight="1">
      <c r="A465" s="29"/>
      <c r="B465" s="15"/>
      <c r="C465" s="46"/>
      <c r="D465" s="15"/>
      <c r="E465" s="15"/>
      <c r="F465" s="15"/>
      <c r="G465" s="15"/>
      <c r="H465" s="19"/>
      <c r="I465" s="30"/>
      <c r="J465" s="65"/>
      <c r="K465" s="65"/>
      <c r="L465" s="15"/>
      <c r="M465" s="15"/>
      <c r="N465" s="15"/>
      <c r="O465" s="35"/>
      <c r="P465" s="35"/>
      <c r="Q465" s="35"/>
      <c r="R465" s="35"/>
      <c r="S465" s="25"/>
      <c r="X465" s="7"/>
      <c r="Y465" s="7"/>
      <c r="AA465" s="25"/>
      <c r="AH465" s="6"/>
    </row>
    <row r="466" spans="1:34" ht="102" customHeight="1">
      <c r="A466" s="29"/>
      <c r="B466" s="15"/>
      <c r="C466" s="46"/>
      <c r="D466" s="15"/>
      <c r="E466" s="15"/>
      <c r="F466" s="15"/>
      <c r="G466" s="15"/>
      <c r="H466" s="19"/>
      <c r="I466" s="30"/>
      <c r="J466" s="65"/>
      <c r="K466" s="65"/>
      <c r="L466" s="15"/>
      <c r="M466" s="15"/>
      <c r="N466" s="15"/>
      <c r="O466" s="35"/>
      <c r="P466" s="35"/>
      <c r="Q466" s="35"/>
      <c r="R466" s="35"/>
      <c r="S466" s="25"/>
      <c r="X466" s="7"/>
      <c r="Y466" s="7"/>
      <c r="AA466" s="25"/>
      <c r="AH466" s="6"/>
    </row>
    <row r="467" spans="1:34" ht="102" customHeight="1">
      <c r="A467" s="29"/>
      <c r="B467" s="15"/>
      <c r="C467" s="46"/>
      <c r="D467" s="15"/>
      <c r="E467" s="15"/>
      <c r="F467" s="15"/>
      <c r="G467" s="15"/>
      <c r="H467" s="19"/>
      <c r="I467" s="30"/>
      <c r="J467" s="65"/>
      <c r="K467" s="65"/>
      <c r="L467" s="15"/>
      <c r="M467" s="15"/>
      <c r="N467" s="15"/>
      <c r="O467" s="35"/>
      <c r="P467" s="35"/>
      <c r="Q467" s="35"/>
      <c r="R467" s="35"/>
      <c r="S467" s="25"/>
      <c r="X467" s="7"/>
      <c r="Y467" s="7"/>
      <c r="AA467" s="25"/>
      <c r="AH467" s="6"/>
    </row>
    <row r="468" spans="1:34" ht="102" customHeight="1">
      <c r="A468" s="29"/>
      <c r="B468" s="15"/>
      <c r="C468" s="46"/>
      <c r="D468" s="15"/>
      <c r="E468" s="15"/>
      <c r="F468" s="15"/>
      <c r="G468" s="15"/>
      <c r="H468" s="19"/>
      <c r="I468" s="30"/>
      <c r="J468" s="65"/>
      <c r="K468" s="65"/>
      <c r="L468" s="15"/>
      <c r="M468" s="15"/>
      <c r="N468" s="15"/>
      <c r="O468" s="35"/>
      <c r="P468" s="35"/>
      <c r="Q468" s="35"/>
      <c r="R468" s="35"/>
      <c r="S468" s="25"/>
      <c r="X468" s="7"/>
      <c r="Y468" s="7"/>
      <c r="AA468" s="25"/>
      <c r="AH468" s="6"/>
    </row>
    <row r="469" spans="1:34" ht="102" customHeight="1">
      <c r="A469" s="29"/>
      <c r="B469" s="15"/>
      <c r="C469" s="46"/>
      <c r="D469" s="15"/>
      <c r="E469" s="15"/>
      <c r="F469" s="15"/>
      <c r="G469" s="15"/>
      <c r="H469" s="19"/>
      <c r="I469" s="30"/>
      <c r="J469" s="65"/>
      <c r="K469" s="65"/>
      <c r="L469" s="15"/>
      <c r="M469" s="15"/>
      <c r="N469" s="15"/>
      <c r="O469" s="35"/>
      <c r="P469" s="35"/>
      <c r="Q469" s="35"/>
      <c r="R469" s="35"/>
      <c r="S469" s="25"/>
      <c r="X469" s="7"/>
      <c r="Y469" s="7"/>
      <c r="AA469" s="25"/>
      <c r="AH469" s="6"/>
    </row>
    <row r="470" spans="1:34" ht="12.75" customHeight="1">
      <c r="A470" s="29"/>
      <c r="B470" s="15"/>
      <c r="C470" s="46"/>
      <c r="D470" s="15"/>
      <c r="E470" s="15"/>
      <c r="F470" s="15"/>
      <c r="G470" s="15"/>
      <c r="H470" s="19"/>
      <c r="I470" s="30"/>
      <c r="J470" s="65"/>
      <c r="K470" s="65"/>
      <c r="L470" s="15"/>
      <c r="M470" s="15"/>
      <c r="N470" s="15"/>
      <c r="O470" s="35"/>
      <c r="P470" s="35"/>
      <c r="Q470" s="35"/>
      <c r="R470" s="35"/>
      <c r="S470" s="25"/>
      <c r="X470" s="7"/>
      <c r="Y470" s="7"/>
      <c r="AA470" s="25"/>
      <c r="AH470" s="6"/>
    </row>
    <row r="471" spans="1:34" ht="12.75" customHeight="1">
      <c r="A471" s="29"/>
      <c r="B471" s="15"/>
      <c r="C471" s="46"/>
      <c r="D471" s="15"/>
      <c r="E471" s="15"/>
      <c r="F471" s="15"/>
      <c r="G471" s="15"/>
      <c r="H471" s="19"/>
      <c r="I471" s="30"/>
      <c r="J471" s="65"/>
      <c r="K471" s="65"/>
      <c r="L471" s="15"/>
      <c r="M471" s="15"/>
      <c r="N471" s="15"/>
      <c r="O471" s="35"/>
      <c r="P471" s="35"/>
      <c r="Q471" s="35"/>
      <c r="R471" s="35"/>
      <c r="S471" s="25"/>
      <c r="X471" s="7"/>
      <c r="Y471" s="7"/>
      <c r="AA471" s="25"/>
      <c r="AH471" s="6"/>
    </row>
    <row r="472" spans="1:34" ht="12.75" customHeight="1">
      <c r="A472" s="29"/>
      <c r="B472" s="15"/>
      <c r="C472" s="46"/>
      <c r="D472" s="15"/>
      <c r="E472" s="15"/>
      <c r="F472" s="15"/>
      <c r="G472" s="15"/>
      <c r="H472" s="19"/>
      <c r="I472" s="30"/>
      <c r="J472" s="65"/>
      <c r="K472" s="65"/>
      <c r="L472" s="15"/>
      <c r="M472" s="15"/>
      <c r="N472" s="15"/>
      <c r="O472" s="35"/>
      <c r="P472" s="35"/>
      <c r="Q472" s="35"/>
      <c r="R472" s="35"/>
      <c r="S472" s="25"/>
      <c r="X472" s="7"/>
      <c r="Y472" s="7"/>
      <c r="AA472" s="25"/>
      <c r="AH472" s="6"/>
    </row>
    <row r="473" spans="1:34" ht="12.75" customHeight="1">
      <c r="A473" s="29"/>
      <c r="B473" s="15"/>
      <c r="C473" s="46"/>
      <c r="D473" s="15"/>
      <c r="E473" s="15"/>
      <c r="F473" s="15"/>
      <c r="G473" s="15"/>
      <c r="H473" s="19"/>
      <c r="I473" s="30"/>
      <c r="J473" s="65"/>
      <c r="K473" s="65"/>
      <c r="L473" s="15"/>
      <c r="M473" s="15"/>
      <c r="N473" s="15"/>
      <c r="O473" s="35"/>
      <c r="P473" s="35"/>
      <c r="Q473" s="35"/>
      <c r="R473" s="35"/>
      <c r="S473" s="25"/>
      <c r="X473" s="7"/>
      <c r="Y473" s="7"/>
      <c r="AA473" s="25"/>
      <c r="AH473" s="6"/>
    </row>
    <row r="474" spans="1:34" ht="12.75" customHeight="1">
      <c r="A474" s="29"/>
      <c r="B474" s="15"/>
      <c r="C474" s="46"/>
      <c r="D474" s="15"/>
      <c r="E474" s="15"/>
      <c r="F474" s="15"/>
      <c r="G474" s="15"/>
      <c r="H474" s="19"/>
      <c r="I474" s="30"/>
      <c r="J474" s="65"/>
      <c r="K474" s="65"/>
      <c r="L474" s="15"/>
      <c r="M474" s="15"/>
      <c r="N474" s="15"/>
      <c r="O474" s="35"/>
      <c r="P474" s="35"/>
      <c r="Q474" s="35"/>
      <c r="R474" s="35"/>
      <c r="S474" s="25"/>
      <c r="X474" s="7"/>
      <c r="Y474" s="7"/>
      <c r="AA474" s="25"/>
      <c r="AH474" s="6"/>
    </row>
    <row r="475" spans="1:34" ht="24" customHeight="1">
      <c r="A475" s="29"/>
      <c r="B475" s="15"/>
      <c r="C475" s="46"/>
      <c r="D475" s="15"/>
      <c r="E475" s="15"/>
      <c r="F475" s="15"/>
      <c r="G475" s="15"/>
      <c r="H475" s="19"/>
      <c r="I475" s="30"/>
      <c r="J475" s="65"/>
      <c r="K475" s="65"/>
      <c r="L475" s="15"/>
      <c r="M475" s="15"/>
      <c r="N475" s="15"/>
      <c r="O475" s="35"/>
      <c r="P475" s="35"/>
      <c r="Q475" s="35"/>
      <c r="R475" s="35"/>
      <c r="S475" s="25"/>
      <c r="X475" s="7"/>
      <c r="Y475" s="7"/>
      <c r="AA475" s="25"/>
      <c r="AH475" s="6"/>
    </row>
    <row r="476" spans="1:34" ht="24" customHeight="1">
      <c r="A476" s="29"/>
      <c r="B476" s="15"/>
      <c r="C476" s="46"/>
      <c r="D476" s="15"/>
      <c r="E476" s="15"/>
      <c r="F476" s="15"/>
      <c r="G476" s="15"/>
      <c r="H476" s="19"/>
      <c r="I476" s="30"/>
      <c r="J476" s="65"/>
      <c r="K476" s="65"/>
      <c r="L476" s="15"/>
      <c r="M476" s="15"/>
      <c r="N476" s="15"/>
      <c r="O476" s="35"/>
      <c r="P476" s="35"/>
      <c r="Q476" s="35"/>
      <c r="R476" s="35"/>
      <c r="S476" s="25"/>
      <c r="X476" s="7"/>
      <c r="Y476" s="7"/>
      <c r="AA476" s="25"/>
      <c r="AH476" s="6"/>
    </row>
    <row r="477" spans="1:34" ht="51" customHeight="1">
      <c r="A477" s="29"/>
      <c r="B477" s="15"/>
      <c r="C477" s="46"/>
      <c r="D477" s="15"/>
      <c r="E477" s="15"/>
      <c r="F477" s="15"/>
      <c r="G477" s="15"/>
      <c r="H477" s="19"/>
      <c r="I477" s="30"/>
      <c r="J477" s="65"/>
      <c r="K477" s="65"/>
      <c r="L477" s="15"/>
      <c r="M477" s="15"/>
      <c r="N477" s="15"/>
      <c r="O477" s="35"/>
      <c r="P477" s="35"/>
      <c r="Q477" s="35"/>
      <c r="R477" s="35"/>
      <c r="S477" s="25"/>
      <c r="X477" s="7"/>
      <c r="Y477" s="7"/>
      <c r="AA477" s="25"/>
      <c r="AH477" s="6"/>
    </row>
    <row r="478" spans="1:34" ht="51" customHeight="1">
      <c r="A478" s="29"/>
      <c r="B478" s="15"/>
      <c r="C478" s="46"/>
      <c r="D478" s="15"/>
      <c r="E478" s="15"/>
      <c r="F478" s="36"/>
      <c r="G478" s="15"/>
      <c r="H478" s="19"/>
      <c r="I478" s="30"/>
      <c r="J478" s="65"/>
      <c r="K478" s="65"/>
      <c r="L478" s="15"/>
      <c r="M478" s="15"/>
      <c r="N478" s="15"/>
      <c r="O478" s="35"/>
      <c r="P478" s="35"/>
      <c r="Q478" s="35"/>
      <c r="R478" s="35"/>
      <c r="S478" s="25"/>
      <c r="X478" s="7"/>
      <c r="Y478" s="7"/>
      <c r="AA478" s="25"/>
      <c r="AH478" s="6"/>
    </row>
    <row r="479" spans="1:34" ht="51" customHeight="1">
      <c r="A479" s="29"/>
      <c r="B479" s="15"/>
      <c r="C479" s="46"/>
      <c r="D479" s="15"/>
      <c r="E479" s="15"/>
      <c r="F479" s="36"/>
      <c r="G479" s="15"/>
      <c r="H479" s="19"/>
      <c r="I479" s="30"/>
      <c r="J479" s="65"/>
      <c r="K479" s="65"/>
      <c r="L479" s="15"/>
      <c r="M479" s="15"/>
      <c r="N479" s="15"/>
      <c r="O479" s="35"/>
      <c r="P479" s="35"/>
      <c r="Q479" s="35"/>
      <c r="R479" s="35"/>
      <c r="S479" s="25"/>
      <c r="X479" s="7"/>
      <c r="Y479" s="7"/>
      <c r="AA479" s="25"/>
      <c r="AH479" s="6"/>
    </row>
    <row r="480" spans="1:34" ht="36" customHeight="1">
      <c r="A480" s="29"/>
      <c r="B480" s="15"/>
      <c r="C480" s="46"/>
      <c r="D480" s="15"/>
      <c r="E480" s="15"/>
      <c r="F480" s="36"/>
      <c r="G480" s="15"/>
      <c r="H480" s="19"/>
      <c r="I480" s="30"/>
      <c r="J480" s="65"/>
      <c r="K480" s="65"/>
      <c r="L480" s="15"/>
      <c r="M480" s="15"/>
      <c r="N480" s="15"/>
      <c r="O480" s="35"/>
      <c r="P480" s="35"/>
      <c r="Q480" s="35"/>
      <c r="R480" s="35"/>
      <c r="S480" s="25"/>
      <c r="X480" s="7"/>
      <c r="Y480" s="7"/>
      <c r="AA480" s="25"/>
      <c r="AH480" s="6"/>
    </row>
    <row r="481" spans="1:34" ht="36" customHeight="1">
      <c r="A481" s="29"/>
      <c r="B481" s="15"/>
      <c r="C481" s="46"/>
      <c r="D481" s="15"/>
      <c r="E481" s="15"/>
      <c r="F481" s="36"/>
      <c r="G481" s="15"/>
      <c r="H481" s="19"/>
      <c r="I481" s="30"/>
      <c r="J481" s="65"/>
      <c r="K481" s="65"/>
      <c r="L481" s="15"/>
      <c r="M481" s="15"/>
      <c r="N481" s="15"/>
      <c r="O481" s="35"/>
      <c r="P481" s="35"/>
      <c r="Q481" s="35"/>
      <c r="R481" s="35"/>
      <c r="S481" s="25"/>
      <c r="X481" s="7"/>
      <c r="Y481" s="7"/>
      <c r="AA481" s="25"/>
      <c r="AH481" s="6"/>
    </row>
    <row r="482" spans="1:34" ht="51" customHeight="1">
      <c r="A482" s="29"/>
      <c r="B482" s="15"/>
      <c r="C482" s="46"/>
      <c r="D482" s="15"/>
      <c r="E482" s="15"/>
      <c r="F482" s="36"/>
      <c r="G482" s="15"/>
      <c r="H482" s="19"/>
      <c r="I482" s="30"/>
      <c r="J482" s="65"/>
      <c r="K482" s="65"/>
      <c r="L482" s="15"/>
      <c r="M482" s="15"/>
      <c r="N482" s="15"/>
      <c r="O482" s="35"/>
      <c r="P482" s="35"/>
      <c r="Q482" s="35"/>
      <c r="R482" s="35"/>
      <c r="S482" s="25"/>
      <c r="X482" s="7"/>
      <c r="Y482" s="7"/>
      <c r="AA482" s="25"/>
      <c r="AH482" s="6"/>
    </row>
    <row r="483" spans="1:34" ht="24" customHeight="1">
      <c r="A483" s="29"/>
      <c r="B483" s="15"/>
      <c r="C483" s="46"/>
      <c r="D483" s="15"/>
      <c r="E483" s="15"/>
      <c r="F483" s="36"/>
      <c r="G483" s="15"/>
      <c r="H483" s="19"/>
      <c r="I483" s="30"/>
      <c r="J483" s="65"/>
      <c r="K483" s="65"/>
      <c r="L483" s="15"/>
      <c r="M483" s="15"/>
      <c r="N483" s="15"/>
      <c r="O483" s="35"/>
      <c r="P483" s="35"/>
      <c r="Q483" s="35"/>
      <c r="R483" s="35"/>
      <c r="S483" s="25"/>
      <c r="X483" s="7"/>
      <c r="Y483" s="7"/>
      <c r="AA483" s="25"/>
      <c r="AH483" s="6"/>
    </row>
    <row r="484" spans="1:34" ht="24" customHeight="1">
      <c r="A484" s="29"/>
      <c r="B484" s="15"/>
      <c r="C484" s="46"/>
      <c r="D484" s="15"/>
      <c r="E484" s="15"/>
      <c r="F484" s="36"/>
      <c r="G484" s="15"/>
      <c r="H484" s="19"/>
      <c r="I484" s="30"/>
      <c r="J484" s="65"/>
      <c r="K484" s="65"/>
      <c r="L484" s="15"/>
      <c r="M484" s="15"/>
      <c r="N484" s="15"/>
      <c r="O484" s="35"/>
      <c r="P484" s="35"/>
      <c r="Q484" s="35"/>
      <c r="R484" s="35"/>
      <c r="S484" s="25"/>
      <c r="X484" s="7"/>
      <c r="Y484" s="7"/>
      <c r="AA484" s="25"/>
      <c r="AH484" s="6"/>
    </row>
    <row r="485" spans="1:34" ht="24" customHeight="1">
      <c r="A485" s="29"/>
      <c r="B485" s="15"/>
      <c r="C485" s="46"/>
      <c r="D485" s="15"/>
      <c r="E485" s="15"/>
      <c r="F485" s="36"/>
      <c r="G485" s="15"/>
      <c r="H485" s="19"/>
      <c r="I485" s="30"/>
      <c r="J485" s="65"/>
      <c r="K485" s="65"/>
      <c r="L485" s="15"/>
      <c r="M485" s="15"/>
      <c r="N485" s="15"/>
      <c r="O485" s="35"/>
      <c r="P485" s="35"/>
      <c r="Q485" s="35"/>
      <c r="R485" s="35"/>
      <c r="S485" s="25"/>
      <c r="X485" s="7"/>
      <c r="Y485" s="7"/>
      <c r="AA485" s="25"/>
      <c r="AH485" s="6"/>
    </row>
    <row r="486" spans="1:34" ht="24" customHeight="1">
      <c r="A486" s="29"/>
      <c r="B486" s="15"/>
      <c r="C486" s="46"/>
      <c r="D486" s="15"/>
      <c r="E486" s="15"/>
      <c r="F486" s="36"/>
      <c r="G486" s="15"/>
      <c r="H486" s="19"/>
      <c r="I486" s="30"/>
      <c r="J486" s="65"/>
      <c r="K486" s="65"/>
      <c r="L486" s="15"/>
      <c r="M486" s="15"/>
      <c r="N486" s="15"/>
      <c r="O486" s="35"/>
      <c r="P486" s="35"/>
      <c r="Q486" s="35"/>
      <c r="R486" s="35"/>
      <c r="S486" s="25"/>
      <c r="X486" s="7"/>
      <c r="Y486" s="7"/>
      <c r="AA486" s="25"/>
      <c r="AH486" s="6"/>
    </row>
    <row r="487" spans="1:34" ht="24" customHeight="1">
      <c r="A487" s="29"/>
      <c r="B487" s="15"/>
      <c r="C487" s="46"/>
      <c r="D487" s="15"/>
      <c r="E487" s="15"/>
      <c r="F487" s="36"/>
      <c r="G487" s="15"/>
      <c r="H487" s="19"/>
      <c r="I487" s="30"/>
      <c r="J487" s="65"/>
      <c r="K487" s="65"/>
      <c r="L487" s="15"/>
      <c r="M487" s="15"/>
      <c r="N487" s="15"/>
      <c r="O487" s="35"/>
      <c r="P487" s="35"/>
      <c r="Q487" s="35"/>
      <c r="R487" s="35"/>
      <c r="S487" s="25"/>
      <c r="X487" s="7"/>
      <c r="Y487" s="7"/>
      <c r="AA487" s="25"/>
      <c r="AH487" s="6"/>
    </row>
    <row r="488" spans="1:34" ht="24" customHeight="1">
      <c r="A488" s="29"/>
      <c r="B488" s="15"/>
      <c r="C488" s="46"/>
      <c r="D488" s="15"/>
      <c r="E488" s="15"/>
      <c r="F488" s="15"/>
      <c r="G488" s="15"/>
      <c r="H488" s="19"/>
      <c r="I488" s="30"/>
      <c r="J488" s="65"/>
      <c r="K488" s="65"/>
      <c r="L488" s="15"/>
      <c r="M488" s="15"/>
      <c r="N488" s="15"/>
      <c r="O488" s="35"/>
      <c r="P488" s="35"/>
      <c r="Q488" s="35"/>
      <c r="R488" s="35"/>
      <c r="S488" s="25"/>
      <c r="X488" s="7"/>
      <c r="Y488" s="7"/>
      <c r="AA488" s="25"/>
      <c r="AH488" s="6"/>
    </row>
    <row r="489" spans="1:34" ht="24" customHeight="1">
      <c r="A489" s="29"/>
      <c r="B489" s="15"/>
      <c r="C489" s="46"/>
      <c r="D489" s="15"/>
      <c r="E489" s="15"/>
      <c r="F489" s="15"/>
      <c r="G489" s="15"/>
      <c r="H489" s="19"/>
      <c r="I489" s="30"/>
      <c r="J489" s="65"/>
      <c r="K489" s="65"/>
      <c r="L489" s="15"/>
      <c r="M489" s="15"/>
      <c r="N489" s="15"/>
      <c r="O489" s="35"/>
      <c r="P489" s="35"/>
      <c r="Q489" s="35"/>
      <c r="R489" s="35"/>
      <c r="S489" s="25"/>
      <c r="X489" s="7"/>
      <c r="Y489" s="7"/>
      <c r="AA489" s="25"/>
      <c r="AH489" s="6"/>
    </row>
    <row r="490" spans="1:34" ht="24" customHeight="1">
      <c r="A490" s="29"/>
      <c r="B490" s="15"/>
      <c r="C490" s="46"/>
      <c r="D490" s="15"/>
      <c r="E490" s="15"/>
      <c r="F490" s="15"/>
      <c r="G490" s="15"/>
      <c r="H490" s="19"/>
      <c r="I490" s="30"/>
      <c r="J490" s="65"/>
      <c r="K490" s="65"/>
      <c r="L490" s="15"/>
      <c r="M490" s="15"/>
      <c r="N490" s="15"/>
      <c r="O490" s="35"/>
      <c r="P490" s="35"/>
      <c r="Q490" s="35"/>
      <c r="R490" s="35"/>
      <c r="S490" s="25"/>
      <c r="X490" s="7"/>
      <c r="Y490" s="7"/>
      <c r="AA490" s="25"/>
      <c r="AH490" s="6"/>
    </row>
    <row r="491" spans="1:34" ht="24" customHeight="1">
      <c r="A491" s="29"/>
      <c r="B491" s="15"/>
      <c r="C491" s="46"/>
      <c r="D491" s="15"/>
      <c r="E491" s="15"/>
      <c r="F491" s="36"/>
      <c r="G491" s="15"/>
      <c r="H491" s="19"/>
      <c r="I491" s="30"/>
      <c r="J491" s="65"/>
      <c r="K491" s="65"/>
      <c r="L491" s="15"/>
      <c r="M491" s="15"/>
      <c r="N491" s="15"/>
      <c r="O491" s="35"/>
      <c r="P491" s="35"/>
      <c r="Q491" s="35"/>
      <c r="R491" s="35"/>
      <c r="S491" s="25"/>
      <c r="X491" s="7"/>
      <c r="Y491" s="7"/>
      <c r="AA491" s="25"/>
      <c r="AH491" s="6"/>
    </row>
    <row r="492" spans="1:34" ht="24" customHeight="1">
      <c r="A492" s="29"/>
      <c r="B492" s="15"/>
      <c r="C492" s="46"/>
      <c r="D492" s="15"/>
      <c r="E492" s="15"/>
      <c r="F492" s="36"/>
      <c r="G492" s="15"/>
      <c r="H492" s="19"/>
      <c r="I492" s="30"/>
      <c r="J492" s="65"/>
      <c r="K492" s="65"/>
      <c r="L492" s="15"/>
      <c r="M492" s="15"/>
      <c r="N492" s="15"/>
      <c r="O492" s="35"/>
      <c r="P492" s="35"/>
      <c r="Q492" s="35"/>
      <c r="R492" s="35"/>
      <c r="S492" s="25"/>
      <c r="X492" s="7"/>
      <c r="Y492" s="7"/>
      <c r="AA492" s="25"/>
      <c r="AH492" s="6"/>
    </row>
    <row r="493" spans="1:34" ht="24" customHeight="1">
      <c r="A493" s="29"/>
      <c r="B493" s="15"/>
      <c r="C493" s="46"/>
      <c r="D493" s="15"/>
      <c r="E493" s="15"/>
      <c r="F493" s="36"/>
      <c r="G493" s="15"/>
      <c r="H493" s="19"/>
      <c r="I493" s="30"/>
      <c r="J493" s="65"/>
      <c r="K493" s="65"/>
      <c r="L493" s="15"/>
      <c r="M493" s="15"/>
      <c r="N493" s="15"/>
      <c r="O493" s="35"/>
      <c r="P493" s="35"/>
      <c r="Q493" s="35"/>
      <c r="R493" s="35"/>
      <c r="S493" s="25"/>
      <c r="X493" s="7"/>
      <c r="Y493" s="7"/>
      <c r="AA493" s="25"/>
      <c r="AH493" s="6"/>
    </row>
    <row r="494" spans="1:34" ht="24" customHeight="1">
      <c r="A494" s="29"/>
      <c r="B494" s="15"/>
      <c r="C494" s="46"/>
      <c r="D494" s="15"/>
      <c r="E494" s="15"/>
      <c r="F494" s="15"/>
      <c r="G494" s="15"/>
      <c r="H494" s="19"/>
      <c r="I494" s="30"/>
      <c r="J494" s="65"/>
      <c r="K494" s="65"/>
      <c r="L494" s="15"/>
      <c r="M494" s="15"/>
      <c r="N494" s="15"/>
      <c r="O494" s="35"/>
      <c r="P494" s="35"/>
      <c r="Q494" s="35"/>
      <c r="R494" s="35"/>
      <c r="S494" s="25"/>
      <c r="X494" s="7"/>
      <c r="Y494" s="7"/>
      <c r="AA494" s="25"/>
      <c r="AH494" s="6"/>
    </row>
    <row r="495" spans="1:34" ht="24" customHeight="1">
      <c r="A495" s="29"/>
      <c r="B495" s="15"/>
      <c r="C495" s="46"/>
      <c r="D495" s="15"/>
      <c r="E495" s="15"/>
      <c r="F495" s="15"/>
      <c r="G495" s="15"/>
      <c r="H495" s="19"/>
      <c r="I495" s="30"/>
      <c r="J495" s="65"/>
      <c r="K495" s="65"/>
      <c r="L495" s="15"/>
      <c r="M495" s="15"/>
      <c r="N495" s="15"/>
      <c r="O495" s="35"/>
      <c r="P495" s="35"/>
      <c r="Q495" s="35"/>
      <c r="R495" s="35"/>
      <c r="S495" s="25"/>
      <c r="X495" s="7"/>
      <c r="AA495" s="25"/>
      <c r="AH495" s="6"/>
    </row>
    <row r="496" spans="1:34" ht="24" customHeight="1">
      <c r="A496" s="29"/>
      <c r="B496" s="15"/>
      <c r="C496" s="46"/>
      <c r="D496" s="15"/>
      <c r="E496" s="15"/>
      <c r="F496" s="15"/>
      <c r="G496" s="15"/>
      <c r="H496" s="19"/>
      <c r="I496" s="30"/>
      <c r="J496" s="65"/>
      <c r="K496" s="65"/>
      <c r="L496" s="15"/>
      <c r="M496" s="15"/>
      <c r="N496" s="15"/>
      <c r="O496" s="35"/>
      <c r="P496" s="35"/>
      <c r="Q496" s="35"/>
      <c r="R496" s="35"/>
      <c r="S496" s="25"/>
      <c r="X496" s="7"/>
      <c r="AA496" s="25"/>
      <c r="AH496" s="6"/>
    </row>
    <row r="497" spans="1:34" ht="24" customHeight="1">
      <c r="A497" s="29"/>
      <c r="B497" s="15"/>
      <c r="C497" s="46"/>
      <c r="D497" s="15"/>
      <c r="E497" s="15"/>
      <c r="F497" s="15"/>
      <c r="G497" s="15"/>
      <c r="H497" s="19"/>
      <c r="I497" s="30"/>
      <c r="J497" s="65"/>
      <c r="K497" s="65"/>
      <c r="L497" s="15"/>
      <c r="M497" s="15"/>
      <c r="N497" s="15"/>
      <c r="O497" s="35"/>
      <c r="P497" s="35"/>
      <c r="Q497" s="35"/>
      <c r="R497" s="35"/>
      <c r="S497" s="25"/>
      <c r="X497" s="7"/>
      <c r="AA497" s="25"/>
      <c r="AH497" s="6"/>
    </row>
    <row r="498" spans="1:34" ht="24" customHeight="1">
      <c r="A498" s="29"/>
      <c r="B498" s="15"/>
      <c r="C498" s="46"/>
      <c r="D498" s="15"/>
      <c r="E498" s="15"/>
      <c r="F498" s="15"/>
      <c r="G498" s="15"/>
      <c r="H498" s="19"/>
      <c r="I498" s="30"/>
      <c r="J498" s="65"/>
      <c r="K498" s="65"/>
      <c r="L498" s="15"/>
      <c r="M498" s="15"/>
      <c r="N498" s="15"/>
      <c r="O498" s="35"/>
      <c r="P498" s="35"/>
      <c r="Q498" s="35"/>
      <c r="R498" s="35"/>
      <c r="S498" s="25"/>
      <c r="X498" s="7"/>
      <c r="AA498" s="25"/>
      <c r="AH498" s="6"/>
    </row>
    <row r="499" spans="1:34" ht="24" customHeight="1">
      <c r="A499" s="29"/>
      <c r="B499" s="15"/>
      <c r="C499" s="46"/>
      <c r="D499" s="15"/>
      <c r="E499" s="15"/>
      <c r="F499" s="15"/>
      <c r="G499" s="15"/>
      <c r="H499" s="19"/>
      <c r="I499" s="30"/>
      <c r="J499" s="65"/>
      <c r="K499" s="65"/>
      <c r="L499" s="15"/>
      <c r="M499" s="15"/>
      <c r="N499" s="15"/>
      <c r="O499" s="75"/>
      <c r="P499" s="35"/>
      <c r="Q499" s="35"/>
      <c r="R499" s="35"/>
      <c r="S499" s="25"/>
      <c r="X499" s="7"/>
      <c r="AA499" s="25"/>
      <c r="AH499" s="6"/>
    </row>
    <row r="500" spans="1:34" ht="12.75" customHeight="1">
      <c r="A500" s="29"/>
      <c r="B500" s="15"/>
      <c r="C500" s="46"/>
      <c r="D500" s="15"/>
      <c r="E500" s="15"/>
      <c r="F500" s="15"/>
      <c r="G500" s="15"/>
      <c r="H500" s="19"/>
      <c r="I500" s="30"/>
      <c r="J500" s="65"/>
      <c r="K500" s="65"/>
      <c r="L500" s="15"/>
      <c r="M500" s="15"/>
      <c r="N500" s="15"/>
      <c r="O500" s="35"/>
      <c r="P500" s="35"/>
      <c r="Q500" s="35"/>
      <c r="R500" s="35"/>
      <c r="S500" s="25"/>
      <c r="T500" s="7"/>
      <c r="AA500" s="25"/>
      <c r="AH500" s="6"/>
    </row>
    <row r="501" spans="1:34" ht="12.75" customHeight="1">
      <c r="A501" s="29"/>
      <c r="B501" s="15"/>
      <c r="C501" s="46"/>
      <c r="D501" s="15"/>
      <c r="E501" s="15"/>
      <c r="F501" s="36"/>
      <c r="G501" s="15"/>
      <c r="H501" s="19"/>
      <c r="I501" s="30"/>
      <c r="J501" s="65"/>
      <c r="K501" s="65"/>
      <c r="L501" s="15"/>
      <c r="M501" s="15"/>
      <c r="N501" s="15"/>
      <c r="O501" s="35"/>
      <c r="P501" s="35"/>
      <c r="Q501" s="35"/>
      <c r="R501" s="35"/>
      <c r="S501" s="25"/>
      <c r="T501" s="7"/>
      <c r="AA501" s="25"/>
      <c r="AC501" s="8"/>
      <c r="AH501" s="6"/>
    </row>
    <row r="502" spans="1:34" ht="12.75" customHeight="1">
      <c r="A502" s="29"/>
      <c r="B502" s="15"/>
      <c r="C502" s="56"/>
      <c r="D502" s="15"/>
      <c r="E502" s="15"/>
      <c r="F502" s="36"/>
      <c r="G502" s="15"/>
      <c r="H502" s="19"/>
      <c r="I502" s="30"/>
      <c r="J502" s="65"/>
      <c r="K502" s="65"/>
      <c r="L502" s="15"/>
      <c r="M502" s="15"/>
      <c r="N502" s="15"/>
      <c r="O502" s="35"/>
      <c r="P502" s="35"/>
      <c r="Q502" s="35"/>
      <c r="R502" s="35"/>
      <c r="S502" s="25"/>
      <c r="T502" s="7"/>
      <c r="AA502" s="25"/>
      <c r="AC502" s="8"/>
      <c r="AH502" s="6"/>
    </row>
    <row r="503" spans="1:34" ht="12.75" customHeight="1">
      <c r="A503" s="29"/>
      <c r="B503" s="15"/>
      <c r="C503" s="56"/>
      <c r="D503" s="15"/>
      <c r="E503" s="15"/>
      <c r="F503" s="15"/>
      <c r="G503" s="15"/>
      <c r="H503" s="19"/>
      <c r="I503" s="30"/>
      <c r="J503" s="65"/>
      <c r="K503" s="65"/>
      <c r="L503" s="15"/>
      <c r="M503" s="15"/>
      <c r="N503" s="15"/>
      <c r="O503" s="35"/>
      <c r="P503" s="35"/>
      <c r="Q503" s="35"/>
      <c r="R503" s="35"/>
      <c r="S503" s="25"/>
      <c r="T503" s="7"/>
      <c r="AA503" s="25"/>
      <c r="AH503" s="6"/>
    </row>
    <row r="504" spans="1:34" ht="12.75" customHeight="1">
      <c r="A504" s="29"/>
      <c r="B504" s="15"/>
      <c r="C504" s="46"/>
      <c r="D504" s="15"/>
      <c r="E504" s="15"/>
      <c r="F504" s="15"/>
      <c r="G504" s="15"/>
      <c r="H504" s="19"/>
      <c r="I504" s="30"/>
      <c r="J504" s="65"/>
      <c r="K504" s="65"/>
      <c r="L504" s="15"/>
      <c r="M504" s="15"/>
      <c r="N504" s="15"/>
      <c r="O504" s="35"/>
      <c r="P504" s="35"/>
      <c r="Q504" s="35"/>
      <c r="R504" s="35"/>
      <c r="S504" s="25"/>
      <c r="T504" s="7"/>
      <c r="AA504" s="25"/>
      <c r="AH504" s="6"/>
    </row>
    <row r="505" spans="1:34" ht="12.75" customHeight="1">
      <c r="A505" s="29"/>
      <c r="B505" s="15"/>
      <c r="C505" s="46"/>
      <c r="D505" s="15"/>
      <c r="E505" s="15"/>
      <c r="F505" s="15"/>
      <c r="G505" s="15"/>
      <c r="H505" s="19"/>
      <c r="I505" s="30"/>
      <c r="J505" s="65"/>
      <c r="K505" s="65"/>
      <c r="L505" s="15"/>
      <c r="M505" s="15"/>
      <c r="N505" s="15"/>
      <c r="O505" s="35"/>
      <c r="P505" s="35"/>
      <c r="Q505" s="35"/>
      <c r="R505" s="35"/>
      <c r="S505" s="25"/>
      <c r="X505" s="7"/>
      <c r="Z505" s="61"/>
      <c r="AA505" s="25"/>
      <c r="AH505" s="6"/>
    </row>
    <row r="506" spans="1:34" ht="12.75" customHeight="1">
      <c r="A506" s="29"/>
      <c r="B506" s="15"/>
      <c r="C506" s="46"/>
      <c r="D506" s="15"/>
      <c r="E506" s="15"/>
      <c r="F506" s="15"/>
      <c r="G506" s="15"/>
      <c r="H506" s="19"/>
      <c r="I506" s="30"/>
      <c r="J506" s="65"/>
      <c r="K506" s="65"/>
      <c r="L506" s="15"/>
      <c r="M506" s="15"/>
      <c r="N506" s="15"/>
      <c r="O506" s="35"/>
      <c r="P506" s="35"/>
      <c r="Q506" s="35"/>
      <c r="R506" s="35"/>
      <c r="S506" s="25"/>
      <c r="X506" s="7"/>
      <c r="Z506" s="61"/>
      <c r="AA506" s="25"/>
      <c r="AH506" s="6"/>
    </row>
    <row r="507" spans="1:34" ht="12.75" customHeight="1">
      <c r="A507" s="29"/>
      <c r="B507" s="15"/>
      <c r="C507" s="46"/>
      <c r="D507" s="15"/>
      <c r="E507" s="15"/>
      <c r="F507" s="15"/>
      <c r="G507" s="15"/>
      <c r="H507" s="19"/>
      <c r="I507" s="30"/>
      <c r="J507" s="65"/>
      <c r="K507" s="65"/>
      <c r="L507" s="15"/>
      <c r="M507" s="15"/>
      <c r="N507" s="15"/>
      <c r="O507" s="35"/>
      <c r="P507" s="35"/>
      <c r="Q507" s="35"/>
      <c r="R507" s="35"/>
      <c r="S507" s="25"/>
      <c r="X507" s="7"/>
      <c r="Z507" s="61"/>
      <c r="AA507" s="25"/>
      <c r="AH507" s="6"/>
    </row>
    <row r="508" spans="1:34" ht="12.75" customHeight="1">
      <c r="A508" s="29"/>
      <c r="B508" s="15"/>
      <c r="C508" s="46"/>
      <c r="D508" s="15"/>
      <c r="E508" s="15"/>
      <c r="F508" s="15"/>
      <c r="G508" s="15"/>
      <c r="H508" s="19"/>
      <c r="I508" s="30"/>
      <c r="J508" s="65"/>
      <c r="K508" s="65"/>
      <c r="L508" s="15"/>
      <c r="M508" s="15"/>
      <c r="N508" s="15"/>
      <c r="O508" s="35"/>
      <c r="P508" s="35"/>
      <c r="Q508" s="35"/>
      <c r="R508" s="35"/>
      <c r="S508" s="25"/>
      <c r="X508" s="7"/>
      <c r="Z508" s="61"/>
      <c r="AA508" s="25"/>
      <c r="AH508" s="6"/>
    </row>
    <row r="509" spans="1:34" ht="12.75" customHeight="1">
      <c r="A509" s="29"/>
      <c r="B509" s="15"/>
      <c r="C509" s="46"/>
      <c r="D509" s="15"/>
      <c r="E509" s="15"/>
      <c r="F509" s="15"/>
      <c r="G509" s="15"/>
      <c r="H509" s="19"/>
      <c r="I509" s="30"/>
      <c r="J509" s="65"/>
      <c r="K509" s="65"/>
      <c r="L509" s="15"/>
      <c r="M509" s="15"/>
      <c r="N509" s="15"/>
      <c r="O509" s="35"/>
      <c r="P509" s="35"/>
      <c r="Q509" s="35"/>
      <c r="R509" s="35"/>
      <c r="S509" s="25"/>
      <c r="X509" s="7"/>
      <c r="Z509" s="61"/>
      <c r="AA509" s="25"/>
    </row>
    <row r="510" spans="1:34" ht="12.75" customHeight="1">
      <c r="A510" s="29"/>
      <c r="B510" s="15"/>
      <c r="C510" s="46"/>
      <c r="D510" s="15"/>
      <c r="E510" s="15"/>
      <c r="F510" s="15"/>
      <c r="G510" s="15"/>
      <c r="H510" s="19"/>
      <c r="I510" s="30"/>
      <c r="J510" s="65"/>
      <c r="K510" s="65"/>
      <c r="L510" s="15"/>
      <c r="M510" s="15"/>
      <c r="N510" s="15"/>
      <c r="O510" s="35"/>
      <c r="P510" s="35"/>
      <c r="Q510" s="35"/>
      <c r="R510" s="35"/>
      <c r="S510" s="25"/>
      <c r="X510" s="7"/>
      <c r="Y510" s="7"/>
      <c r="Z510" s="61"/>
      <c r="AA510" s="25"/>
      <c r="AB510" s="219"/>
      <c r="AD510" s="4"/>
      <c r="AE510" s="4"/>
    </row>
    <row r="511" spans="1:34" ht="12.75" customHeight="1">
      <c r="A511" s="29"/>
      <c r="B511" s="15"/>
      <c r="C511" s="46"/>
      <c r="D511" s="15"/>
      <c r="E511" s="15"/>
      <c r="F511" s="15"/>
      <c r="G511" s="15"/>
      <c r="H511" s="19"/>
      <c r="I511" s="30"/>
      <c r="J511" s="65"/>
      <c r="K511" s="65"/>
      <c r="L511" s="15"/>
      <c r="M511" s="15"/>
      <c r="N511" s="15"/>
      <c r="O511" s="35"/>
      <c r="P511" s="35"/>
      <c r="Q511" s="35"/>
      <c r="R511" s="35"/>
      <c r="S511" s="25"/>
      <c r="X511" s="7"/>
      <c r="Y511" s="7"/>
      <c r="Z511" s="61"/>
      <c r="AA511" s="25"/>
    </row>
    <row r="512" spans="1:34" ht="12.75" customHeight="1">
      <c r="A512" s="29"/>
      <c r="B512" s="15"/>
      <c r="C512" s="56"/>
      <c r="D512" s="15"/>
      <c r="E512" s="15"/>
      <c r="F512" s="15"/>
      <c r="G512" s="15"/>
      <c r="H512" s="19"/>
      <c r="I512" s="30"/>
      <c r="J512" s="65"/>
      <c r="K512" s="65"/>
      <c r="L512" s="15"/>
      <c r="M512" s="15"/>
      <c r="N512" s="15"/>
      <c r="O512" s="35"/>
      <c r="P512" s="35"/>
      <c r="Q512" s="35"/>
      <c r="R512" s="35"/>
      <c r="S512" s="25"/>
      <c r="U512" s="7"/>
      <c r="V512" s="62"/>
      <c r="AA512" s="25"/>
      <c r="AD512" s="4"/>
      <c r="AE512" s="4"/>
      <c r="AH512" s="6"/>
    </row>
    <row r="513" spans="1:34" ht="12.75" customHeight="1">
      <c r="A513" s="29"/>
      <c r="B513" s="15"/>
      <c r="C513" s="46"/>
      <c r="D513" s="15"/>
      <c r="E513" s="15"/>
      <c r="F513" s="15"/>
      <c r="G513" s="15"/>
      <c r="H513" s="19"/>
      <c r="I513" s="30"/>
      <c r="J513" s="65"/>
      <c r="K513" s="65"/>
      <c r="L513" s="15"/>
      <c r="M513" s="15"/>
      <c r="N513" s="15"/>
      <c r="O513" s="35"/>
      <c r="P513" s="35"/>
      <c r="Q513" s="35"/>
      <c r="R513" s="35"/>
      <c r="S513" s="25"/>
      <c r="T513" s="7"/>
      <c r="U513" s="7"/>
      <c r="AA513" s="25"/>
      <c r="AD513" s="4"/>
      <c r="AE513" s="4"/>
      <c r="AH513" s="6"/>
    </row>
    <row r="514" spans="1:34" ht="12.75" customHeight="1">
      <c r="A514" s="29"/>
      <c r="B514" s="15"/>
      <c r="C514" s="46"/>
      <c r="D514" s="15"/>
      <c r="E514" s="15"/>
      <c r="F514" s="15"/>
      <c r="G514" s="15"/>
      <c r="H514" s="19"/>
      <c r="I514" s="30"/>
      <c r="J514" s="65"/>
      <c r="K514" s="65"/>
      <c r="L514" s="15"/>
      <c r="M514" s="15"/>
      <c r="N514" s="15"/>
      <c r="O514" s="35"/>
      <c r="P514" s="35"/>
      <c r="Q514" s="35"/>
      <c r="R514" s="35"/>
      <c r="S514" s="25"/>
      <c r="T514" s="7"/>
      <c r="U514" s="7"/>
      <c r="AA514" s="25"/>
      <c r="AH514" s="6"/>
    </row>
    <row r="515" spans="1:34" ht="12.75" customHeight="1">
      <c r="A515" s="29"/>
      <c r="B515" s="15"/>
      <c r="C515" s="46"/>
      <c r="D515" s="15"/>
      <c r="E515" s="15"/>
      <c r="F515" s="15"/>
      <c r="G515" s="15"/>
      <c r="H515" s="19"/>
      <c r="I515" s="30"/>
      <c r="J515" s="65"/>
      <c r="K515" s="65"/>
      <c r="L515" s="15"/>
      <c r="M515" s="15"/>
      <c r="N515" s="15"/>
      <c r="O515" s="35"/>
      <c r="P515" s="35"/>
      <c r="Q515" s="35"/>
      <c r="R515" s="35"/>
      <c r="S515" s="25"/>
      <c r="T515" s="7"/>
      <c r="U515" s="7"/>
      <c r="AA515" s="25"/>
      <c r="AD515" s="4"/>
      <c r="AE515" s="4"/>
      <c r="AH515" s="6"/>
    </row>
    <row r="516" spans="1:34" ht="12.75" customHeight="1">
      <c r="A516" s="29"/>
      <c r="B516" s="15"/>
      <c r="C516" s="46"/>
      <c r="D516" s="15"/>
      <c r="E516" s="15"/>
      <c r="F516" s="15"/>
      <c r="G516" s="15"/>
      <c r="H516" s="19"/>
      <c r="I516" s="30"/>
      <c r="J516" s="65"/>
      <c r="K516" s="65"/>
      <c r="L516" s="15"/>
      <c r="M516" s="15"/>
      <c r="N516" s="15"/>
      <c r="O516" s="35"/>
      <c r="P516" s="35"/>
      <c r="Q516" s="35"/>
      <c r="R516" s="35"/>
      <c r="S516" s="25"/>
      <c r="T516" s="7"/>
      <c r="U516" s="7"/>
      <c r="Y516" s="3"/>
      <c r="AA516" s="25"/>
      <c r="AD516" s="4"/>
      <c r="AE516" s="4"/>
      <c r="AH516" s="6"/>
    </row>
    <row r="517" spans="1:34" ht="24" customHeight="1">
      <c r="A517" s="29"/>
      <c r="B517" s="15"/>
      <c r="C517" s="46"/>
      <c r="D517" s="15"/>
      <c r="E517" s="15"/>
      <c r="F517" s="15"/>
      <c r="G517" s="15"/>
      <c r="H517" s="19"/>
      <c r="I517" s="30"/>
      <c r="J517" s="65"/>
      <c r="K517" s="65"/>
      <c r="L517" s="15"/>
      <c r="M517" s="15"/>
      <c r="N517" s="15"/>
      <c r="O517" s="35"/>
      <c r="P517" s="35"/>
      <c r="Q517" s="35"/>
      <c r="R517" s="35"/>
      <c r="S517" s="25"/>
      <c r="T517" s="7"/>
      <c r="U517" s="7"/>
      <c r="AA517" s="25"/>
    </row>
    <row r="518" spans="1:34" ht="24" customHeight="1">
      <c r="A518" s="29"/>
      <c r="B518" s="15"/>
      <c r="C518" s="46"/>
      <c r="D518" s="15"/>
      <c r="E518" s="15"/>
      <c r="F518" s="15"/>
      <c r="G518" s="15"/>
      <c r="H518" s="19"/>
      <c r="I518" s="30"/>
      <c r="J518" s="65"/>
      <c r="K518" s="65"/>
      <c r="L518" s="15"/>
      <c r="M518" s="15"/>
      <c r="N518" s="15"/>
      <c r="O518" s="35"/>
      <c r="P518" s="35"/>
      <c r="Q518" s="35"/>
      <c r="R518" s="35"/>
      <c r="S518" s="25"/>
      <c r="T518" s="7"/>
      <c r="U518" s="7"/>
      <c r="AA518" s="25"/>
      <c r="AD518" s="4"/>
      <c r="AE518" s="4"/>
      <c r="AH518" s="6"/>
    </row>
    <row r="519" spans="1:34" ht="24" customHeight="1">
      <c r="A519" s="29"/>
      <c r="B519" s="15"/>
      <c r="C519" s="46"/>
      <c r="D519" s="15"/>
      <c r="E519" s="15"/>
      <c r="F519" s="15"/>
      <c r="G519" s="15"/>
      <c r="H519" s="19"/>
      <c r="I519" s="30"/>
      <c r="J519" s="65"/>
      <c r="K519" s="65"/>
      <c r="L519" s="15"/>
      <c r="M519" s="15"/>
      <c r="N519" s="15"/>
      <c r="O519" s="35"/>
      <c r="P519" s="35"/>
      <c r="Q519" s="35"/>
      <c r="R519" s="35"/>
      <c r="S519" s="25"/>
      <c r="T519" s="7"/>
      <c r="U519" s="7"/>
      <c r="AA519" s="25"/>
      <c r="AD519" s="4"/>
      <c r="AE519" s="4"/>
      <c r="AH519" s="6"/>
    </row>
    <row r="520" spans="1:34" ht="24" customHeight="1">
      <c r="A520" s="29"/>
      <c r="B520" s="15"/>
      <c r="C520" s="46"/>
      <c r="D520" s="15"/>
      <c r="E520" s="15"/>
      <c r="F520" s="15"/>
      <c r="G520" s="15"/>
      <c r="H520" s="19"/>
      <c r="I520" s="30"/>
      <c r="J520" s="65"/>
      <c r="K520" s="65"/>
      <c r="L520" s="15"/>
      <c r="M520" s="15"/>
      <c r="N520" s="15"/>
      <c r="O520" s="35"/>
      <c r="P520" s="35"/>
      <c r="Q520" s="35"/>
      <c r="R520" s="35"/>
      <c r="S520" s="25"/>
      <c r="T520" s="7"/>
      <c r="U520" s="7"/>
      <c r="AA520" s="25"/>
      <c r="AD520" s="4"/>
      <c r="AE520" s="4"/>
      <c r="AH520" s="6"/>
    </row>
    <row r="521" spans="1:34" ht="24" customHeight="1">
      <c r="A521" s="29"/>
      <c r="B521" s="15"/>
      <c r="C521" s="46"/>
      <c r="D521" s="15"/>
      <c r="E521" s="15"/>
      <c r="F521" s="15"/>
      <c r="G521" s="15"/>
      <c r="H521" s="19"/>
      <c r="I521" s="30"/>
      <c r="J521" s="65"/>
      <c r="K521" s="65"/>
      <c r="L521" s="15"/>
      <c r="M521" s="15"/>
      <c r="N521" s="15"/>
      <c r="O521" s="35"/>
      <c r="P521" s="35"/>
      <c r="Q521" s="35"/>
      <c r="R521" s="35"/>
      <c r="S521" s="25"/>
      <c r="T521" s="7"/>
      <c r="U521" s="7"/>
      <c r="AA521" s="25"/>
      <c r="AD521" s="4"/>
      <c r="AE521" s="4"/>
      <c r="AH521" s="6"/>
    </row>
    <row r="522" spans="1:34" ht="24" customHeight="1">
      <c r="A522" s="29"/>
      <c r="B522" s="15"/>
      <c r="C522" s="46"/>
      <c r="D522" s="15"/>
      <c r="E522" s="15"/>
      <c r="F522" s="15"/>
      <c r="G522" s="15"/>
      <c r="H522" s="19"/>
      <c r="I522" s="30"/>
      <c r="J522" s="65"/>
      <c r="K522" s="65"/>
      <c r="L522" s="15"/>
      <c r="M522" s="15"/>
      <c r="N522" s="15"/>
      <c r="O522" s="35"/>
      <c r="P522" s="35"/>
      <c r="Q522" s="35"/>
      <c r="R522" s="35"/>
      <c r="S522" s="25"/>
      <c r="T522" s="7"/>
      <c r="U522" s="7"/>
      <c r="AA522" s="25"/>
      <c r="AH522" s="6"/>
    </row>
    <row r="523" spans="1:34" ht="24" customHeight="1">
      <c r="A523" s="29"/>
      <c r="B523" s="15"/>
      <c r="C523" s="46"/>
      <c r="D523" s="15"/>
      <c r="E523" s="15"/>
      <c r="F523" s="15"/>
      <c r="G523" s="15"/>
      <c r="H523" s="19"/>
      <c r="I523" s="30"/>
      <c r="J523" s="65"/>
      <c r="K523" s="65"/>
      <c r="L523" s="15"/>
      <c r="M523" s="15"/>
      <c r="N523" s="15"/>
      <c r="O523" s="35"/>
      <c r="P523" s="35"/>
      <c r="Q523" s="35"/>
      <c r="R523" s="35"/>
      <c r="S523" s="25"/>
      <c r="U523" s="7"/>
      <c r="V523" s="62"/>
      <c r="AA523" s="25"/>
      <c r="AD523" s="4"/>
      <c r="AE523" s="4"/>
      <c r="AH523" s="6"/>
    </row>
    <row r="524" spans="1:34" ht="24" customHeight="1">
      <c r="A524" s="29"/>
      <c r="B524" s="15"/>
      <c r="C524" s="46"/>
      <c r="D524" s="15"/>
      <c r="E524" s="15"/>
      <c r="F524" s="15"/>
      <c r="G524" s="15"/>
      <c r="H524" s="19"/>
      <c r="I524" s="30"/>
      <c r="J524" s="65"/>
      <c r="K524" s="65"/>
      <c r="L524" s="15"/>
      <c r="M524" s="15"/>
      <c r="N524" s="15"/>
      <c r="O524" s="35"/>
      <c r="P524" s="35"/>
      <c r="Q524" s="35"/>
      <c r="R524" s="35"/>
      <c r="S524" s="25"/>
      <c r="U524" s="7"/>
      <c r="AA524" s="25"/>
      <c r="AH524" s="6"/>
    </row>
    <row r="525" spans="1:34" ht="24" customHeight="1">
      <c r="A525" s="29"/>
      <c r="B525" s="15"/>
      <c r="C525" s="34"/>
      <c r="D525" s="15"/>
      <c r="E525" s="15"/>
      <c r="F525" s="15"/>
      <c r="G525" s="15"/>
      <c r="H525" s="19"/>
      <c r="I525" s="30"/>
      <c r="J525" s="65"/>
      <c r="K525" s="65"/>
      <c r="L525" s="15"/>
      <c r="M525" s="15"/>
      <c r="N525" s="15"/>
      <c r="O525" s="35"/>
      <c r="P525" s="35"/>
      <c r="Q525" s="35"/>
      <c r="R525" s="35"/>
      <c r="S525" s="25"/>
      <c r="AA525" s="25"/>
      <c r="AH525" s="6"/>
    </row>
    <row r="526" spans="1:34" ht="24" customHeight="1">
      <c r="A526" s="29"/>
      <c r="B526" s="15"/>
      <c r="C526" s="46"/>
      <c r="D526" s="15"/>
      <c r="E526" s="15"/>
      <c r="F526" s="15"/>
      <c r="G526" s="15"/>
      <c r="H526" s="19"/>
      <c r="I526" s="30"/>
      <c r="J526" s="65"/>
      <c r="K526" s="65"/>
      <c r="L526" s="15"/>
      <c r="M526" s="15"/>
      <c r="N526" s="15"/>
      <c r="O526" s="35"/>
      <c r="P526" s="35"/>
      <c r="Q526" s="35"/>
      <c r="R526" s="35"/>
      <c r="S526" s="25"/>
      <c r="U526" s="7"/>
      <c r="V526" s="62"/>
      <c r="AA526" s="25"/>
      <c r="AD526" s="4"/>
      <c r="AE526" s="4"/>
      <c r="AH526" s="6"/>
    </row>
    <row r="527" spans="1:34" ht="24" customHeight="1">
      <c r="A527" s="29"/>
      <c r="B527" s="15"/>
      <c r="C527" s="46"/>
      <c r="D527" s="15"/>
      <c r="E527" s="15"/>
      <c r="F527" s="15"/>
      <c r="G527" s="15"/>
      <c r="H527" s="19"/>
      <c r="I527" s="30"/>
      <c r="J527" s="65"/>
      <c r="K527" s="65"/>
      <c r="L527" s="15"/>
      <c r="M527" s="15"/>
      <c r="N527" s="15"/>
      <c r="O527" s="35"/>
      <c r="P527" s="35"/>
      <c r="Q527" s="35"/>
      <c r="R527" s="35"/>
      <c r="S527" s="25"/>
      <c r="T527" s="7"/>
      <c r="X527" s="7"/>
      <c r="Y527" s="7"/>
      <c r="AA527" s="25"/>
      <c r="AC527" s="8"/>
      <c r="AH527" s="6"/>
    </row>
    <row r="528" spans="1:34" ht="24" customHeight="1">
      <c r="A528" s="29"/>
      <c r="B528" s="15"/>
      <c r="C528" s="46"/>
      <c r="D528" s="15"/>
      <c r="E528" s="15"/>
      <c r="F528" s="15"/>
      <c r="G528" s="15"/>
      <c r="H528" s="19"/>
      <c r="I528" s="30"/>
      <c r="J528" s="65"/>
      <c r="K528" s="65"/>
      <c r="L528" s="15"/>
      <c r="M528" s="15"/>
      <c r="N528" s="15"/>
      <c r="O528" s="35"/>
      <c r="P528" s="35"/>
      <c r="Q528" s="35"/>
      <c r="R528" s="35"/>
      <c r="S528" s="25"/>
      <c r="T528" s="7"/>
      <c r="X528" s="7"/>
      <c r="Y528" s="7"/>
      <c r="AA528" s="25"/>
      <c r="AH528" s="6"/>
    </row>
    <row r="529" spans="1:34" ht="12.75" customHeight="1">
      <c r="A529" s="29"/>
      <c r="B529" s="15"/>
      <c r="C529" s="46"/>
      <c r="D529" s="15"/>
      <c r="E529" s="15"/>
      <c r="F529" s="15"/>
      <c r="G529" s="15"/>
      <c r="H529" s="19"/>
      <c r="I529" s="30"/>
      <c r="J529" s="65"/>
      <c r="K529" s="65"/>
      <c r="L529" s="15"/>
      <c r="M529" s="15"/>
      <c r="N529" s="53"/>
      <c r="O529" s="35"/>
      <c r="P529" s="35"/>
      <c r="Q529" s="35"/>
      <c r="R529" s="35"/>
      <c r="S529" s="25"/>
      <c r="AA529" s="25"/>
      <c r="AH529" s="6"/>
    </row>
    <row r="530" spans="1:34" ht="12.75" customHeight="1">
      <c r="A530" s="29"/>
      <c r="B530" s="15"/>
      <c r="C530" s="46"/>
      <c r="D530" s="15"/>
      <c r="E530" s="15"/>
      <c r="F530" s="15"/>
      <c r="G530" s="15"/>
      <c r="H530" s="19"/>
      <c r="I530" s="30"/>
      <c r="J530" s="65"/>
      <c r="K530" s="65"/>
      <c r="L530" s="15"/>
      <c r="M530" s="15"/>
      <c r="N530" s="53"/>
      <c r="O530" s="35"/>
      <c r="P530" s="35"/>
      <c r="Q530" s="35"/>
      <c r="R530" s="35"/>
      <c r="S530" s="25"/>
      <c r="AA530" s="25"/>
      <c r="AH530" s="6"/>
    </row>
    <row r="531" spans="1:34" ht="12.75" customHeight="1">
      <c r="A531" s="29"/>
      <c r="B531" s="15"/>
      <c r="C531" s="46"/>
      <c r="D531" s="15"/>
      <c r="E531" s="15"/>
      <c r="F531" s="15"/>
      <c r="G531" s="15"/>
      <c r="H531" s="19"/>
      <c r="I531" s="30"/>
      <c r="J531" s="65"/>
      <c r="K531" s="65"/>
      <c r="L531" s="15"/>
      <c r="M531" s="15"/>
      <c r="N531" s="53"/>
      <c r="O531" s="35"/>
      <c r="P531" s="35"/>
      <c r="Q531" s="35"/>
      <c r="R531" s="35"/>
      <c r="S531" s="25"/>
      <c r="AA531" s="25"/>
      <c r="AH531" s="6"/>
    </row>
    <row r="532" spans="1:34" ht="12.75" customHeight="1">
      <c r="A532" s="29"/>
      <c r="B532" s="15"/>
      <c r="C532" s="46"/>
      <c r="D532" s="15"/>
      <c r="E532" s="15"/>
      <c r="F532" s="15"/>
      <c r="G532" s="15"/>
      <c r="H532" s="19"/>
      <c r="I532" s="30"/>
      <c r="J532" s="65"/>
      <c r="K532" s="65"/>
      <c r="L532" s="15"/>
      <c r="M532" s="15"/>
      <c r="N532" s="53"/>
      <c r="O532" s="35"/>
      <c r="P532" s="35"/>
      <c r="Q532" s="35"/>
      <c r="R532" s="35"/>
      <c r="S532" s="25"/>
      <c r="AA532" s="25"/>
      <c r="AH532" s="6"/>
    </row>
    <row r="533" spans="1:34" ht="36" customHeight="1">
      <c r="A533" s="29"/>
      <c r="B533" s="15"/>
      <c r="C533" s="46"/>
      <c r="D533" s="15"/>
      <c r="E533" s="15"/>
      <c r="F533" s="15"/>
      <c r="G533" s="15"/>
      <c r="H533" s="19"/>
      <c r="I533" s="30"/>
      <c r="J533" s="65"/>
      <c r="K533" s="65"/>
      <c r="L533" s="15"/>
      <c r="M533" s="15"/>
      <c r="N533" s="53"/>
      <c r="O533" s="35"/>
      <c r="P533" s="35"/>
      <c r="Q533" s="35"/>
      <c r="R533" s="35"/>
      <c r="S533" s="25"/>
      <c r="AA533" s="25"/>
      <c r="AH533" s="6"/>
    </row>
    <row r="534" spans="1:34" ht="51" customHeight="1">
      <c r="A534" s="29"/>
      <c r="B534" s="15"/>
      <c r="C534" s="56"/>
      <c r="D534" s="15"/>
      <c r="E534" s="15"/>
      <c r="F534" s="15"/>
      <c r="G534" s="15"/>
      <c r="H534" s="19"/>
      <c r="I534" s="30"/>
      <c r="J534" s="65"/>
      <c r="K534" s="65"/>
      <c r="L534" s="15"/>
      <c r="M534" s="15"/>
      <c r="N534" s="53"/>
      <c r="O534" s="35"/>
      <c r="P534" s="35"/>
      <c r="Q534" s="35"/>
      <c r="R534" s="35"/>
      <c r="S534" s="25"/>
      <c r="AA534" s="25"/>
    </row>
    <row r="535" spans="1:34" ht="51" customHeight="1">
      <c r="A535" s="29"/>
      <c r="B535" s="15"/>
      <c r="C535" s="56"/>
      <c r="D535" s="15"/>
      <c r="E535" s="15"/>
      <c r="F535" s="15"/>
      <c r="G535" s="15"/>
      <c r="H535" s="19"/>
      <c r="I535" s="30"/>
      <c r="J535" s="65"/>
      <c r="K535" s="65"/>
      <c r="L535" s="15"/>
      <c r="M535" s="15"/>
      <c r="N535" s="15"/>
      <c r="O535" s="35"/>
      <c r="P535" s="35"/>
      <c r="Q535" s="35"/>
      <c r="R535" s="35"/>
      <c r="S535" s="25"/>
      <c r="AA535" s="25"/>
      <c r="AH535" s="6"/>
    </row>
    <row r="536" spans="1:34" ht="51" customHeight="1">
      <c r="A536" s="29"/>
      <c r="B536" s="15"/>
      <c r="C536" s="56"/>
      <c r="D536" s="15"/>
      <c r="E536" s="15"/>
      <c r="F536" s="15"/>
      <c r="G536" s="15"/>
      <c r="H536" s="19"/>
      <c r="I536" s="30"/>
      <c r="J536" s="65"/>
      <c r="K536" s="65"/>
      <c r="L536" s="15"/>
      <c r="M536" s="15"/>
      <c r="N536" s="15"/>
      <c r="O536" s="35"/>
      <c r="P536" s="35"/>
      <c r="Q536" s="35"/>
      <c r="R536" s="35"/>
      <c r="T536" s="7"/>
      <c r="U536" s="7"/>
      <c r="AA536" s="25"/>
      <c r="AH536" s="6"/>
    </row>
    <row r="537" spans="1:34" ht="51" customHeight="1">
      <c r="A537" s="29"/>
      <c r="B537" s="15"/>
      <c r="C537" s="46"/>
      <c r="D537" s="15"/>
      <c r="E537" s="15"/>
      <c r="F537" s="15"/>
      <c r="G537" s="15"/>
      <c r="H537" s="19"/>
      <c r="I537" s="30"/>
      <c r="J537" s="65"/>
      <c r="K537" s="65"/>
      <c r="L537" s="15"/>
      <c r="M537" s="15"/>
      <c r="N537" s="15"/>
      <c r="O537" s="35"/>
      <c r="P537" s="35"/>
      <c r="Q537" s="35"/>
      <c r="R537" s="35"/>
      <c r="T537" s="7"/>
      <c r="U537" s="7"/>
      <c r="AA537" s="25"/>
      <c r="AH537" s="6"/>
    </row>
    <row r="538" spans="1:34" ht="51" customHeight="1">
      <c r="A538" s="29"/>
      <c r="B538" s="15"/>
      <c r="C538" s="21"/>
      <c r="D538" s="15"/>
      <c r="E538" s="15"/>
      <c r="F538" s="15"/>
      <c r="G538" s="15"/>
      <c r="H538" s="19"/>
      <c r="I538" s="30"/>
      <c r="J538" s="65"/>
      <c r="K538" s="65"/>
      <c r="L538" s="15"/>
      <c r="M538" s="15"/>
      <c r="N538" s="15"/>
      <c r="O538" s="35"/>
      <c r="P538" s="35"/>
      <c r="Q538" s="35"/>
      <c r="R538" s="35"/>
      <c r="S538" s="25"/>
      <c r="T538" s="25"/>
      <c r="U538" s="25"/>
      <c r="AA538" s="25"/>
      <c r="AH538" s="6"/>
    </row>
    <row r="539" spans="1:34" ht="36" customHeight="1">
      <c r="A539" s="29"/>
      <c r="B539" s="15"/>
      <c r="C539" s="21"/>
      <c r="D539" s="15"/>
      <c r="E539" s="15"/>
      <c r="F539" s="15"/>
      <c r="G539" s="15"/>
      <c r="H539" s="19"/>
      <c r="I539" s="30"/>
      <c r="J539" s="65"/>
      <c r="K539" s="65"/>
      <c r="L539" s="15"/>
      <c r="M539" s="15"/>
      <c r="N539" s="15"/>
      <c r="O539" s="35"/>
      <c r="P539" s="35"/>
      <c r="Q539" s="35"/>
      <c r="R539" s="35"/>
      <c r="S539" s="25"/>
      <c r="T539" s="25"/>
      <c r="U539" s="25"/>
      <c r="AA539" s="25"/>
      <c r="AH539" s="6"/>
    </row>
    <row r="540" spans="1:34" ht="36" customHeight="1">
      <c r="A540" s="29"/>
      <c r="B540" s="15"/>
      <c r="C540" s="46"/>
      <c r="D540" s="15"/>
      <c r="E540" s="15"/>
      <c r="F540" s="15"/>
      <c r="G540" s="15"/>
      <c r="I540" s="30"/>
      <c r="J540" s="65"/>
      <c r="K540" s="65"/>
      <c r="L540" s="15"/>
      <c r="M540" s="15"/>
      <c r="N540" s="15"/>
      <c r="O540" s="35"/>
      <c r="P540" s="35"/>
      <c r="Q540" s="35"/>
      <c r="R540" s="35"/>
      <c r="S540" s="25"/>
      <c r="Y540" s="3"/>
      <c r="AA540" s="25"/>
      <c r="AH540" s="6"/>
    </row>
    <row r="541" spans="1:34" ht="36" customHeight="1">
      <c r="A541" s="29"/>
      <c r="B541" s="15"/>
      <c r="C541" s="21"/>
      <c r="D541" s="15"/>
      <c r="E541" s="15"/>
      <c r="F541" s="15"/>
      <c r="G541" s="15"/>
      <c r="I541" s="30"/>
      <c r="J541" s="65"/>
      <c r="K541" s="65"/>
      <c r="L541" s="15"/>
      <c r="M541" s="15"/>
      <c r="N541" s="15"/>
      <c r="O541" s="35"/>
      <c r="P541" s="35"/>
      <c r="Q541" s="35"/>
      <c r="R541" s="35"/>
      <c r="S541" s="25"/>
      <c r="Y541" s="3"/>
      <c r="AA541" s="25"/>
      <c r="AD541" s="4"/>
      <c r="AE541" s="4"/>
      <c r="AH541" s="6"/>
    </row>
    <row r="542" spans="1:34" ht="36" customHeight="1">
      <c r="A542" s="29"/>
      <c r="B542" s="15"/>
      <c r="C542" s="21"/>
      <c r="D542" s="15"/>
      <c r="E542" s="16"/>
      <c r="F542" s="16"/>
      <c r="G542" s="16"/>
      <c r="I542" s="30"/>
      <c r="J542" s="65"/>
      <c r="K542" s="65"/>
      <c r="L542" s="16"/>
      <c r="M542" s="16"/>
      <c r="N542" s="16"/>
      <c r="O542" s="50"/>
      <c r="P542" s="50"/>
      <c r="Q542" s="51"/>
      <c r="R542" s="50"/>
      <c r="S542" s="25"/>
      <c r="Y542" s="3"/>
      <c r="AA542" s="25"/>
    </row>
    <row r="543" spans="1:34" ht="12.75" customHeight="1">
      <c r="A543" s="29"/>
      <c r="B543" s="15"/>
      <c r="C543" s="15"/>
      <c r="D543" s="15"/>
      <c r="E543" s="15"/>
      <c r="F543" s="15"/>
      <c r="G543" s="15"/>
      <c r="I543" s="30"/>
      <c r="J543" s="65"/>
      <c r="K543" s="65"/>
      <c r="L543" s="15"/>
      <c r="M543" s="15"/>
      <c r="N543" s="15"/>
      <c r="O543" s="35"/>
      <c r="P543" s="35"/>
      <c r="Q543" s="35"/>
      <c r="R543" s="35"/>
      <c r="S543" s="25"/>
      <c r="U543" s="25"/>
      <c r="AA543" s="25"/>
      <c r="AH543" s="6"/>
    </row>
    <row r="544" spans="1:34" ht="12.75" customHeight="1">
      <c r="A544" s="29"/>
      <c r="B544" s="15"/>
      <c r="C544" s="15"/>
      <c r="D544" s="15"/>
      <c r="E544" s="15"/>
      <c r="F544" s="15"/>
      <c r="G544" s="15"/>
      <c r="I544" s="30"/>
      <c r="J544" s="65"/>
      <c r="K544" s="65"/>
      <c r="L544" s="15"/>
      <c r="M544" s="15"/>
      <c r="N544" s="15"/>
      <c r="O544" s="35"/>
      <c r="P544" s="35"/>
      <c r="Q544" s="35"/>
      <c r="R544" s="35"/>
      <c r="S544" s="25"/>
      <c r="U544" s="25"/>
      <c r="AA544" s="25"/>
      <c r="AH544" s="6"/>
    </row>
    <row r="545" spans="1:34" ht="114.75" customHeight="1">
      <c r="A545" s="29"/>
      <c r="B545" s="15"/>
      <c r="C545" s="15"/>
      <c r="D545" s="15"/>
      <c r="E545" s="15"/>
      <c r="F545" s="15"/>
      <c r="G545" s="15"/>
      <c r="I545" s="30"/>
      <c r="J545" s="65"/>
      <c r="K545" s="65"/>
      <c r="L545" s="15"/>
      <c r="M545" s="15"/>
      <c r="N545" s="15"/>
      <c r="O545" s="35"/>
      <c r="P545" s="35"/>
      <c r="Q545" s="35"/>
      <c r="R545" s="35"/>
      <c r="S545" s="25"/>
      <c r="U545" s="25"/>
      <c r="AA545" s="25"/>
      <c r="AH545" s="6"/>
    </row>
    <row r="546" spans="1:34" ht="24" customHeight="1">
      <c r="A546" s="29"/>
      <c r="B546" s="15"/>
      <c r="C546" s="46"/>
      <c r="D546" s="15"/>
      <c r="E546" s="15"/>
      <c r="F546" s="15"/>
      <c r="G546" s="15"/>
      <c r="H546" s="19"/>
      <c r="I546" s="30"/>
      <c r="J546" s="65"/>
      <c r="K546" s="65"/>
      <c r="L546" s="15"/>
      <c r="M546" s="15"/>
      <c r="N546" s="53"/>
      <c r="O546" s="35"/>
      <c r="P546" s="35"/>
      <c r="Q546" s="35"/>
      <c r="R546" s="35"/>
      <c r="S546" s="25"/>
      <c r="AA546" s="25"/>
      <c r="AH546" s="6"/>
    </row>
    <row r="547" spans="1:34" ht="38.25" customHeight="1">
      <c r="A547" s="29"/>
      <c r="B547" s="15"/>
      <c r="C547" s="46"/>
      <c r="D547" s="15"/>
      <c r="E547" s="15"/>
      <c r="F547" s="15"/>
      <c r="G547" s="15"/>
      <c r="H547" s="19"/>
      <c r="I547" s="30"/>
      <c r="J547" s="65"/>
      <c r="K547" s="65"/>
      <c r="L547" s="15"/>
      <c r="M547" s="15"/>
      <c r="N547" s="53"/>
      <c r="O547" s="35"/>
      <c r="P547" s="35"/>
      <c r="Q547" s="35"/>
      <c r="R547" s="35"/>
      <c r="S547" s="25"/>
      <c r="AA547" s="25"/>
      <c r="AD547" s="4"/>
      <c r="AE547" s="4"/>
      <c r="AH547" s="6"/>
    </row>
    <row r="548" spans="1:34" ht="48" customHeight="1">
      <c r="A548" s="29"/>
      <c r="B548" s="15"/>
      <c r="C548" s="46"/>
      <c r="D548" s="15"/>
      <c r="E548" s="15"/>
      <c r="F548" s="15"/>
      <c r="G548" s="15"/>
      <c r="H548" s="19"/>
      <c r="I548" s="30"/>
      <c r="J548" s="65"/>
      <c r="K548" s="65"/>
      <c r="L548" s="15"/>
      <c r="M548" s="15"/>
      <c r="N548" s="53"/>
      <c r="O548" s="35"/>
      <c r="P548" s="35"/>
      <c r="Q548" s="35"/>
      <c r="R548" s="35"/>
      <c r="S548" s="25"/>
      <c r="AA548" s="25"/>
    </row>
    <row r="549" spans="1:34" ht="38.25" customHeight="1">
      <c r="A549" s="29"/>
      <c r="B549" s="15"/>
      <c r="C549" s="46"/>
      <c r="D549" s="15"/>
      <c r="E549" s="15"/>
      <c r="F549" s="15"/>
      <c r="G549" s="15"/>
      <c r="H549" s="19"/>
      <c r="I549" s="30"/>
      <c r="J549" s="65"/>
      <c r="K549" s="65"/>
      <c r="L549" s="15"/>
      <c r="M549" s="15"/>
      <c r="N549" s="53"/>
      <c r="O549" s="35"/>
      <c r="P549" s="35"/>
      <c r="Q549" s="35"/>
      <c r="R549" s="35"/>
      <c r="S549" s="25"/>
      <c r="AA549" s="25"/>
      <c r="AH549" s="6"/>
    </row>
    <row r="550" spans="1:34" ht="25.5" customHeight="1">
      <c r="A550" s="29"/>
      <c r="B550" s="15"/>
      <c r="C550" s="46"/>
      <c r="D550" s="15"/>
      <c r="E550" s="15"/>
      <c r="F550" s="15"/>
      <c r="G550" s="15"/>
      <c r="H550" s="19"/>
      <c r="I550" s="30"/>
      <c r="J550" s="65"/>
      <c r="K550" s="65"/>
      <c r="L550" s="15"/>
      <c r="M550" s="15"/>
      <c r="N550" s="53"/>
      <c r="O550" s="35"/>
      <c r="P550" s="35"/>
      <c r="Q550" s="35"/>
      <c r="R550" s="35"/>
      <c r="S550" s="25"/>
      <c r="AA550" s="25"/>
      <c r="AD550" s="4"/>
      <c r="AE550" s="4"/>
      <c r="AH550" s="6"/>
    </row>
    <row r="551" spans="1:34" ht="51" customHeight="1">
      <c r="A551" s="29"/>
      <c r="B551" s="15"/>
      <c r="C551" s="46"/>
      <c r="D551" s="15"/>
      <c r="E551" s="15"/>
      <c r="F551" s="15"/>
      <c r="G551" s="15"/>
      <c r="H551" s="19"/>
      <c r="I551" s="30"/>
      <c r="J551" s="65"/>
      <c r="K551" s="65"/>
      <c r="L551" s="15"/>
      <c r="M551" s="15"/>
      <c r="N551" s="15"/>
      <c r="O551" s="35"/>
      <c r="P551" s="35"/>
      <c r="Q551" s="35"/>
      <c r="R551" s="35"/>
      <c r="S551" s="25"/>
      <c r="AA551" s="25"/>
      <c r="AD551" s="4"/>
      <c r="AE551" s="4"/>
      <c r="AH551" s="6"/>
    </row>
    <row r="552" spans="1:34" ht="51" customHeight="1">
      <c r="A552" s="29"/>
      <c r="B552" s="15"/>
      <c r="C552" s="46"/>
      <c r="D552" s="15"/>
      <c r="E552" s="15"/>
      <c r="F552" s="15"/>
      <c r="G552" s="15"/>
      <c r="H552" s="19"/>
      <c r="I552" s="30"/>
      <c r="J552" s="65"/>
      <c r="K552" s="65"/>
      <c r="L552" s="15"/>
      <c r="M552" s="15"/>
      <c r="N552" s="15"/>
      <c r="O552" s="35"/>
      <c r="P552" s="35"/>
      <c r="Q552" s="35"/>
      <c r="R552" s="35"/>
      <c r="S552" s="25"/>
      <c r="AA552" s="25"/>
      <c r="AB552" s="37"/>
      <c r="AE552" s="4"/>
      <c r="AH552" s="6"/>
    </row>
    <row r="553" spans="1:34" ht="51" customHeight="1">
      <c r="A553" s="29"/>
      <c r="B553" s="15"/>
      <c r="C553" s="46"/>
      <c r="D553" s="15"/>
      <c r="E553" s="15"/>
      <c r="F553" s="15"/>
      <c r="G553" s="15"/>
      <c r="H553" s="19"/>
      <c r="I553" s="30"/>
      <c r="J553" s="65"/>
      <c r="K553" s="65"/>
      <c r="L553" s="15"/>
      <c r="M553" s="15"/>
      <c r="N553" s="15"/>
      <c r="O553" s="35"/>
      <c r="P553" s="46"/>
      <c r="Q553" s="35"/>
      <c r="R553" s="35"/>
      <c r="S553" s="25"/>
      <c r="T553" s="25"/>
      <c r="U553" s="25"/>
      <c r="AA553" s="25"/>
      <c r="AB553" s="37"/>
      <c r="AE553" s="4"/>
      <c r="AH553" s="6"/>
    </row>
    <row r="554" spans="1:34" ht="89.25" customHeight="1">
      <c r="A554" s="29"/>
      <c r="B554" s="15"/>
      <c r="C554" s="46"/>
      <c r="D554" s="15"/>
      <c r="E554" s="15"/>
      <c r="F554" s="15"/>
      <c r="G554" s="15"/>
      <c r="H554" s="19"/>
      <c r="I554" s="30"/>
      <c r="J554" s="65"/>
      <c r="K554" s="65"/>
      <c r="L554" s="15"/>
      <c r="M554" s="15"/>
      <c r="N554" s="53"/>
      <c r="O554" s="35"/>
      <c r="P554" s="35"/>
      <c r="Q554" s="58"/>
      <c r="R554" s="35"/>
      <c r="S554" s="25"/>
      <c r="X554" s="7"/>
      <c r="Y554" s="7"/>
      <c r="AA554" s="25"/>
      <c r="AD554" s="4"/>
      <c r="AE554" s="4"/>
      <c r="AH554" s="6"/>
    </row>
    <row r="555" spans="1:34" ht="89.25" customHeight="1">
      <c r="A555" s="29"/>
      <c r="B555" s="15"/>
      <c r="C555" s="34"/>
      <c r="D555" s="15"/>
      <c r="E555" s="15"/>
      <c r="F555" s="15"/>
      <c r="G555" s="15"/>
      <c r="H555" s="25"/>
      <c r="I555" s="30"/>
      <c r="J555" s="65"/>
      <c r="K555" s="65"/>
      <c r="L555" s="15"/>
      <c r="M555" s="15"/>
      <c r="N555" s="15"/>
      <c r="O555" s="35"/>
      <c r="P555" s="35"/>
      <c r="Q555" s="35"/>
      <c r="R555" s="35"/>
      <c r="S555" s="25"/>
      <c r="T555" s="25"/>
      <c r="U555" s="25"/>
      <c r="AA555" s="25"/>
    </row>
    <row r="556" spans="1:34" ht="36" customHeight="1">
      <c r="A556" s="29"/>
      <c r="B556" s="15"/>
      <c r="C556" s="34"/>
      <c r="D556" s="15"/>
      <c r="E556" s="15"/>
      <c r="F556" s="15"/>
      <c r="G556" s="15"/>
      <c r="H556" s="25"/>
      <c r="I556" s="30"/>
      <c r="J556" s="65"/>
      <c r="K556" s="65"/>
      <c r="L556" s="15"/>
      <c r="M556" s="15"/>
      <c r="N556" s="15"/>
      <c r="O556" s="35"/>
      <c r="P556" s="35"/>
      <c r="Q556" s="35"/>
      <c r="R556" s="35"/>
      <c r="S556" s="25"/>
      <c r="T556" s="25"/>
      <c r="U556" s="25"/>
      <c r="AA556" s="25"/>
    </row>
    <row r="557" spans="1:34" ht="12.75" customHeight="1">
      <c r="A557" s="29"/>
      <c r="B557" s="15"/>
      <c r="C557" s="46"/>
      <c r="D557" s="15"/>
      <c r="E557" s="15"/>
      <c r="F557" s="15"/>
      <c r="G557" s="15"/>
      <c r="H557" s="19"/>
      <c r="I557" s="30"/>
      <c r="J557" s="65"/>
      <c r="K557" s="65"/>
      <c r="L557" s="15"/>
      <c r="M557" s="15"/>
      <c r="N557" s="53"/>
      <c r="O557" s="49"/>
      <c r="P557" s="35"/>
      <c r="Q557" s="58"/>
      <c r="R557" s="35"/>
      <c r="S557" s="25"/>
      <c r="X557" s="7"/>
      <c r="Y557" s="7"/>
      <c r="AA557" s="25"/>
      <c r="AD557" s="4"/>
      <c r="AE557" s="4"/>
      <c r="AH557" s="6"/>
    </row>
    <row r="558" spans="1:34" ht="12.75" customHeight="1">
      <c r="A558" s="29"/>
      <c r="B558" s="15"/>
      <c r="C558" s="46"/>
      <c r="D558" s="15"/>
      <c r="E558" s="15"/>
      <c r="F558" s="15"/>
      <c r="G558" s="15"/>
      <c r="H558" s="19"/>
      <c r="I558" s="30"/>
      <c r="J558" s="65"/>
      <c r="K558" s="65"/>
      <c r="L558" s="15"/>
      <c r="M558" s="15"/>
      <c r="N558" s="53"/>
      <c r="O558" s="49"/>
      <c r="P558" s="35"/>
      <c r="Q558" s="58"/>
      <c r="R558" s="35"/>
      <c r="S558" s="25"/>
      <c r="X558" s="7"/>
      <c r="Y558" s="7"/>
      <c r="AA558" s="25"/>
      <c r="AD558" s="4"/>
      <c r="AE558" s="4"/>
      <c r="AH558" s="6"/>
    </row>
    <row r="559" spans="1:34" ht="12.75" customHeight="1">
      <c r="A559" s="29"/>
      <c r="B559" s="15"/>
      <c r="C559" s="46"/>
      <c r="D559" s="15"/>
      <c r="E559" s="15"/>
      <c r="F559" s="15"/>
      <c r="G559" s="15"/>
      <c r="H559" s="19"/>
      <c r="I559" s="30"/>
      <c r="J559" s="65"/>
      <c r="K559" s="65"/>
      <c r="L559" s="15"/>
      <c r="M559" s="15"/>
      <c r="N559" s="53"/>
      <c r="O559" s="49"/>
      <c r="P559" s="35"/>
      <c r="Q559" s="58"/>
      <c r="R559" s="35"/>
      <c r="S559" s="25"/>
      <c r="X559" s="7"/>
      <c r="Y559" s="7"/>
      <c r="AA559" s="25"/>
      <c r="AD559" s="4"/>
      <c r="AE559" s="4"/>
      <c r="AH559" s="6"/>
    </row>
    <row r="560" spans="1:34" ht="12.75" customHeight="1">
      <c r="A560" s="29"/>
      <c r="B560" s="15"/>
      <c r="C560" s="46"/>
      <c r="D560" s="15"/>
      <c r="E560" s="15"/>
      <c r="F560" s="15"/>
      <c r="G560" s="15"/>
      <c r="H560" s="19"/>
      <c r="I560" s="30"/>
      <c r="J560" s="65"/>
      <c r="K560" s="65"/>
      <c r="L560" s="15"/>
      <c r="M560" s="15"/>
      <c r="N560" s="53"/>
      <c r="O560" s="49"/>
      <c r="P560" s="35"/>
      <c r="Q560" s="58"/>
      <c r="R560" s="35"/>
      <c r="S560" s="25"/>
      <c r="X560" s="7"/>
      <c r="Y560" s="7"/>
      <c r="AA560" s="25"/>
      <c r="AD560" s="4"/>
      <c r="AE560" s="4"/>
      <c r="AH560" s="6"/>
    </row>
    <row r="561" spans="1:34" ht="12.75" customHeight="1">
      <c r="A561" s="29"/>
      <c r="B561" s="15"/>
      <c r="C561" s="46"/>
      <c r="D561" s="15"/>
      <c r="E561" s="15"/>
      <c r="F561" s="15"/>
      <c r="G561" s="15"/>
      <c r="H561" s="19"/>
      <c r="I561" s="30"/>
      <c r="J561" s="65"/>
      <c r="K561" s="65"/>
      <c r="L561" s="15"/>
      <c r="M561" s="15"/>
      <c r="N561" s="53"/>
      <c r="O561" s="49"/>
      <c r="P561" s="35"/>
      <c r="Q561" s="58"/>
      <c r="R561" s="35"/>
      <c r="S561" s="25"/>
      <c r="X561" s="7"/>
      <c r="Y561" s="7"/>
      <c r="AA561" s="25"/>
      <c r="AD561" s="4"/>
      <c r="AE561" s="4"/>
      <c r="AH561" s="6"/>
    </row>
    <row r="562" spans="1:34" ht="36" customHeight="1">
      <c r="A562" s="29"/>
      <c r="B562" s="15"/>
      <c r="C562" s="56"/>
      <c r="D562" s="15"/>
      <c r="E562" s="15"/>
      <c r="F562" s="15"/>
      <c r="G562" s="15"/>
      <c r="I562" s="30"/>
      <c r="J562" s="65"/>
      <c r="K562" s="65"/>
      <c r="L562" s="15"/>
      <c r="M562" s="15"/>
      <c r="N562" s="53"/>
      <c r="O562" s="49"/>
      <c r="P562" s="35"/>
      <c r="Q562" s="58"/>
      <c r="R562" s="35"/>
      <c r="S562" s="25"/>
      <c r="X562" s="7"/>
      <c r="Y562" s="7"/>
      <c r="AA562" s="25"/>
      <c r="AD562" s="4"/>
      <c r="AE562" s="4"/>
      <c r="AH562" s="6"/>
    </row>
    <row r="563" spans="1:34" ht="36" customHeight="1">
      <c r="A563" s="29"/>
      <c r="B563" s="15"/>
      <c r="C563" s="46"/>
      <c r="D563" s="15"/>
      <c r="E563" s="15"/>
      <c r="F563" s="15"/>
      <c r="G563" s="15"/>
      <c r="H563" s="19"/>
      <c r="I563" s="30"/>
      <c r="J563" s="65"/>
      <c r="K563" s="65"/>
      <c r="L563" s="15"/>
      <c r="M563" s="15"/>
      <c r="N563" s="53"/>
      <c r="O563" s="49"/>
      <c r="P563" s="35"/>
      <c r="Q563" s="58"/>
      <c r="R563" s="35"/>
      <c r="S563" s="25"/>
      <c r="X563" s="7"/>
      <c r="Y563" s="7"/>
      <c r="AA563" s="25"/>
      <c r="AD563" s="4"/>
      <c r="AE563" s="4"/>
      <c r="AH563" s="6"/>
    </row>
    <row r="564" spans="1:34" ht="36" customHeight="1">
      <c r="A564" s="29"/>
      <c r="B564" s="15"/>
      <c r="C564" s="46"/>
      <c r="D564" s="15"/>
      <c r="E564" s="15"/>
      <c r="F564" s="15"/>
      <c r="G564" s="15"/>
      <c r="H564" s="19"/>
      <c r="I564" s="30"/>
      <c r="J564" s="65"/>
      <c r="K564" s="65"/>
      <c r="L564" s="15"/>
      <c r="M564" s="15"/>
      <c r="N564" s="53"/>
      <c r="O564" s="49"/>
      <c r="P564" s="35"/>
      <c r="Q564" s="58"/>
      <c r="R564" s="35"/>
      <c r="S564" s="25"/>
      <c r="X564" s="7"/>
      <c r="Y564" s="7"/>
      <c r="AA564" s="25"/>
      <c r="AD564" s="4"/>
      <c r="AE564" s="4"/>
      <c r="AH564" s="6"/>
    </row>
    <row r="565" spans="1:34" ht="36" customHeight="1">
      <c r="A565" s="29"/>
      <c r="B565" s="15"/>
      <c r="C565" s="46"/>
      <c r="D565" s="15"/>
      <c r="E565" s="15"/>
      <c r="F565" s="15"/>
      <c r="G565" s="15"/>
      <c r="H565" s="19"/>
      <c r="I565" s="30"/>
      <c r="J565" s="65"/>
      <c r="K565" s="65"/>
      <c r="L565" s="15"/>
      <c r="M565" s="15"/>
      <c r="N565" s="53"/>
      <c r="O565" s="49"/>
      <c r="P565" s="35"/>
      <c r="Q565" s="58"/>
      <c r="R565" s="35"/>
      <c r="S565" s="25"/>
      <c r="X565" s="7"/>
      <c r="Y565" s="7"/>
      <c r="AA565" s="25"/>
      <c r="AD565" s="4"/>
      <c r="AE565" s="4"/>
      <c r="AH565" s="6"/>
    </row>
    <row r="566" spans="1:34" ht="83.25" customHeight="1">
      <c r="A566" s="29"/>
      <c r="B566" s="15"/>
      <c r="C566" s="46"/>
      <c r="D566" s="15"/>
      <c r="E566" s="15"/>
      <c r="F566" s="15"/>
      <c r="G566" s="15"/>
      <c r="H566" s="19"/>
      <c r="I566" s="30"/>
      <c r="J566" s="65"/>
      <c r="K566" s="65"/>
      <c r="L566" s="15"/>
      <c r="M566" s="15"/>
      <c r="N566" s="53"/>
      <c r="O566" s="49"/>
      <c r="P566" s="35"/>
      <c r="Q566" s="58"/>
      <c r="R566" s="35"/>
      <c r="S566" s="25"/>
      <c r="X566" s="7"/>
      <c r="Y566" s="7"/>
      <c r="AA566" s="25"/>
      <c r="AD566" s="4"/>
      <c r="AE566" s="4"/>
      <c r="AH566" s="6"/>
    </row>
    <row r="567" spans="1:34" ht="83.25" customHeight="1">
      <c r="A567" s="29"/>
      <c r="B567" s="15"/>
      <c r="C567" s="46"/>
      <c r="D567" s="15"/>
      <c r="E567" s="15"/>
      <c r="F567" s="15"/>
      <c r="G567" s="15"/>
      <c r="H567" s="19"/>
      <c r="I567" s="30"/>
      <c r="J567" s="65"/>
      <c r="K567" s="65"/>
      <c r="L567" s="15"/>
      <c r="M567" s="15"/>
      <c r="N567" s="53"/>
      <c r="O567" s="49"/>
      <c r="P567" s="35"/>
      <c r="Q567" s="58"/>
      <c r="R567" s="35"/>
      <c r="S567" s="25"/>
      <c r="X567" s="7"/>
      <c r="Y567" s="7"/>
      <c r="AA567" s="25"/>
      <c r="AD567" s="4"/>
      <c r="AE567" s="4"/>
      <c r="AH567" s="6"/>
    </row>
    <row r="568" spans="1:34" ht="83.25" customHeight="1">
      <c r="A568" s="29"/>
      <c r="B568" s="15"/>
      <c r="C568" s="46"/>
      <c r="D568" s="15"/>
      <c r="E568" s="15"/>
      <c r="F568" s="15"/>
      <c r="G568" s="15"/>
      <c r="H568" s="19"/>
      <c r="I568" s="30"/>
      <c r="J568" s="65"/>
      <c r="K568" s="65"/>
      <c r="L568" s="15"/>
      <c r="M568" s="15"/>
      <c r="N568" s="53"/>
      <c r="O568" s="49"/>
      <c r="P568" s="35"/>
      <c r="Q568" s="58"/>
      <c r="R568" s="35"/>
      <c r="S568" s="25"/>
      <c r="X568" s="7"/>
      <c r="Y568" s="7"/>
      <c r="AA568" s="25"/>
      <c r="AD568" s="4"/>
      <c r="AE568" s="4"/>
      <c r="AH568" s="6"/>
    </row>
    <row r="569" spans="1:34" ht="83.25" customHeight="1">
      <c r="A569" s="29"/>
      <c r="B569" s="15"/>
      <c r="C569" s="46"/>
      <c r="D569" s="15"/>
      <c r="E569" s="15"/>
      <c r="F569" s="15"/>
      <c r="G569" s="15"/>
      <c r="H569" s="19"/>
      <c r="I569" s="30"/>
      <c r="J569" s="65"/>
      <c r="K569" s="65"/>
      <c r="L569" s="15"/>
      <c r="M569" s="15"/>
      <c r="N569" s="53"/>
      <c r="O569" s="49"/>
      <c r="P569" s="35"/>
      <c r="Q569" s="58"/>
      <c r="R569" s="35"/>
      <c r="S569" s="25"/>
      <c r="X569" s="7"/>
      <c r="Y569" s="7"/>
      <c r="AA569" s="25"/>
      <c r="AD569" s="4"/>
      <c r="AE569" s="4"/>
      <c r="AH569" s="6"/>
    </row>
    <row r="570" spans="1:34" ht="83.25" customHeight="1">
      <c r="A570" s="29"/>
      <c r="B570" s="15"/>
      <c r="C570" s="46"/>
      <c r="D570" s="15"/>
      <c r="E570" s="15"/>
      <c r="F570" s="15"/>
      <c r="G570" s="15"/>
      <c r="H570" s="19"/>
      <c r="I570" s="30"/>
      <c r="J570" s="65"/>
      <c r="K570" s="65"/>
      <c r="L570" s="15"/>
      <c r="M570" s="15"/>
      <c r="N570" s="53"/>
      <c r="O570" s="49"/>
      <c r="P570" s="35"/>
      <c r="Q570" s="58"/>
      <c r="R570" s="35"/>
      <c r="S570" s="25"/>
      <c r="X570" s="7"/>
      <c r="Y570" s="7"/>
      <c r="AA570" s="25"/>
      <c r="AD570" s="4"/>
      <c r="AE570" s="4"/>
      <c r="AH570" s="6"/>
    </row>
    <row r="571" spans="1:34" ht="51" customHeight="1">
      <c r="A571" s="29"/>
      <c r="B571" s="15"/>
      <c r="C571" s="46"/>
      <c r="D571" s="15"/>
      <c r="E571" s="15"/>
      <c r="F571" s="15"/>
      <c r="G571" s="15"/>
      <c r="H571" s="19"/>
      <c r="I571" s="30"/>
      <c r="J571" s="65"/>
      <c r="K571" s="65"/>
      <c r="L571" s="15"/>
      <c r="M571" s="15"/>
      <c r="N571" s="53"/>
      <c r="O571" s="49"/>
      <c r="P571" s="35"/>
      <c r="Q571" s="58"/>
      <c r="R571" s="35"/>
      <c r="S571" s="25"/>
      <c r="X571" s="7"/>
      <c r="Y571" s="7"/>
      <c r="AA571" s="25"/>
      <c r="AD571" s="4"/>
      <c r="AE571" s="4"/>
      <c r="AH571" s="6"/>
    </row>
    <row r="572" spans="1:34" ht="51" customHeight="1">
      <c r="A572" s="29"/>
      <c r="B572" s="15"/>
      <c r="C572" s="46"/>
      <c r="D572" s="15"/>
      <c r="E572" s="15"/>
      <c r="F572" s="15"/>
      <c r="G572" s="15"/>
      <c r="H572" s="19"/>
      <c r="I572" s="30"/>
      <c r="J572" s="65"/>
      <c r="K572" s="65"/>
      <c r="L572" s="15"/>
      <c r="M572" s="15"/>
      <c r="N572" s="53"/>
      <c r="O572" s="49"/>
      <c r="P572" s="35"/>
      <c r="Q572" s="58"/>
      <c r="R572" s="35"/>
      <c r="S572" s="25"/>
      <c r="X572" s="7"/>
      <c r="Y572" s="7"/>
      <c r="AA572" s="25"/>
      <c r="AD572" s="4"/>
      <c r="AE572" s="4"/>
      <c r="AH572" s="6"/>
    </row>
    <row r="573" spans="1:34" ht="76.5" customHeight="1">
      <c r="A573" s="29"/>
      <c r="B573" s="15"/>
      <c r="C573" s="46"/>
      <c r="D573" s="15"/>
      <c r="E573" s="15"/>
      <c r="F573" s="15"/>
      <c r="G573" s="15"/>
      <c r="H573" s="19"/>
      <c r="I573" s="30"/>
      <c r="J573" s="65"/>
      <c r="K573" s="65"/>
      <c r="L573" s="15"/>
      <c r="M573" s="15"/>
      <c r="N573" s="53"/>
      <c r="O573" s="49"/>
      <c r="P573" s="35"/>
      <c r="Q573" s="58"/>
      <c r="R573" s="35"/>
      <c r="S573" s="25"/>
      <c r="X573" s="7"/>
      <c r="Y573" s="7"/>
      <c r="AA573" s="25"/>
      <c r="AD573" s="4"/>
      <c r="AE573" s="4"/>
      <c r="AH573" s="6"/>
    </row>
    <row r="574" spans="1:34" ht="36" customHeight="1">
      <c r="A574" s="29"/>
      <c r="B574" s="15"/>
      <c r="C574" s="46"/>
      <c r="D574" s="15"/>
      <c r="E574" s="15"/>
      <c r="F574" s="15"/>
      <c r="G574" s="15"/>
      <c r="H574" s="19"/>
      <c r="I574" s="30"/>
      <c r="J574" s="65"/>
      <c r="K574" s="65"/>
      <c r="L574" s="15"/>
      <c r="M574" s="15"/>
      <c r="N574" s="53"/>
      <c r="O574" s="49"/>
      <c r="P574" s="35"/>
      <c r="Q574" s="58"/>
      <c r="R574" s="35"/>
      <c r="S574" s="25"/>
      <c r="X574" s="7"/>
      <c r="Y574" s="7"/>
      <c r="AA574" s="25"/>
      <c r="AD574" s="4"/>
      <c r="AE574" s="4"/>
      <c r="AH574" s="6"/>
    </row>
    <row r="575" spans="1:34" ht="25.5" customHeight="1">
      <c r="A575" s="29"/>
      <c r="B575" s="15"/>
      <c r="C575" s="46"/>
      <c r="D575" s="15"/>
      <c r="E575" s="15"/>
      <c r="F575" s="15"/>
      <c r="G575" s="15"/>
      <c r="H575" s="19"/>
      <c r="I575" s="30"/>
      <c r="J575" s="65"/>
      <c r="K575" s="65"/>
      <c r="L575" s="15"/>
      <c r="M575" s="15"/>
      <c r="N575" s="53"/>
      <c r="O575" s="49"/>
      <c r="P575" s="35"/>
      <c r="Q575" s="58"/>
      <c r="R575" s="35"/>
      <c r="S575" s="25"/>
      <c r="X575" s="7"/>
      <c r="Y575" s="7"/>
      <c r="AA575" s="25"/>
      <c r="AD575" s="4"/>
      <c r="AE575" s="4"/>
      <c r="AH575" s="6"/>
    </row>
    <row r="576" spans="1:34" ht="25.5" customHeight="1">
      <c r="A576" s="29"/>
      <c r="B576" s="15"/>
      <c r="C576" s="46"/>
      <c r="D576" s="15"/>
      <c r="E576" s="15"/>
      <c r="F576" s="15"/>
      <c r="G576" s="15"/>
      <c r="H576" s="19"/>
      <c r="I576" s="30"/>
      <c r="J576" s="65"/>
      <c r="K576" s="65"/>
      <c r="L576" s="15"/>
      <c r="M576" s="15"/>
      <c r="N576" s="53"/>
      <c r="O576" s="49"/>
      <c r="P576" s="35"/>
      <c r="Q576" s="58"/>
      <c r="R576" s="35"/>
      <c r="S576" s="25"/>
      <c r="X576" s="7"/>
      <c r="Y576" s="7"/>
      <c r="AA576" s="25"/>
      <c r="AD576" s="4"/>
      <c r="AE576" s="4"/>
      <c r="AH576" s="6"/>
    </row>
    <row r="577" spans="1:34" ht="24" customHeight="1">
      <c r="A577" s="29"/>
      <c r="B577" s="15"/>
      <c r="C577" s="46"/>
      <c r="D577" s="15"/>
      <c r="E577" s="15"/>
      <c r="F577" s="15"/>
      <c r="G577" s="15"/>
      <c r="H577" s="19"/>
      <c r="I577" s="30"/>
      <c r="J577" s="65"/>
      <c r="K577" s="65"/>
      <c r="L577" s="15"/>
      <c r="M577" s="15"/>
      <c r="N577" s="53"/>
      <c r="O577" s="49"/>
      <c r="P577" s="35"/>
      <c r="Q577" s="58"/>
      <c r="R577" s="35"/>
      <c r="S577" s="25"/>
      <c r="X577" s="7"/>
      <c r="Y577" s="7"/>
      <c r="AA577" s="25"/>
      <c r="AD577" s="4"/>
      <c r="AE577" s="4"/>
      <c r="AH577" s="6"/>
    </row>
    <row r="578" spans="1:34" ht="38.25" customHeight="1">
      <c r="A578" s="29"/>
      <c r="B578" s="15"/>
      <c r="C578" s="46"/>
      <c r="D578" s="15"/>
      <c r="E578" s="15"/>
      <c r="F578" s="15"/>
      <c r="G578" s="15"/>
      <c r="H578" s="19"/>
      <c r="I578" s="30"/>
      <c r="J578" s="65"/>
      <c r="K578" s="65"/>
      <c r="L578" s="15"/>
      <c r="M578" s="15"/>
      <c r="N578" s="53"/>
      <c r="O578" s="49"/>
      <c r="P578" s="35"/>
      <c r="Q578" s="58"/>
      <c r="R578" s="35"/>
      <c r="S578" s="25"/>
      <c r="X578" s="7"/>
      <c r="Y578" s="7"/>
      <c r="AA578" s="25"/>
      <c r="AD578" s="4"/>
      <c r="AE578" s="4"/>
      <c r="AH578" s="6"/>
    </row>
    <row r="579" spans="1:34" ht="51" customHeight="1">
      <c r="A579" s="29"/>
      <c r="B579" s="15"/>
      <c r="C579" s="46"/>
      <c r="D579" s="15"/>
      <c r="E579" s="15"/>
      <c r="F579" s="15"/>
      <c r="G579" s="15"/>
      <c r="H579" s="19"/>
      <c r="I579" s="30"/>
      <c r="J579" s="65"/>
      <c r="K579" s="65"/>
      <c r="L579" s="15"/>
      <c r="M579" s="15"/>
      <c r="N579" s="53"/>
      <c r="O579" s="49"/>
      <c r="P579" s="35"/>
      <c r="Q579" s="58"/>
      <c r="R579" s="35"/>
      <c r="S579" s="25"/>
      <c r="X579" s="7"/>
      <c r="Y579" s="7"/>
      <c r="AA579" s="25"/>
      <c r="AD579" s="4"/>
      <c r="AE579" s="4"/>
      <c r="AH579" s="6"/>
    </row>
    <row r="580" spans="1:34" ht="48" customHeight="1">
      <c r="A580" s="29"/>
      <c r="B580" s="15"/>
      <c r="C580" s="46"/>
      <c r="D580" s="15"/>
      <c r="E580" s="15"/>
      <c r="F580" s="15"/>
      <c r="G580" s="15"/>
      <c r="H580" s="19"/>
      <c r="I580" s="30"/>
      <c r="J580" s="65"/>
      <c r="K580" s="65"/>
      <c r="L580" s="15"/>
      <c r="M580" s="15"/>
      <c r="N580" s="53"/>
      <c r="O580" s="49"/>
      <c r="P580" s="35"/>
      <c r="Q580" s="58"/>
      <c r="R580" s="35"/>
      <c r="S580" s="25"/>
      <c r="X580" s="7"/>
      <c r="Y580" s="7"/>
      <c r="AA580" s="25"/>
      <c r="AD580" s="4"/>
      <c r="AE580" s="4"/>
      <c r="AH580" s="6"/>
    </row>
    <row r="581" spans="1:34" ht="48" customHeight="1">
      <c r="A581" s="29"/>
      <c r="B581" s="15"/>
      <c r="C581" s="46"/>
      <c r="D581" s="15"/>
      <c r="E581" s="15"/>
      <c r="F581" s="15"/>
      <c r="G581" s="15"/>
      <c r="H581" s="19"/>
      <c r="I581" s="30"/>
      <c r="J581" s="65"/>
      <c r="K581" s="65"/>
      <c r="L581" s="15"/>
      <c r="M581" s="15"/>
      <c r="N581" s="53"/>
      <c r="O581" s="49"/>
      <c r="P581" s="35"/>
      <c r="Q581" s="58"/>
      <c r="R581" s="35"/>
      <c r="S581" s="25"/>
      <c r="X581" s="7"/>
      <c r="Y581" s="7"/>
      <c r="AA581" s="25"/>
      <c r="AD581" s="4"/>
      <c r="AE581" s="4"/>
      <c r="AH581" s="6"/>
    </row>
    <row r="582" spans="1:34" ht="36" customHeight="1">
      <c r="A582" s="29"/>
      <c r="B582" s="15"/>
      <c r="C582" s="46"/>
      <c r="D582" s="15"/>
      <c r="E582" s="15"/>
      <c r="F582" s="15"/>
      <c r="G582" s="15"/>
      <c r="H582" s="19"/>
      <c r="I582" s="31"/>
      <c r="J582" s="65"/>
      <c r="K582" s="65"/>
      <c r="L582" s="15"/>
      <c r="M582" s="15"/>
      <c r="N582" s="15"/>
      <c r="O582" s="35"/>
      <c r="P582" s="35"/>
      <c r="Q582" s="35"/>
      <c r="R582" s="35"/>
      <c r="S582" s="25"/>
      <c r="T582" s="7"/>
      <c r="U582" s="7"/>
      <c r="V582" s="62"/>
      <c r="AA582" s="25"/>
      <c r="AH582" s="6"/>
    </row>
    <row r="583" spans="1:34" ht="24" customHeight="1">
      <c r="A583" s="29"/>
      <c r="B583" s="15"/>
      <c r="C583" s="46"/>
      <c r="D583" s="15"/>
      <c r="E583" s="15"/>
      <c r="F583" s="15"/>
      <c r="G583" s="15"/>
      <c r="H583" s="19"/>
      <c r="I583" s="30"/>
      <c r="J583" s="65"/>
      <c r="K583" s="65"/>
      <c r="L583" s="15"/>
      <c r="M583" s="15"/>
      <c r="N583" s="53"/>
      <c r="O583" s="35"/>
      <c r="P583" s="35"/>
      <c r="Q583" s="35"/>
      <c r="R583" s="35"/>
      <c r="S583" s="25"/>
      <c r="U583" s="7"/>
      <c r="V583" s="62"/>
      <c r="AA583" s="25"/>
      <c r="AD583" s="4"/>
      <c r="AE583" s="4"/>
      <c r="AH583" s="6"/>
    </row>
    <row r="584" spans="1:34" ht="24" customHeight="1">
      <c r="A584" s="29"/>
      <c r="B584" s="15"/>
      <c r="C584" s="46"/>
      <c r="D584" s="15"/>
      <c r="E584" s="15"/>
      <c r="F584" s="15"/>
      <c r="G584" s="15"/>
      <c r="H584" s="19"/>
      <c r="I584" s="30"/>
      <c r="J584" s="65"/>
      <c r="K584" s="65"/>
      <c r="L584" s="15"/>
      <c r="M584" s="15"/>
      <c r="N584" s="53"/>
      <c r="O584" s="35"/>
      <c r="P584" s="35"/>
      <c r="Q584" s="35"/>
      <c r="R584" s="35"/>
      <c r="S584" s="25"/>
      <c r="U584" s="7"/>
      <c r="V584" s="62"/>
      <c r="AA584" s="25"/>
      <c r="AB584" s="39"/>
      <c r="AH584" s="6"/>
    </row>
    <row r="585" spans="1:34" ht="24" customHeight="1">
      <c r="A585" s="29"/>
      <c r="B585" s="15"/>
      <c r="C585" s="46"/>
      <c r="D585" s="15"/>
      <c r="E585" s="15"/>
      <c r="F585" s="15"/>
      <c r="G585" s="15"/>
      <c r="H585" s="19"/>
      <c r="I585" s="30"/>
      <c r="J585" s="65"/>
      <c r="K585" s="65"/>
      <c r="L585" s="15"/>
      <c r="M585" s="15"/>
      <c r="N585" s="53"/>
      <c r="O585" s="35"/>
      <c r="P585" s="35"/>
      <c r="Q585" s="35"/>
      <c r="R585" s="35"/>
      <c r="S585" s="4"/>
      <c r="U585" s="7"/>
      <c r="V585" s="62"/>
      <c r="AA585" s="25"/>
      <c r="AD585" s="4"/>
      <c r="AE585" s="4"/>
      <c r="AH585" s="6"/>
    </row>
    <row r="586" spans="1:34" ht="38.25" customHeight="1">
      <c r="A586" s="29"/>
      <c r="B586" s="15"/>
      <c r="C586" s="46"/>
      <c r="D586" s="15"/>
      <c r="E586" s="15"/>
      <c r="F586" s="15"/>
      <c r="G586" s="15"/>
      <c r="I586" s="30"/>
      <c r="J586" s="65"/>
      <c r="K586" s="65"/>
      <c r="L586" s="15"/>
      <c r="M586" s="15"/>
      <c r="N586" s="53"/>
      <c r="O586" s="35"/>
      <c r="P586" s="35"/>
      <c r="Q586" s="35"/>
      <c r="R586" s="35"/>
      <c r="S586" s="4"/>
      <c r="V586" s="62"/>
      <c r="Y586" s="3"/>
      <c r="AA586" s="25"/>
      <c r="AB586" s="39"/>
      <c r="AH586" s="6"/>
    </row>
    <row r="587" spans="1:34" ht="38.25" customHeight="1">
      <c r="A587" s="29"/>
      <c r="B587" s="15"/>
      <c r="C587" s="46"/>
      <c r="D587" s="15"/>
      <c r="E587" s="15"/>
      <c r="F587" s="15"/>
      <c r="G587" s="15"/>
      <c r="I587" s="30"/>
      <c r="J587" s="65"/>
      <c r="K587" s="65"/>
      <c r="L587" s="15"/>
      <c r="M587" s="15"/>
      <c r="N587" s="53"/>
      <c r="O587" s="35"/>
      <c r="P587" s="35"/>
      <c r="Q587" s="35"/>
      <c r="R587" s="35"/>
      <c r="S587" s="25"/>
      <c r="U587" s="7"/>
      <c r="V587" s="62"/>
      <c r="AA587" s="25"/>
      <c r="AC587" s="8"/>
      <c r="AH587" s="6"/>
    </row>
    <row r="588" spans="1:34" ht="38.25" customHeight="1">
      <c r="A588" s="29"/>
      <c r="B588" s="15"/>
      <c r="C588" s="46"/>
      <c r="D588" s="15"/>
      <c r="E588" s="15"/>
      <c r="F588" s="15"/>
      <c r="G588" s="15"/>
      <c r="I588" s="30"/>
      <c r="J588" s="65"/>
      <c r="K588" s="65"/>
      <c r="L588" s="15"/>
      <c r="M588" s="15"/>
      <c r="N588" s="53"/>
      <c r="O588" s="35"/>
      <c r="P588" s="35"/>
      <c r="Q588" s="35"/>
      <c r="R588" s="35"/>
      <c r="S588" s="25"/>
      <c r="U588" s="7"/>
      <c r="V588" s="62"/>
      <c r="AA588" s="25"/>
      <c r="AD588" s="4"/>
      <c r="AE588" s="4"/>
      <c r="AH588" s="6"/>
    </row>
    <row r="589" spans="1:34" ht="38.25" customHeight="1">
      <c r="A589" s="29"/>
      <c r="B589" s="15"/>
      <c r="C589" s="46"/>
      <c r="D589" s="15"/>
      <c r="E589" s="15"/>
      <c r="F589" s="15"/>
      <c r="G589" s="15"/>
      <c r="I589" s="30"/>
      <c r="J589" s="65"/>
      <c r="K589" s="65"/>
      <c r="L589" s="15"/>
      <c r="M589" s="15"/>
      <c r="N589" s="53"/>
      <c r="O589" s="35"/>
      <c r="P589" s="35"/>
      <c r="Q589" s="35"/>
      <c r="R589" s="35"/>
      <c r="S589" s="25"/>
      <c r="U589" s="7"/>
      <c r="V589" s="62"/>
      <c r="AA589" s="25"/>
      <c r="AD589" s="4"/>
      <c r="AE589" s="4"/>
      <c r="AH589" s="6"/>
    </row>
    <row r="590" spans="1:34" ht="48" customHeight="1">
      <c r="A590" s="29"/>
      <c r="B590" s="15"/>
      <c r="C590" s="56"/>
      <c r="D590" s="15"/>
      <c r="E590" s="15"/>
      <c r="F590" s="15"/>
      <c r="G590" s="15"/>
      <c r="I590" s="30"/>
      <c r="J590" s="65"/>
      <c r="K590" s="65"/>
      <c r="L590" s="15"/>
      <c r="M590" s="15"/>
      <c r="N590" s="15"/>
      <c r="O590" s="35"/>
      <c r="P590" s="35"/>
      <c r="Q590" s="35"/>
      <c r="R590" s="35"/>
      <c r="S590" s="25"/>
      <c r="T590" s="7"/>
      <c r="AA590" s="25"/>
      <c r="AD590" s="4"/>
    </row>
    <row r="591" spans="1:34" ht="25.5" customHeight="1">
      <c r="A591" s="29"/>
      <c r="B591" s="15"/>
      <c r="C591" s="56"/>
      <c r="D591" s="15"/>
      <c r="E591" s="15"/>
      <c r="F591" s="15"/>
      <c r="G591" s="15"/>
      <c r="I591" s="30"/>
      <c r="J591" s="65"/>
      <c r="K591" s="65"/>
      <c r="L591" s="15"/>
      <c r="M591" s="15"/>
      <c r="N591" s="15"/>
      <c r="O591" s="35"/>
      <c r="P591" s="35"/>
      <c r="Q591" s="35"/>
      <c r="R591" s="35"/>
      <c r="S591" s="25"/>
      <c r="T591" s="7"/>
      <c r="AA591" s="25"/>
      <c r="AD591" s="4"/>
      <c r="AE591" s="4"/>
      <c r="AH591" s="6"/>
    </row>
    <row r="592" spans="1:34" ht="51" customHeight="1">
      <c r="A592" s="29"/>
      <c r="B592" s="15"/>
      <c r="C592" s="46"/>
      <c r="D592" s="15"/>
      <c r="E592" s="15"/>
      <c r="F592" s="15"/>
      <c r="G592" s="15"/>
      <c r="H592" s="19"/>
      <c r="I592" s="30"/>
      <c r="J592" s="65"/>
      <c r="K592" s="65"/>
      <c r="L592" s="15"/>
      <c r="M592" s="15"/>
      <c r="N592" s="15"/>
      <c r="O592" s="35"/>
      <c r="P592" s="35"/>
      <c r="Q592" s="35"/>
      <c r="R592" s="35"/>
      <c r="S592" s="25"/>
      <c r="AA592" s="25"/>
      <c r="AH592" s="6"/>
    </row>
    <row r="593" spans="1:34" ht="51" customHeight="1">
      <c r="A593" s="29"/>
      <c r="B593" s="15"/>
      <c r="C593" s="46"/>
      <c r="D593" s="15"/>
      <c r="E593" s="15"/>
      <c r="F593" s="15"/>
      <c r="G593" s="15"/>
      <c r="H593" s="19"/>
      <c r="I593" s="30"/>
      <c r="J593" s="65"/>
      <c r="K593" s="65"/>
      <c r="L593" s="15"/>
      <c r="M593" s="15"/>
      <c r="N593" s="15"/>
      <c r="O593" s="35"/>
      <c r="P593" s="35"/>
      <c r="Q593" s="35"/>
      <c r="R593" s="35"/>
      <c r="S593" s="25"/>
      <c r="T593" s="7"/>
      <c r="AA593" s="25"/>
      <c r="AD593" s="4"/>
      <c r="AE593" s="4"/>
      <c r="AH593" s="6"/>
    </row>
    <row r="594" spans="1:34" ht="51" customHeight="1">
      <c r="A594" s="29"/>
      <c r="B594" s="15"/>
      <c r="C594" s="46"/>
      <c r="D594" s="15"/>
      <c r="E594" s="15"/>
      <c r="F594" s="15"/>
      <c r="G594" s="15"/>
      <c r="H594" s="19"/>
      <c r="I594" s="30"/>
      <c r="J594" s="65"/>
      <c r="K594" s="65"/>
      <c r="L594" s="15"/>
      <c r="M594" s="15"/>
      <c r="N594" s="15"/>
      <c r="O594" s="35"/>
      <c r="P594" s="35"/>
      <c r="Q594" s="35"/>
      <c r="R594" s="35"/>
      <c r="S594" s="25"/>
      <c r="T594" s="7"/>
      <c r="U594" s="7"/>
      <c r="AA594" s="25"/>
    </row>
    <row r="595" spans="1:34" ht="51" customHeight="1">
      <c r="A595" s="29"/>
      <c r="B595" s="15"/>
      <c r="C595" s="46"/>
      <c r="D595" s="15"/>
      <c r="E595" s="15"/>
      <c r="F595" s="15"/>
      <c r="G595" s="15"/>
      <c r="H595" s="19"/>
      <c r="I595" s="30"/>
      <c r="J595" s="65"/>
      <c r="K595" s="65"/>
      <c r="L595" s="15"/>
      <c r="M595" s="15"/>
      <c r="N595" s="15"/>
      <c r="O595" s="35"/>
      <c r="P595" s="35"/>
      <c r="Q595" s="35"/>
      <c r="R595" s="35"/>
      <c r="S595" s="25"/>
      <c r="T595" s="7"/>
      <c r="U595" s="7"/>
      <c r="AA595" s="25"/>
    </row>
    <row r="596" spans="1:34" ht="51" customHeight="1">
      <c r="A596" s="29"/>
      <c r="B596" s="15"/>
      <c r="C596" s="46"/>
      <c r="D596" s="15"/>
      <c r="E596" s="15"/>
      <c r="F596" s="15"/>
      <c r="G596" s="15"/>
      <c r="H596" s="19"/>
      <c r="I596" s="30"/>
      <c r="J596" s="65"/>
      <c r="K596" s="65"/>
      <c r="L596" s="15"/>
      <c r="M596" s="15"/>
      <c r="N596" s="15"/>
      <c r="O596" s="35"/>
      <c r="P596" s="35"/>
      <c r="Q596" s="35"/>
      <c r="R596" s="35"/>
      <c r="S596" s="25"/>
      <c r="AA596" s="25"/>
      <c r="AH596" s="6"/>
    </row>
    <row r="597" spans="1:34" ht="51" customHeight="1">
      <c r="A597" s="29"/>
      <c r="B597" s="15"/>
      <c r="C597" s="46"/>
      <c r="D597" s="15"/>
      <c r="E597" s="15"/>
      <c r="F597" s="15"/>
      <c r="G597" s="15"/>
      <c r="H597" s="19"/>
      <c r="I597" s="30"/>
      <c r="J597" s="65"/>
      <c r="K597" s="65"/>
      <c r="L597" s="15"/>
      <c r="M597" s="15"/>
      <c r="N597" s="15"/>
      <c r="O597" s="35"/>
      <c r="P597" s="35"/>
      <c r="Q597" s="35"/>
      <c r="R597" s="35"/>
      <c r="S597" s="25"/>
      <c r="T597" s="7"/>
      <c r="AA597" s="25"/>
      <c r="AH597" s="6"/>
    </row>
    <row r="598" spans="1:34" ht="51" customHeight="1">
      <c r="A598" s="29"/>
      <c r="B598" s="15"/>
      <c r="C598" s="46"/>
      <c r="D598" s="15"/>
      <c r="E598" s="15"/>
      <c r="F598" s="15"/>
      <c r="G598" s="15"/>
      <c r="H598" s="19"/>
      <c r="I598" s="30"/>
      <c r="J598" s="65"/>
      <c r="K598" s="65"/>
      <c r="L598" s="15"/>
      <c r="M598" s="15"/>
      <c r="N598" s="53"/>
      <c r="O598" s="35"/>
      <c r="P598" s="35"/>
      <c r="Q598" s="35"/>
      <c r="R598" s="35"/>
      <c r="S598" s="25"/>
      <c r="Y598" s="3"/>
      <c r="AA598" s="25"/>
      <c r="AD598" s="4"/>
      <c r="AE598" s="4"/>
      <c r="AH598" s="6"/>
    </row>
    <row r="599" spans="1:34" ht="51" customHeight="1">
      <c r="A599" s="29"/>
      <c r="B599" s="15"/>
      <c r="C599" s="46"/>
      <c r="D599" s="15"/>
      <c r="E599" s="15"/>
      <c r="F599" s="15"/>
      <c r="G599" s="15"/>
      <c r="H599" s="19"/>
      <c r="I599" s="30"/>
      <c r="J599" s="65"/>
      <c r="K599" s="65"/>
      <c r="L599" s="15"/>
      <c r="M599" s="15"/>
      <c r="N599" s="15"/>
      <c r="O599" s="35"/>
      <c r="P599" s="35"/>
      <c r="Q599" s="35"/>
      <c r="R599" s="35"/>
      <c r="S599" s="25"/>
      <c r="AA599" s="25"/>
    </row>
    <row r="600" spans="1:34" ht="51" customHeight="1">
      <c r="A600" s="29"/>
      <c r="B600" s="15"/>
      <c r="C600" s="46"/>
      <c r="D600" s="15"/>
      <c r="E600" s="15"/>
      <c r="F600" s="15"/>
      <c r="G600" s="15"/>
      <c r="H600" s="19"/>
      <c r="I600" s="30"/>
      <c r="J600" s="65"/>
      <c r="K600" s="65"/>
      <c r="L600" s="15"/>
      <c r="M600" s="15"/>
      <c r="N600" s="15"/>
      <c r="O600" s="35"/>
      <c r="P600" s="35"/>
      <c r="Q600" s="35"/>
      <c r="R600" s="35"/>
      <c r="S600" s="25"/>
      <c r="AA600" s="25"/>
    </row>
    <row r="601" spans="1:34" ht="51" customHeight="1">
      <c r="A601" s="29"/>
      <c r="B601" s="15"/>
      <c r="C601" s="46"/>
      <c r="D601" s="15"/>
      <c r="E601" s="15"/>
      <c r="F601" s="15"/>
      <c r="G601" s="15"/>
      <c r="H601" s="19"/>
      <c r="I601" s="30"/>
      <c r="J601" s="65"/>
      <c r="K601" s="65"/>
      <c r="L601" s="15"/>
      <c r="M601" s="15"/>
      <c r="N601" s="15"/>
      <c r="O601" s="35"/>
      <c r="P601" s="35"/>
      <c r="Q601" s="35"/>
      <c r="R601" s="35"/>
      <c r="S601" s="25"/>
      <c r="AA601" s="25"/>
    </row>
    <row r="602" spans="1:34" ht="12.75" customHeight="1">
      <c r="A602" s="29"/>
      <c r="B602" s="15"/>
      <c r="C602" s="46"/>
      <c r="D602" s="15"/>
      <c r="E602" s="15"/>
      <c r="F602" s="15"/>
      <c r="G602" s="15"/>
      <c r="H602" s="19"/>
      <c r="I602" s="30"/>
      <c r="J602" s="65"/>
      <c r="K602" s="65"/>
      <c r="L602" s="15"/>
      <c r="M602" s="15"/>
      <c r="N602" s="15"/>
      <c r="O602" s="35"/>
      <c r="P602" s="35"/>
      <c r="Q602" s="35"/>
      <c r="R602" s="35"/>
      <c r="S602" s="25"/>
      <c r="AA602" s="25"/>
    </row>
    <row r="603" spans="1:34" ht="12.75" customHeight="1">
      <c r="A603" s="29"/>
      <c r="B603" s="15"/>
      <c r="C603" s="46"/>
      <c r="D603" s="15"/>
      <c r="E603" s="15"/>
      <c r="F603" s="15"/>
      <c r="G603" s="15"/>
      <c r="H603" s="19"/>
      <c r="I603" s="30"/>
      <c r="J603" s="65"/>
      <c r="K603" s="65"/>
      <c r="L603" s="15"/>
      <c r="M603" s="15"/>
      <c r="N603" s="15"/>
      <c r="O603" s="35"/>
      <c r="P603" s="35"/>
      <c r="Q603" s="35"/>
      <c r="R603" s="35"/>
      <c r="S603" s="25"/>
      <c r="AA603" s="25"/>
    </row>
    <row r="604" spans="1:34" ht="12.75" customHeight="1">
      <c r="A604" s="29"/>
      <c r="B604" s="15"/>
      <c r="C604" s="46"/>
      <c r="D604" s="15"/>
      <c r="E604" s="15"/>
      <c r="F604" s="15"/>
      <c r="G604" s="15"/>
      <c r="H604" s="19"/>
      <c r="I604" s="30"/>
      <c r="J604" s="65"/>
      <c r="K604" s="65"/>
      <c r="L604" s="15"/>
      <c r="M604" s="15"/>
      <c r="N604" s="15"/>
      <c r="O604" s="35"/>
      <c r="P604" s="35"/>
      <c r="Q604" s="35"/>
      <c r="R604" s="35"/>
      <c r="S604" s="25"/>
      <c r="AA604" s="25"/>
    </row>
    <row r="605" spans="1:34" ht="12.75" customHeight="1">
      <c r="A605" s="29"/>
      <c r="B605" s="15"/>
      <c r="C605" s="46"/>
      <c r="D605" s="15"/>
      <c r="E605" s="15"/>
      <c r="F605" s="15"/>
      <c r="G605" s="15"/>
      <c r="H605" s="19"/>
      <c r="I605" s="30"/>
      <c r="J605" s="65"/>
      <c r="K605" s="65"/>
      <c r="L605" s="15"/>
      <c r="M605" s="15"/>
      <c r="N605" s="15"/>
      <c r="O605" s="35"/>
      <c r="P605" s="35"/>
      <c r="Q605" s="35"/>
      <c r="R605" s="35"/>
      <c r="S605" s="25"/>
      <c r="AA605" s="25"/>
      <c r="AD605" s="4"/>
      <c r="AE605" s="4"/>
      <c r="AH605" s="6"/>
    </row>
    <row r="606" spans="1:34" ht="12.75" customHeight="1">
      <c r="A606" s="29"/>
      <c r="B606" s="15"/>
      <c r="C606" s="46"/>
      <c r="D606" s="15"/>
      <c r="E606" s="15"/>
      <c r="F606" s="15"/>
      <c r="G606" s="15"/>
      <c r="H606" s="19"/>
      <c r="I606" s="30"/>
      <c r="J606" s="65"/>
      <c r="K606" s="65"/>
      <c r="L606" s="15"/>
      <c r="M606" s="15"/>
      <c r="N606" s="15"/>
      <c r="O606" s="35"/>
      <c r="P606" s="35"/>
      <c r="Q606" s="35"/>
      <c r="R606" s="35"/>
      <c r="S606" s="25"/>
      <c r="V606" s="63"/>
      <c r="AA606" s="25"/>
      <c r="AH606" s="6"/>
    </row>
    <row r="607" spans="1:34" ht="12.75" customHeight="1">
      <c r="A607" s="29"/>
      <c r="B607" s="15"/>
      <c r="C607" s="46"/>
      <c r="D607" s="15"/>
      <c r="E607" s="15"/>
      <c r="F607" s="15"/>
      <c r="G607" s="15"/>
      <c r="H607" s="19"/>
      <c r="I607" s="30"/>
      <c r="J607" s="65"/>
      <c r="K607" s="65"/>
      <c r="L607" s="15"/>
      <c r="M607" s="15"/>
      <c r="N607" s="15"/>
      <c r="O607" s="35"/>
      <c r="P607" s="35"/>
      <c r="Q607" s="35"/>
      <c r="R607" s="35"/>
      <c r="S607" s="25"/>
      <c r="V607" s="63"/>
      <c r="Y607" s="3"/>
      <c r="AA607" s="25"/>
      <c r="AH607" s="6"/>
    </row>
    <row r="608" spans="1:34" ht="12.75" customHeight="1">
      <c r="A608" s="29"/>
      <c r="B608" s="15"/>
      <c r="C608" s="46"/>
      <c r="D608" s="15"/>
      <c r="E608" s="15"/>
      <c r="F608" s="15"/>
      <c r="G608" s="15"/>
      <c r="H608" s="19"/>
      <c r="I608" s="30"/>
      <c r="J608" s="65"/>
      <c r="K608" s="65"/>
      <c r="L608" s="15"/>
      <c r="M608" s="15"/>
      <c r="N608" s="15"/>
      <c r="O608" s="35"/>
      <c r="P608" s="35"/>
      <c r="Q608" s="35"/>
      <c r="R608" s="35"/>
      <c r="S608" s="25"/>
      <c r="AA608" s="25"/>
      <c r="AD608" s="4"/>
      <c r="AE608" s="4"/>
      <c r="AH608" s="6"/>
    </row>
    <row r="609" spans="1:34">
      <c r="A609" s="29"/>
      <c r="B609" s="15"/>
      <c r="C609" s="46"/>
      <c r="D609" s="15"/>
      <c r="E609" s="15"/>
      <c r="F609" s="15"/>
      <c r="G609" s="15"/>
      <c r="I609" s="30"/>
      <c r="J609" s="65"/>
      <c r="K609" s="65"/>
      <c r="L609" s="15"/>
      <c r="M609" s="15"/>
      <c r="N609" s="15"/>
      <c r="O609" s="35"/>
      <c r="P609" s="35"/>
      <c r="Q609" s="35"/>
      <c r="R609" s="35"/>
      <c r="S609" s="25"/>
      <c r="AA609" s="25"/>
      <c r="AC609" s="8"/>
      <c r="AH609" s="6"/>
    </row>
    <row r="610" spans="1:34">
      <c r="A610" s="29"/>
      <c r="B610" s="15"/>
      <c r="C610" s="46"/>
      <c r="D610" s="15"/>
      <c r="E610" s="15"/>
      <c r="F610" s="15"/>
      <c r="G610" s="15"/>
      <c r="I610" s="30"/>
      <c r="J610" s="65"/>
      <c r="K610" s="65"/>
      <c r="L610" s="15"/>
      <c r="M610" s="15"/>
      <c r="N610" s="15"/>
      <c r="O610" s="35"/>
      <c r="P610" s="35"/>
      <c r="Q610" s="35"/>
      <c r="R610" s="35"/>
      <c r="S610" s="25"/>
      <c r="AA610" s="25"/>
      <c r="AD610" s="4"/>
      <c r="AE610" s="4"/>
      <c r="AH610" s="6"/>
    </row>
    <row r="611" spans="1:34">
      <c r="A611" s="29"/>
      <c r="B611" s="15"/>
      <c r="C611" s="46"/>
      <c r="D611" s="15"/>
      <c r="E611" s="15"/>
      <c r="F611" s="15"/>
      <c r="G611" s="15"/>
      <c r="H611" s="19"/>
      <c r="I611" s="30"/>
      <c r="J611" s="65"/>
      <c r="K611" s="65"/>
      <c r="L611" s="15"/>
      <c r="M611" s="15"/>
      <c r="N611" s="15"/>
      <c r="O611" s="35"/>
      <c r="P611" s="35"/>
      <c r="Q611" s="35"/>
      <c r="R611" s="35"/>
      <c r="S611" s="25"/>
      <c r="AA611" s="25"/>
      <c r="AC611" s="8"/>
      <c r="AH611" s="6"/>
    </row>
    <row r="612" spans="1:34">
      <c r="A612" s="29"/>
      <c r="B612" s="15"/>
      <c r="C612" s="46"/>
      <c r="D612" s="15"/>
      <c r="E612" s="15"/>
      <c r="F612" s="15"/>
      <c r="G612" s="15"/>
      <c r="H612" s="19"/>
      <c r="I612" s="30"/>
      <c r="J612" s="65"/>
      <c r="K612" s="65"/>
      <c r="L612" s="15"/>
      <c r="M612" s="15"/>
      <c r="N612" s="15"/>
      <c r="O612" s="35"/>
      <c r="P612" s="35"/>
      <c r="Q612" s="35"/>
      <c r="R612" s="35"/>
      <c r="S612" s="25"/>
      <c r="AA612" s="25"/>
      <c r="AD612" s="4"/>
      <c r="AE612" s="4"/>
      <c r="AH612" s="6"/>
    </row>
    <row r="613" spans="1:34">
      <c r="A613" s="29"/>
      <c r="B613" s="15"/>
      <c r="C613" s="46"/>
      <c r="D613" s="15"/>
      <c r="E613" s="15"/>
      <c r="F613" s="15"/>
      <c r="G613" s="15"/>
      <c r="I613" s="30"/>
      <c r="J613" s="65"/>
      <c r="K613" s="65"/>
      <c r="L613" s="15"/>
      <c r="M613" s="15"/>
      <c r="N613" s="15"/>
      <c r="O613" s="35"/>
      <c r="P613" s="35"/>
      <c r="Q613" s="35"/>
      <c r="R613" s="35"/>
      <c r="S613" s="25"/>
      <c r="AA613" s="25"/>
      <c r="AD613" s="4"/>
      <c r="AE613" s="4"/>
      <c r="AH613" s="6"/>
    </row>
    <row r="614" spans="1:34">
      <c r="A614" s="29"/>
      <c r="B614" s="15"/>
      <c r="C614" s="46"/>
      <c r="D614" s="15"/>
      <c r="E614" s="15"/>
      <c r="F614" s="15"/>
      <c r="G614" s="15"/>
      <c r="I614" s="30"/>
      <c r="J614" s="65"/>
      <c r="K614" s="65"/>
      <c r="L614" s="15"/>
      <c r="M614" s="15"/>
      <c r="N614" s="15"/>
      <c r="O614" s="35"/>
      <c r="P614" s="35"/>
      <c r="Q614" s="35"/>
      <c r="R614" s="35"/>
      <c r="S614" s="25"/>
      <c r="AA614" s="25"/>
      <c r="AH614" s="6"/>
    </row>
    <row r="615" spans="1:34">
      <c r="A615" s="29"/>
      <c r="B615" s="15"/>
      <c r="C615" s="46"/>
      <c r="D615" s="15"/>
      <c r="E615" s="15"/>
      <c r="F615" s="15"/>
      <c r="G615" s="15"/>
      <c r="I615" s="30"/>
      <c r="J615" s="65"/>
      <c r="K615" s="65"/>
      <c r="L615" s="15"/>
      <c r="M615" s="15"/>
      <c r="N615" s="15"/>
      <c r="O615" s="35"/>
      <c r="P615" s="35"/>
      <c r="Q615" s="35"/>
      <c r="R615" s="35"/>
      <c r="S615" s="25"/>
      <c r="AA615" s="25"/>
      <c r="AD615" s="4"/>
      <c r="AE615" s="4"/>
      <c r="AH615" s="6"/>
    </row>
    <row r="616" spans="1:34">
      <c r="A616" s="29"/>
      <c r="B616" s="15"/>
      <c r="C616" s="46"/>
      <c r="D616" s="15"/>
      <c r="E616" s="15"/>
      <c r="F616" s="15"/>
      <c r="G616" s="15"/>
      <c r="I616" s="30"/>
      <c r="J616" s="65"/>
      <c r="K616" s="65"/>
      <c r="L616" s="15"/>
      <c r="M616" s="15"/>
      <c r="N616" s="15"/>
      <c r="O616" s="35"/>
      <c r="P616" s="35"/>
      <c r="Q616" s="35"/>
      <c r="R616" s="35"/>
      <c r="S616" s="25"/>
      <c r="AA616" s="25"/>
      <c r="AB616" s="38"/>
      <c r="AH616" s="6"/>
    </row>
    <row r="617" spans="1:34">
      <c r="A617" s="29"/>
      <c r="B617" s="15"/>
      <c r="C617" s="46"/>
      <c r="D617" s="15"/>
      <c r="E617" s="15"/>
      <c r="F617" s="15"/>
      <c r="G617" s="15"/>
      <c r="H617" s="19"/>
      <c r="I617" s="30"/>
      <c r="J617" s="65"/>
      <c r="K617" s="65"/>
      <c r="L617" s="15"/>
      <c r="M617" s="15"/>
      <c r="N617" s="15"/>
      <c r="O617" s="35"/>
      <c r="P617" s="35"/>
      <c r="Q617" s="35"/>
      <c r="R617" s="35"/>
      <c r="S617" s="25"/>
      <c r="AA617" s="25"/>
      <c r="AB617" s="10"/>
      <c r="AH617" s="6"/>
    </row>
    <row r="618" spans="1:34">
      <c r="A618" s="29"/>
      <c r="B618" s="15"/>
      <c r="C618" s="46"/>
      <c r="D618" s="15"/>
      <c r="E618" s="15"/>
      <c r="F618" s="15"/>
      <c r="G618" s="15"/>
      <c r="I618" s="30"/>
      <c r="J618" s="65"/>
      <c r="K618" s="65"/>
      <c r="L618" s="15"/>
      <c r="M618" s="15"/>
      <c r="N618" s="15"/>
      <c r="O618" s="35"/>
      <c r="P618" s="35"/>
      <c r="Q618" s="35"/>
      <c r="R618" s="35"/>
      <c r="S618" s="25"/>
      <c r="AA618" s="25"/>
      <c r="AD618" s="4"/>
      <c r="AE618" s="4"/>
      <c r="AH618" s="6"/>
    </row>
    <row r="619" spans="1:34">
      <c r="A619" s="29"/>
      <c r="B619" s="15"/>
      <c r="C619" s="46"/>
      <c r="D619" s="15"/>
      <c r="E619" s="15"/>
      <c r="F619" s="15"/>
      <c r="G619" s="15"/>
      <c r="I619" s="30"/>
      <c r="J619" s="65"/>
      <c r="K619" s="65"/>
      <c r="L619" s="15"/>
      <c r="M619" s="15"/>
      <c r="N619" s="15"/>
      <c r="O619" s="35"/>
      <c r="P619" s="35"/>
      <c r="Q619" s="35"/>
      <c r="R619" s="35"/>
      <c r="S619" s="25"/>
      <c r="AA619" s="25"/>
      <c r="AD619" s="4"/>
      <c r="AE619" s="4"/>
      <c r="AH619" s="6"/>
    </row>
    <row r="620" spans="1:34">
      <c r="A620" s="29"/>
      <c r="B620" s="15"/>
      <c r="C620" s="46"/>
      <c r="D620" s="15"/>
      <c r="E620" s="15"/>
      <c r="F620" s="15"/>
      <c r="G620" s="15"/>
      <c r="H620" s="19"/>
      <c r="I620" s="30"/>
      <c r="J620" s="65"/>
      <c r="K620" s="65"/>
      <c r="L620" s="15"/>
      <c r="M620" s="15"/>
      <c r="N620" s="53"/>
      <c r="O620" s="35"/>
      <c r="P620" s="35"/>
      <c r="Q620" s="58"/>
      <c r="R620" s="35"/>
      <c r="S620" s="25"/>
      <c r="AA620" s="25"/>
      <c r="AD620" s="4"/>
      <c r="AE620" s="4"/>
      <c r="AH620" s="6"/>
    </row>
    <row r="621" spans="1:34">
      <c r="A621" s="29"/>
      <c r="B621" s="15"/>
      <c r="C621" s="46"/>
      <c r="D621" s="15"/>
      <c r="E621" s="15"/>
      <c r="F621" s="15"/>
      <c r="G621" s="15"/>
      <c r="H621" s="19"/>
      <c r="I621" s="30"/>
      <c r="J621" s="65"/>
      <c r="K621" s="65"/>
      <c r="L621" s="15"/>
      <c r="M621" s="15"/>
      <c r="N621" s="53"/>
      <c r="O621" s="35"/>
      <c r="P621" s="35"/>
      <c r="Q621" s="58"/>
      <c r="R621" s="35"/>
      <c r="S621" s="25"/>
      <c r="AA621" s="25"/>
      <c r="AD621" s="4"/>
      <c r="AE621" s="4"/>
      <c r="AH621" s="6"/>
    </row>
    <row r="622" spans="1:34">
      <c r="A622" s="29"/>
      <c r="B622" s="15"/>
      <c r="C622" s="46"/>
      <c r="D622" s="15"/>
      <c r="E622" s="15"/>
      <c r="F622" s="15"/>
      <c r="G622" s="15"/>
      <c r="H622" s="19"/>
      <c r="I622" s="30"/>
      <c r="J622" s="65"/>
      <c r="K622" s="65"/>
      <c r="L622" s="15"/>
      <c r="M622" s="15"/>
      <c r="N622" s="53"/>
      <c r="O622" s="35"/>
      <c r="P622" s="35"/>
      <c r="Q622" s="58"/>
      <c r="R622" s="35"/>
      <c r="S622" s="25"/>
      <c r="T622" s="25"/>
      <c r="U622" s="25"/>
      <c r="AA622" s="25"/>
      <c r="AD622" s="4"/>
      <c r="AE622" s="4"/>
      <c r="AH622" s="6"/>
    </row>
    <row r="623" spans="1:34">
      <c r="A623" s="29"/>
      <c r="B623" s="15"/>
      <c r="C623" s="46"/>
      <c r="D623" s="15"/>
      <c r="E623" s="15"/>
      <c r="F623" s="15"/>
      <c r="G623" s="15"/>
      <c r="H623" s="19"/>
      <c r="I623" s="30"/>
      <c r="J623" s="65"/>
      <c r="K623" s="65"/>
      <c r="L623" s="15"/>
      <c r="M623" s="15"/>
      <c r="N623" s="53"/>
      <c r="O623" s="35"/>
      <c r="P623" s="35"/>
      <c r="Q623" s="58"/>
      <c r="R623" s="35"/>
      <c r="S623" s="25"/>
      <c r="T623" s="25"/>
      <c r="U623" s="25"/>
      <c r="AA623" s="25"/>
      <c r="AD623" s="4"/>
      <c r="AE623" s="4"/>
      <c r="AH623" s="6"/>
    </row>
    <row r="624" spans="1:34">
      <c r="A624" s="29"/>
      <c r="B624" s="15"/>
      <c r="C624" s="46"/>
      <c r="D624" s="15"/>
      <c r="E624" s="15"/>
      <c r="F624" s="15"/>
      <c r="G624" s="15"/>
      <c r="H624" s="19"/>
      <c r="I624" s="31"/>
      <c r="J624" s="65"/>
      <c r="K624" s="65"/>
      <c r="L624" s="15"/>
      <c r="M624" s="15"/>
      <c r="N624" s="15"/>
      <c r="O624" s="35"/>
      <c r="P624" s="35"/>
      <c r="Q624" s="35"/>
      <c r="R624" s="35"/>
      <c r="S624" s="68"/>
      <c r="Z624" s="61"/>
      <c r="AA624" s="25"/>
      <c r="AD624" s="4"/>
      <c r="AE624" s="4"/>
      <c r="AH624" s="6"/>
    </row>
    <row r="625" spans="1:34">
      <c r="A625" s="29"/>
      <c r="B625" s="15"/>
      <c r="C625" s="46"/>
      <c r="D625" s="15"/>
      <c r="E625" s="15"/>
      <c r="F625" s="15"/>
      <c r="G625" s="15"/>
      <c r="H625" s="19"/>
      <c r="I625" s="30"/>
      <c r="J625" s="65"/>
      <c r="K625" s="65"/>
      <c r="L625" s="15"/>
      <c r="M625" s="15"/>
      <c r="N625" s="15"/>
      <c r="O625" s="35"/>
      <c r="P625" s="35"/>
      <c r="Q625" s="35"/>
      <c r="R625" s="35"/>
      <c r="S625" s="25"/>
      <c r="AA625" s="25"/>
      <c r="AH625" s="6"/>
    </row>
    <row r="626" spans="1:34">
      <c r="A626" s="29"/>
      <c r="B626" s="15"/>
      <c r="C626" s="46"/>
      <c r="D626" s="15"/>
      <c r="E626" s="15"/>
      <c r="F626" s="16"/>
      <c r="G626" s="15"/>
      <c r="H626" s="19"/>
      <c r="I626" s="31"/>
      <c r="J626" s="65"/>
      <c r="K626" s="65"/>
      <c r="L626" s="15"/>
      <c r="M626" s="15"/>
      <c r="N626" s="15"/>
      <c r="O626" s="35"/>
      <c r="P626" s="35"/>
      <c r="Q626" s="35"/>
      <c r="R626" s="35"/>
      <c r="S626" s="25"/>
      <c r="T626" s="25"/>
      <c r="V626" s="54"/>
      <c r="X626" s="7"/>
      <c r="AA626" s="25"/>
    </row>
    <row r="627" spans="1:34">
      <c r="A627" s="29"/>
      <c r="B627" s="15"/>
      <c r="C627" s="46"/>
      <c r="D627" s="15"/>
      <c r="E627" s="15"/>
      <c r="F627" s="15"/>
      <c r="G627" s="15"/>
      <c r="H627" s="19"/>
      <c r="I627" s="30"/>
      <c r="J627" s="65"/>
      <c r="K627" s="65"/>
      <c r="L627" s="15"/>
      <c r="M627" s="15"/>
      <c r="N627" s="15"/>
      <c r="O627" s="35"/>
      <c r="P627" s="35"/>
      <c r="Q627" s="35"/>
      <c r="R627" s="35"/>
      <c r="S627" s="25"/>
      <c r="T627" s="25"/>
      <c r="AA627" s="25"/>
      <c r="AD627" s="4"/>
      <c r="AE627" s="4"/>
      <c r="AH627" s="6"/>
    </row>
    <row r="628" spans="1:34">
      <c r="A628" s="29"/>
      <c r="B628" s="15"/>
      <c r="C628" s="46"/>
      <c r="D628" s="15"/>
      <c r="E628" s="15"/>
      <c r="F628" s="15"/>
      <c r="G628" s="15"/>
      <c r="H628" s="19"/>
      <c r="I628" s="30"/>
      <c r="J628" s="65"/>
      <c r="K628" s="65"/>
      <c r="L628" s="15"/>
      <c r="M628" s="15"/>
      <c r="N628" s="15"/>
      <c r="O628" s="35"/>
      <c r="P628" s="35"/>
      <c r="Q628" s="35"/>
      <c r="R628" s="35"/>
      <c r="S628" s="25"/>
      <c r="T628" s="25"/>
      <c r="AA628" s="25"/>
      <c r="AH628" s="6"/>
    </row>
    <row r="629" spans="1:34">
      <c r="A629" s="29"/>
      <c r="B629" s="15"/>
      <c r="C629" s="46"/>
      <c r="D629" s="15"/>
      <c r="E629" s="15"/>
      <c r="F629" s="15"/>
      <c r="G629" s="15"/>
      <c r="H629" s="19"/>
      <c r="I629" s="30"/>
      <c r="J629" s="65"/>
      <c r="K629" s="65"/>
      <c r="L629" s="15"/>
      <c r="M629" s="15"/>
      <c r="N629" s="15"/>
      <c r="O629" s="35"/>
      <c r="P629" s="35"/>
      <c r="Q629" s="35"/>
      <c r="R629" s="35"/>
      <c r="S629" s="25"/>
      <c r="T629" s="25"/>
      <c r="AA629" s="25"/>
      <c r="AH629" s="6"/>
    </row>
    <row r="630" spans="1:34">
      <c r="A630" s="29"/>
      <c r="B630" s="15"/>
      <c r="C630" s="46"/>
      <c r="D630" s="15"/>
      <c r="E630" s="15"/>
      <c r="F630" s="15"/>
      <c r="G630" s="15"/>
      <c r="H630" s="19"/>
      <c r="I630" s="30"/>
      <c r="J630" s="65"/>
      <c r="K630" s="65"/>
      <c r="L630" s="15"/>
      <c r="M630" s="15"/>
      <c r="N630" s="15"/>
      <c r="O630" s="35"/>
      <c r="P630" s="35"/>
      <c r="Q630" s="35"/>
      <c r="R630" s="35"/>
      <c r="S630" s="25"/>
      <c r="T630" s="25"/>
      <c r="AA630" s="25"/>
      <c r="AH630" s="6"/>
    </row>
    <row r="631" spans="1:34">
      <c r="A631" s="29"/>
      <c r="B631" s="15"/>
      <c r="C631" s="46"/>
      <c r="D631" s="15"/>
      <c r="E631" s="15"/>
      <c r="F631" s="15"/>
      <c r="G631" s="15"/>
      <c r="H631" s="19"/>
      <c r="I631" s="30"/>
      <c r="J631" s="65"/>
      <c r="K631" s="65"/>
      <c r="L631" s="15"/>
      <c r="M631" s="15"/>
      <c r="N631" s="15"/>
      <c r="O631" s="35"/>
      <c r="P631" s="35"/>
      <c r="Q631" s="35"/>
      <c r="R631" s="35"/>
      <c r="S631" s="25"/>
      <c r="T631" s="25"/>
      <c r="AA631" s="25"/>
      <c r="AH631" s="6"/>
    </row>
    <row r="632" spans="1:34">
      <c r="A632" s="29"/>
      <c r="B632" s="15"/>
      <c r="C632" s="46"/>
      <c r="D632" s="15"/>
      <c r="E632" s="15"/>
      <c r="F632" s="15"/>
      <c r="G632" s="15"/>
      <c r="H632" s="19"/>
      <c r="I632" s="30"/>
      <c r="J632" s="65"/>
      <c r="K632" s="65"/>
      <c r="L632" s="15"/>
      <c r="M632" s="15"/>
      <c r="N632" s="15"/>
      <c r="O632" s="35"/>
      <c r="P632" s="35"/>
      <c r="Q632" s="35"/>
      <c r="R632" s="35"/>
      <c r="S632" s="25"/>
      <c r="T632" s="25"/>
      <c r="AA632" s="25"/>
      <c r="AD632" s="4"/>
      <c r="AE632" s="4"/>
    </row>
    <row r="633" spans="1:34">
      <c r="A633" s="29"/>
      <c r="B633" s="15"/>
      <c r="C633" s="46"/>
      <c r="D633" s="15"/>
      <c r="E633" s="15"/>
      <c r="F633" s="15"/>
      <c r="G633" s="15"/>
      <c r="H633" s="19"/>
      <c r="I633" s="30"/>
      <c r="J633" s="65"/>
      <c r="K633" s="65"/>
      <c r="L633" s="15"/>
      <c r="M633" s="15"/>
      <c r="N633" s="53"/>
      <c r="O633" s="35"/>
      <c r="P633" s="35"/>
      <c r="Q633" s="35"/>
      <c r="R633" s="35"/>
      <c r="S633" s="25"/>
      <c r="T633" s="25"/>
      <c r="Y633" s="3"/>
      <c r="AA633" s="25"/>
      <c r="AD633" s="4"/>
      <c r="AE633" s="4"/>
      <c r="AH633" s="6"/>
    </row>
    <row r="634" spans="1:34">
      <c r="A634" s="29"/>
      <c r="B634" s="15"/>
      <c r="C634" s="46"/>
      <c r="D634" s="15"/>
      <c r="E634" s="15"/>
      <c r="F634" s="15"/>
      <c r="G634" s="15"/>
      <c r="H634" s="19"/>
      <c r="I634" s="30"/>
      <c r="J634" s="65"/>
      <c r="K634" s="65"/>
      <c r="L634" s="15"/>
      <c r="M634" s="15"/>
      <c r="N634" s="53"/>
      <c r="O634" s="35"/>
      <c r="P634" s="35"/>
      <c r="Q634" s="58"/>
      <c r="R634" s="35"/>
      <c r="S634" s="25"/>
      <c r="T634" s="25"/>
      <c r="AA634" s="25"/>
      <c r="AD634" s="4"/>
      <c r="AE634" s="4"/>
      <c r="AH634" s="6"/>
    </row>
    <row r="635" spans="1:34">
      <c r="A635" s="29"/>
      <c r="B635" s="35"/>
      <c r="C635" s="46"/>
      <c r="D635" s="15"/>
      <c r="E635" s="15"/>
      <c r="F635" s="15"/>
      <c r="G635" s="15"/>
      <c r="H635" s="19"/>
      <c r="I635" s="31"/>
      <c r="J635" s="65"/>
      <c r="K635" s="65"/>
      <c r="L635" s="15"/>
      <c r="M635" s="15"/>
      <c r="N635" s="15"/>
      <c r="O635" s="35"/>
      <c r="P635" s="35"/>
      <c r="Q635" s="35"/>
      <c r="R635" s="35"/>
      <c r="S635" s="25"/>
      <c r="T635" s="25"/>
      <c r="AA635" s="25"/>
      <c r="AH635" s="6"/>
    </row>
    <row r="636" spans="1:34">
      <c r="A636" s="29"/>
      <c r="B636" s="35"/>
      <c r="C636" s="46"/>
      <c r="D636" s="15"/>
      <c r="E636" s="15"/>
      <c r="F636" s="15"/>
      <c r="G636" s="15"/>
      <c r="H636" s="19"/>
      <c r="I636" s="31"/>
      <c r="J636" s="65"/>
      <c r="K636" s="65"/>
      <c r="L636" s="15"/>
      <c r="M636" s="15"/>
      <c r="N636" s="15"/>
      <c r="O636" s="35"/>
      <c r="P636" s="35"/>
      <c r="Q636" s="35"/>
      <c r="R636" s="35"/>
      <c r="S636" s="25"/>
      <c r="T636" s="25"/>
      <c r="AA636" s="25"/>
      <c r="AH636" s="6"/>
    </row>
    <row r="637" spans="1:34">
      <c r="A637" s="29"/>
      <c r="B637" s="15"/>
      <c r="C637" s="46"/>
      <c r="D637" s="15"/>
      <c r="E637" s="15"/>
      <c r="F637" s="15"/>
      <c r="G637" s="15"/>
      <c r="H637" s="19"/>
      <c r="I637" s="31"/>
      <c r="J637" s="65"/>
      <c r="K637" s="65"/>
      <c r="L637" s="15"/>
      <c r="M637" s="15"/>
      <c r="N637" s="15"/>
      <c r="O637" s="35"/>
      <c r="P637" s="35"/>
      <c r="Q637" s="35"/>
      <c r="R637" s="35"/>
      <c r="S637" s="25"/>
      <c r="T637" s="25"/>
      <c r="X637" s="7"/>
      <c r="Y637" s="7"/>
      <c r="AA637" s="25"/>
      <c r="AD637" s="4"/>
      <c r="AE637" s="4"/>
      <c r="AH637" s="6"/>
    </row>
    <row r="638" spans="1:34">
      <c r="A638" s="29"/>
      <c r="B638" s="15"/>
      <c r="C638" s="46"/>
      <c r="D638" s="15"/>
      <c r="E638" s="15"/>
      <c r="F638" s="15"/>
      <c r="G638" s="15"/>
      <c r="H638" s="19"/>
      <c r="I638" s="31"/>
      <c r="J638" s="65"/>
      <c r="K638" s="65"/>
      <c r="L638" s="15"/>
      <c r="M638" s="15"/>
      <c r="N638" s="15"/>
      <c r="O638" s="35"/>
      <c r="P638" s="35"/>
      <c r="Q638" s="35"/>
      <c r="R638" s="35"/>
      <c r="S638" s="25"/>
      <c r="T638" s="25"/>
      <c r="X638" s="7"/>
      <c r="Y638" s="7"/>
      <c r="AA638" s="25"/>
    </row>
    <row r="639" spans="1:34">
      <c r="A639" s="29"/>
      <c r="B639" s="15"/>
      <c r="C639" s="46"/>
      <c r="D639" s="15"/>
      <c r="E639" s="15"/>
      <c r="F639" s="15"/>
      <c r="G639" s="15"/>
      <c r="H639" s="19"/>
      <c r="I639" s="31"/>
      <c r="J639" s="65"/>
      <c r="K639" s="65"/>
      <c r="L639" s="15"/>
      <c r="M639" s="15"/>
      <c r="N639" s="15"/>
      <c r="O639" s="35"/>
      <c r="P639" s="35"/>
      <c r="Q639" s="35"/>
      <c r="R639" s="35"/>
      <c r="S639" s="25"/>
      <c r="T639" s="25"/>
      <c r="X639" s="7"/>
      <c r="Y639" s="7"/>
      <c r="AA639" s="25"/>
      <c r="AD639" s="4"/>
      <c r="AE639" s="4"/>
    </row>
    <row r="640" spans="1:34">
      <c r="A640" s="29"/>
      <c r="B640" s="15"/>
      <c r="C640" s="46"/>
      <c r="D640" s="15"/>
      <c r="E640" s="15"/>
      <c r="F640" s="15"/>
      <c r="G640" s="15"/>
      <c r="H640" s="19"/>
      <c r="I640" s="31"/>
      <c r="J640" s="65"/>
      <c r="K640" s="65"/>
      <c r="L640" s="15"/>
      <c r="M640" s="15"/>
      <c r="N640" s="15"/>
      <c r="O640" s="35"/>
      <c r="P640" s="35"/>
      <c r="Q640" s="35"/>
      <c r="R640" s="35"/>
      <c r="S640" s="25"/>
      <c r="T640" s="25"/>
      <c r="X640" s="7"/>
      <c r="Y640" s="7"/>
      <c r="AA640" s="25"/>
      <c r="AD640" s="4"/>
      <c r="AE640" s="4"/>
    </row>
    <row r="641" spans="1:34">
      <c r="A641" s="29"/>
      <c r="B641" s="15"/>
      <c r="C641" s="46"/>
      <c r="D641" s="15"/>
      <c r="E641" s="15"/>
      <c r="F641" s="15"/>
      <c r="G641" s="15"/>
      <c r="H641" s="19"/>
      <c r="I641" s="31"/>
      <c r="J641" s="65"/>
      <c r="K641" s="65"/>
      <c r="L641" s="15"/>
      <c r="M641" s="15"/>
      <c r="N641" s="15"/>
      <c r="O641" s="35"/>
      <c r="P641" s="35"/>
      <c r="Q641" s="35"/>
      <c r="R641" s="35"/>
      <c r="S641" s="25"/>
      <c r="T641" s="25"/>
      <c r="Y641" s="3"/>
      <c r="AA641" s="25"/>
      <c r="AB641" s="17"/>
      <c r="AD641" s="4"/>
      <c r="AE641" s="4"/>
      <c r="AH641" s="6"/>
    </row>
    <row r="642" spans="1:34">
      <c r="A642" s="29"/>
      <c r="B642" s="15"/>
      <c r="C642" s="46"/>
      <c r="D642" s="15"/>
      <c r="E642" s="15"/>
      <c r="F642" s="15"/>
      <c r="G642" s="15"/>
      <c r="H642" s="19"/>
      <c r="I642" s="31"/>
      <c r="J642" s="65"/>
      <c r="K642" s="65"/>
      <c r="L642" s="15"/>
      <c r="M642" s="15"/>
      <c r="N642" s="15"/>
      <c r="O642" s="35"/>
      <c r="P642" s="35"/>
      <c r="Q642" s="35"/>
      <c r="R642" s="35"/>
      <c r="S642" s="25"/>
      <c r="T642" s="25"/>
      <c r="Y642" s="3"/>
      <c r="AA642" s="25"/>
      <c r="AD642" s="4"/>
      <c r="AE642" s="4"/>
      <c r="AH642" s="6"/>
    </row>
    <row r="643" spans="1:34">
      <c r="A643" s="29"/>
      <c r="B643" s="15"/>
      <c r="C643" s="46"/>
      <c r="D643" s="15"/>
      <c r="E643" s="15"/>
      <c r="F643" s="15"/>
      <c r="G643" s="15"/>
      <c r="H643" s="19"/>
      <c r="I643" s="31"/>
      <c r="J643" s="65"/>
      <c r="K643" s="65"/>
      <c r="L643" s="15"/>
      <c r="M643" s="15"/>
      <c r="N643" s="15"/>
      <c r="O643" s="35"/>
      <c r="P643" s="35"/>
      <c r="Q643" s="35"/>
      <c r="R643" s="35"/>
      <c r="S643" s="25"/>
      <c r="T643" s="25"/>
      <c r="Y643" s="3"/>
      <c r="AA643" s="25"/>
      <c r="AD643" s="4"/>
      <c r="AE643" s="4"/>
      <c r="AH643" s="6"/>
    </row>
    <row r="644" spans="1:34">
      <c r="A644" s="29"/>
      <c r="B644" s="15"/>
      <c r="C644" s="46"/>
      <c r="D644" s="15"/>
      <c r="E644" s="15"/>
      <c r="F644" s="15"/>
      <c r="G644" s="15"/>
      <c r="H644" s="19"/>
      <c r="I644" s="31"/>
      <c r="J644" s="65"/>
      <c r="K644" s="65"/>
      <c r="L644" s="15"/>
      <c r="M644" s="15"/>
      <c r="N644" s="15"/>
      <c r="O644" s="35"/>
      <c r="P644" s="35"/>
      <c r="Q644" s="35"/>
      <c r="R644" s="35"/>
      <c r="S644" s="25"/>
      <c r="T644" s="25"/>
      <c r="Y644" s="3"/>
      <c r="AA644" s="25"/>
      <c r="AH644" s="6"/>
    </row>
    <row r="645" spans="1:34">
      <c r="A645" s="29"/>
      <c r="B645" s="15"/>
      <c r="C645" s="46"/>
      <c r="D645" s="15"/>
      <c r="E645" s="15"/>
      <c r="F645" s="15"/>
      <c r="G645" s="15"/>
      <c r="H645" s="19"/>
      <c r="I645" s="30"/>
      <c r="J645" s="65"/>
      <c r="K645" s="65"/>
      <c r="L645" s="15"/>
      <c r="M645" s="15"/>
      <c r="N645" s="53"/>
      <c r="O645" s="35"/>
      <c r="P645" s="35"/>
      <c r="Q645" s="58"/>
      <c r="R645" s="35"/>
      <c r="S645" s="25"/>
      <c r="T645" s="25"/>
      <c r="AA645" s="25"/>
      <c r="AD645" s="4"/>
      <c r="AE645" s="4"/>
      <c r="AH645" s="6"/>
    </row>
    <row r="646" spans="1:34">
      <c r="A646" s="29"/>
      <c r="B646" s="15"/>
      <c r="C646" s="46"/>
      <c r="D646" s="15"/>
      <c r="E646" s="15"/>
      <c r="F646" s="15"/>
      <c r="G646" s="15"/>
      <c r="H646" s="19"/>
      <c r="I646" s="30"/>
      <c r="J646" s="65"/>
      <c r="K646" s="65"/>
      <c r="L646" s="15"/>
      <c r="M646" s="15"/>
      <c r="N646" s="53"/>
      <c r="O646" s="35"/>
      <c r="P646" s="35"/>
      <c r="Q646" s="58"/>
      <c r="R646" s="35"/>
      <c r="S646" s="25"/>
      <c r="T646" s="25"/>
      <c r="Y646" s="3"/>
      <c r="AA646" s="25"/>
      <c r="AD646" s="4"/>
      <c r="AE646" s="4"/>
      <c r="AH646" s="6"/>
    </row>
    <row r="647" spans="1:34" ht="38.25" customHeight="1">
      <c r="A647" s="29"/>
      <c r="B647" s="15"/>
      <c r="C647" s="46"/>
      <c r="D647" s="15"/>
      <c r="E647" s="15"/>
      <c r="F647" s="15"/>
      <c r="G647" s="15"/>
      <c r="H647" s="19"/>
      <c r="I647" s="30"/>
      <c r="J647" s="65"/>
      <c r="K647" s="65"/>
      <c r="L647" s="15"/>
      <c r="M647" s="15"/>
      <c r="N647" s="53"/>
      <c r="O647" s="35"/>
      <c r="P647" s="35"/>
      <c r="Q647" s="58"/>
      <c r="R647" s="35"/>
      <c r="S647" s="25"/>
      <c r="Y647" s="3"/>
      <c r="AA647" s="25"/>
      <c r="AD647" s="4"/>
      <c r="AE647" s="4"/>
      <c r="AH647" s="6"/>
    </row>
    <row r="648" spans="1:34" ht="25.5" customHeight="1">
      <c r="A648" s="29"/>
      <c r="B648" s="15"/>
      <c r="C648" s="46"/>
      <c r="D648" s="15"/>
      <c r="E648" s="15"/>
      <c r="F648" s="15"/>
      <c r="G648" s="15"/>
      <c r="H648" s="19"/>
      <c r="I648" s="30"/>
      <c r="J648" s="65"/>
      <c r="K648" s="65"/>
      <c r="L648" s="15"/>
      <c r="M648" s="15"/>
      <c r="N648" s="53"/>
      <c r="O648" s="35"/>
      <c r="P648" s="35"/>
      <c r="Q648" s="58"/>
      <c r="R648" s="35"/>
      <c r="S648" s="25"/>
      <c r="Y648" s="3"/>
      <c r="AA648" s="25"/>
      <c r="AD648" s="4"/>
      <c r="AE648" s="4"/>
      <c r="AH648" s="6"/>
    </row>
    <row r="649" spans="1:34" ht="38.25" customHeight="1">
      <c r="A649" s="29"/>
      <c r="B649" s="15"/>
      <c r="C649" s="56"/>
      <c r="D649" s="15"/>
      <c r="E649" s="15"/>
      <c r="F649" s="15"/>
      <c r="G649" s="15"/>
      <c r="H649" s="19"/>
      <c r="I649" s="30"/>
      <c r="J649" s="65"/>
      <c r="K649" s="65"/>
      <c r="L649" s="15"/>
      <c r="M649" s="15"/>
      <c r="N649" s="53"/>
      <c r="O649" s="35"/>
      <c r="P649" s="35"/>
      <c r="Q649" s="58"/>
      <c r="R649" s="35"/>
      <c r="S649" s="25"/>
      <c r="Y649" s="3"/>
      <c r="AA649" s="25"/>
      <c r="AD649" s="4"/>
      <c r="AE649" s="4"/>
      <c r="AH649" s="6"/>
    </row>
    <row r="650" spans="1:34" ht="24.75" customHeight="1" thickBot="1">
      <c r="A650" s="29"/>
      <c r="B650" s="40"/>
      <c r="C650" s="40"/>
      <c r="D650" s="40"/>
      <c r="E650" s="40"/>
      <c r="F650" s="40"/>
      <c r="G650" s="40"/>
      <c r="H650" s="19"/>
      <c r="I650" s="32"/>
      <c r="J650" s="65"/>
      <c r="K650" s="65"/>
      <c r="L650" s="15"/>
      <c r="M650" s="15"/>
      <c r="N650" s="15"/>
      <c r="O650" s="35"/>
      <c r="P650" s="35"/>
      <c r="Q650" s="35"/>
      <c r="R650" s="35"/>
      <c r="S650" s="25"/>
      <c r="Y650" s="3"/>
      <c r="AA650" s="25"/>
      <c r="AD650" s="4"/>
      <c r="AE650" s="4"/>
      <c r="AH650" s="6"/>
    </row>
    <row r="651" spans="1:34">
      <c r="A651" s="19"/>
      <c r="B651" s="19"/>
      <c r="C651" s="19"/>
      <c r="D651" s="19"/>
      <c r="E651" s="19"/>
      <c r="F651" s="19"/>
      <c r="G651" s="19"/>
      <c r="H651" s="19"/>
      <c r="I651" s="20"/>
      <c r="R651" s="35"/>
    </row>
    <row r="652" spans="1:34">
      <c r="I652" s="3"/>
      <c r="N652" s="3"/>
      <c r="Q652" s="5"/>
      <c r="R652" s="35"/>
      <c r="S652" s="3"/>
      <c r="T652" s="3"/>
      <c r="U652" s="3"/>
      <c r="V652" s="54"/>
      <c r="W652" s="3"/>
      <c r="X652" s="3"/>
    </row>
    <row r="653" spans="1:34">
      <c r="I653" s="3"/>
      <c r="N653" s="3"/>
      <c r="Q653" s="5"/>
      <c r="R653" s="35"/>
      <c r="S653" s="3"/>
      <c r="T653" s="3"/>
      <c r="U653" s="3"/>
      <c r="V653" s="54"/>
      <c r="W653" s="3"/>
      <c r="X653" s="3"/>
    </row>
    <row r="654" spans="1:34">
      <c r="I654" s="3"/>
      <c r="N654" s="3"/>
      <c r="Q654" s="5"/>
      <c r="R654" s="35"/>
      <c r="S654" s="3"/>
      <c r="T654" s="3"/>
      <c r="U654" s="3"/>
      <c r="V654" s="54"/>
      <c r="W654" s="3"/>
      <c r="X654" s="3"/>
    </row>
    <row r="655" spans="1:34">
      <c r="I655" s="3"/>
      <c r="N655" s="3"/>
      <c r="Q655" s="5"/>
      <c r="R655" s="35"/>
      <c r="S655" s="3"/>
      <c r="T655" s="3"/>
      <c r="U655" s="3"/>
      <c r="V655" s="54"/>
      <c r="W655" s="3"/>
      <c r="X655" s="3"/>
    </row>
    <row r="656" spans="1:34">
      <c r="I656" s="3"/>
      <c r="N656" s="3"/>
      <c r="Q656" s="5"/>
      <c r="R656" s="35"/>
      <c r="S656" s="3"/>
      <c r="T656" s="3"/>
      <c r="U656" s="3"/>
      <c r="V656" s="54"/>
      <c r="W656" s="3"/>
      <c r="X656" s="3"/>
    </row>
    <row r="657" spans="9:24">
      <c r="I657" s="3"/>
      <c r="N657" s="3"/>
      <c r="Q657" s="5"/>
      <c r="R657" s="35"/>
      <c r="S657" s="3"/>
      <c r="T657" s="3"/>
      <c r="U657" s="3"/>
      <c r="V657" s="54"/>
      <c r="W657" s="3"/>
      <c r="X657" s="3"/>
    </row>
    <row r="658" spans="9:24">
      <c r="I658" s="3"/>
      <c r="N658" s="3"/>
      <c r="Q658" s="5"/>
      <c r="R658" s="35"/>
      <c r="S658" s="3"/>
      <c r="T658" s="3"/>
      <c r="U658" s="3"/>
      <c r="V658" s="54"/>
      <c r="W658" s="3"/>
      <c r="X658" s="3"/>
    </row>
    <row r="659" spans="9:24">
      <c r="I659" s="3"/>
      <c r="N659" s="3"/>
      <c r="Q659" s="5"/>
      <c r="R659" s="35"/>
      <c r="S659" s="3"/>
      <c r="T659" s="3"/>
      <c r="U659" s="3"/>
      <c r="V659" s="54"/>
      <c r="W659" s="3"/>
      <c r="X659" s="3"/>
    </row>
  </sheetData>
  <protectedRanges>
    <protectedRange password="CF7A" sqref="C60" name="区域9_3"/>
    <protectedRange password="CF7A" sqref="C93:C94 C117:C124" name="区域9_1_1"/>
    <protectedRange password="CF7A" sqref="C179" name="区域9_2_1"/>
    <protectedRange password="DD63" sqref="O99:O101" name="区域1_3_1" securityDescriptor="O:WDG:WDD:(A;;CC;;;S-1-5-21-1891859003-1200709052-621696214-358638)"/>
    <protectedRange password="DD63" sqref="O102" name="区域1_3_1_1" securityDescriptor="O:WDG:WDD:(A;;CC;;;S-1-5-21-1891859003-1200709052-621696214-358638)"/>
    <protectedRange password="CF7A" sqref="C47:C50" name="区域9_1_1_1"/>
    <protectedRange password="DD63" sqref="E222:G242" name="区域1" securityDescriptor="O:WDG:WDD:(A;;CC;;;S-1-5-21-1891859003-1200709052-621696214-358638)"/>
    <protectedRange password="DD63" sqref="E243:G250" name="区域1_1" securityDescriptor="O:WDG:WDD:(A;;CC;;;S-1-5-21-1891859003-1200709052-621696214-358638)"/>
    <protectedRange password="DD63" sqref="E251:G335" name="区域1_2" securityDescriptor="O:WDG:WDD:(A;;CC;;;S-1-5-21-1891859003-1200709052-621696214-358638)"/>
  </protectedRanges>
  <customSheetViews>
    <customSheetView guid="{C3A84A77-E064-4E53-95A5-E8FC8D88DA23}" scale="85" fitToPage="1" filter="1" showAutoFilter="1" hiddenColumns="1">
      <pane xSplit="11" ySplit="4" topLeftCell="M5" activePane="bottomRight" state="frozen"/>
      <selection pane="bottomRight" activeCell="W761" sqref="W761"/>
      <pageMargins left="0.74803149606299213" right="0.74803149606299213" top="0.98425196850393704" bottom="0.98425196850393704" header="0.51181102362204722" footer="0.51181102362204722"/>
      <pageSetup paperSize="8" scale="25" orientation="portrait" r:id="rId1"/>
      <headerFooter alignWithMargins="0">
        <oddFooter>&amp;LOriginator: bhu6
C346 CFMA APQP/PPAP deliverable status&amp;Cpage &amp;P of &amp;N&amp;RDate issued:18/05/2010
Date revised:12/06/2010</oddFooter>
      </headerFooter>
      <autoFilter ref="B1:AL1">
        <filterColumn colId="1">
          <filters>
            <filter val="IT22"/>
          </filters>
        </filterColumn>
      </autoFilter>
    </customSheetView>
    <customSheetView guid="{9D22A08F-56A5-431C-9DFC-BC22419BD317}" scale="85" fitToPage="1" filter="1" showAutoFilter="1" hiddenColumns="1">
      <pane xSplit="7" ySplit="4" topLeftCell="K120" activePane="bottomRight" state="frozen"/>
      <selection pane="bottomRight" activeCell="P121" sqref="P121"/>
      <pageMargins left="0.74803149606299213" right="0.74803149606299213" top="0.98425196850393704" bottom="0.98425196850393704" header="0.51181102362204722" footer="0.51181102362204722"/>
      <pageSetup paperSize="8" scale="44" orientation="portrait" r:id="rId2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EESE"/>
          </filters>
        </filterColumn>
      </autoFilter>
    </customSheetView>
    <customSheetView guid="{8DC26331-EEEE-49DC-8AA9-EB835BDE00AF}" scale="85" fitToPage="1" filter="1" showAutoFilter="1" hiddenColumns="1">
      <pane xSplit="7" ySplit="4" topLeftCell="H5" activePane="bottomRight" state="frozen"/>
      <selection pane="bottomRight" activeCell="L199" sqref="L199"/>
      <pageMargins left="0.74803149606299213" right="0.74803149606299213" top="0.98425196850393704" bottom="0.98425196850393704" header="0.51181102362204722" footer="0.51181102362204722"/>
      <pageSetup paperSize="8" scale="44" orientation="portrait" r:id="rId3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6">
          <filters>
            <filter val="Liu, Hong (H.)"/>
          </filters>
        </filterColumn>
      </autoFilter>
    </customSheetView>
    <customSheetView guid="{2CC8D63C-B749-4079-9551-D05682C44B7D}" scale="85" fitToPage="1" filter="1" showAutoFilter="1" hiddenColumns="1">
      <pane xSplit="7" ySplit="3" topLeftCell="H4" activePane="bottomRight" state="frozen"/>
      <selection pane="bottomRight" activeCell="M29" sqref="M29"/>
      <pageMargins left="0.74803149606299213" right="0.74803149606299213" top="0.98425196850393704" bottom="0.98425196850393704" header="0.51181102362204722" footer="0.51181102362204722"/>
      <pageSetup paperSize="8" scale="44" orientation="portrait" r:id="rId4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6">
          <filters>
            <filter val="Kong, Bin (KOBI.)"/>
          </filters>
        </filterColumn>
      </autoFilter>
    </customSheetView>
    <customSheetView guid="{45E2B96A-38C2-4698-AE49-5CB425CFD881}" scale="75" fitToPage="1" filter="1" showAutoFilter="1">
      <pane xSplit="10" ySplit="298" topLeftCell="Z540" activePane="bottomRight" state="frozen"/>
      <selection pane="bottomRight" activeCell="H545" sqref="H545"/>
      <pageMargins left="0.74803149606299213" right="0.74803149606299213" top="0.98425196850393704" bottom="0.98425196850393704" header="0.51181102362204722" footer="0.51181102362204722"/>
      <pageSetup paperSize="8" scale="44" orientation="portrait" r:id="rId5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EESE"/>
          </filters>
        </filterColumn>
        <filterColumn colId="6">
          <filters>
            <filter val="Wang, Fei (F.)"/>
          </filters>
        </filterColumn>
      </autoFilter>
    </customSheetView>
    <customSheetView guid="{10D3DA8C-8A30-499A-9912-393493C497A3}" scale="75" fitToPage="1" filter="1" showAutoFilter="1">
      <pane ySplit="1" topLeftCell="A2" activePane="bottomLeft" state="frozen"/>
      <selection pane="bottomLeft" activeCell="P47" sqref="P47"/>
      <pageMargins left="0.74803149606299213" right="0.74803149606299213" top="0.98425196850393704" bottom="0.98425196850393704" header="0.51181102362204722" footer="0.51181102362204722"/>
      <pageSetup paperSize="8" scale="44" orientation="portrait" r:id="rId6"/>
      <headerFooter alignWithMargins="0">
        <oddFooter>&amp;LOriginator: bhu6
C346 CFMA APQP/PPAP deliverable status&amp;Cpage &amp;P of &amp;N&amp;RDate issued:18/05/2010
Date revised:12/06/2010</oddFooter>
      </headerFooter>
      <autoFilter ref="B1:O1">
        <filterColumn colId="6">
          <filters>
            <filter val="Wang, Xiaofang (X.)"/>
          </filters>
        </filterColumn>
      </autoFilter>
    </customSheetView>
    <customSheetView guid="{8CE4DEB6-48F6-44DE-ABD3-997416825BA9}" scale="85" fitToPage="1" filter="1" showAutoFilter="1" hiddenColumns="1">
      <selection activeCell="I304" sqref="I304"/>
      <pageMargins left="0.74803149606299213" right="0.74803149606299213" top="0.98425196850393704" bottom="0.98425196850393704" header="0.51181102362204722" footer="0.51181102362204722"/>
      <pageSetup paperSize="8" scale="44" orientation="portrait" r:id="rId7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EESE"/>
          </filters>
        </filterColumn>
      </autoFilter>
    </customSheetView>
    <customSheetView guid="{102436C8-D3C2-4F54-9518-0C44D0C94827}" scale="85" fitToPage="1" filter="1" showAutoFilter="1" hiddenColumns="1">
      <selection activeCell="M101" sqref="M101"/>
      <pageMargins left="0.74803149606299213" right="0.74803149606299213" top="0.98425196850393704" bottom="0.98425196850393704" header="0.51181102362204722" footer="0.51181102362204722"/>
      <pageSetup paperSize="8" scale="44" orientation="portrait" r:id="rId8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Chen, Xin(X.)"/>
          </filters>
        </filterColumn>
      </autoFilter>
    </customSheetView>
    <customSheetView guid="{F42D9BC7-3626-4EF0-B81D-5EB03F5B953E}" scale="85" fitToPage="1" filter="1" showAutoFilter="1" hiddenColumns="1">
      <selection activeCell="N308" sqref="N308"/>
      <pageMargins left="0.74803149606299213" right="0.74803149606299213" top="0.98425196850393704" bottom="0.98425196850393704" header="0.51181102362204722" footer="0.51181102362204722"/>
      <pageSetup paperSize="8" scale="44" orientation="portrait" r:id="rId9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BIW"/>
          </filters>
        </filterColumn>
        <filterColumn colId="9">
          <filters blank="1"/>
        </filterColumn>
        <filterColumn colId="12">
          <filters blank="1"/>
        </filterColumn>
      </autoFilter>
    </customSheetView>
    <customSheetView guid="{1883AE81-2E62-4212-B4BC-F15A75884638}" scale="85" fitToPage="1" filter="1" showAutoFilter="1">
      <selection activeCell="O14" sqref="O14"/>
      <pageMargins left="0.74803149606299213" right="0.74803149606299213" top="0.98425196850393704" bottom="0.98425196850393704" header="0.51181102362204722" footer="0.51181102362204722"/>
      <pageSetup paperSize="8" scale="44" orientation="portrait" r:id="rId10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BET"/>
          </filters>
        </filterColumn>
        <filterColumn colId="6">
          <filters>
            <filter val="Liu, Hong (H.)"/>
          </filters>
        </filterColumn>
      </autoFilter>
    </customSheetView>
    <customSheetView guid="{27544378-831A-4886-9942-A4C2951A7A6D}" fitToPage="1" filter="1" showAutoFilter="1">
      <selection activeCell="K309" sqref="K309"/>
      <pageMargins left="0.74803149606299213" right="0.74803149606299213" top="0.98425196850393704" bottom="0.98425196850393704" header="0.51181102362204722" footer="0.51181102362204722"/>
      <pageSetup paperSize="8" scale="44" orientation="portrait" r:id="rId11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Liu, Zhi (Z.)"/>
          </filters>
        </filterColumn>
      </autoFilter>
    </customSheetView>
    <customSheetView guid="{57610D21-3302-448F-8CC0-8CF91523B3DE}" scale="85" fitToPage="1" showAutoFilter="1" hiddenColumns="1" topLeftCell="A143">
      <selection activeCell="I147" sqref="I147"/>
      <pageMargins left="0.74803149606299213" right="0.74803149606299213" top="0.98425196850393704" bottom="0.98425196850393704" header="0.51181102362204722" footer="0.51181102362204722"/>
      <pageSetup paperSize="8" scale="44" orientation="portrait" r:id="rId12"/>
      <headerFooter alignWithMargins="0">
        <oddFooter>&amp;LOriginator: bhu6
C346 CFMA APQP/PPAP deliverable status&amp;Cpage &amp;P of &amp;N&amp;RDate issued:18/05/2010
Date revised:12/06/2010</oddFooter>
      </headerFooter>
      <autoFilter ref="B1:D1"/>
    </customSheetView>
    <customSheetView guid="{FDFE6298-6423-4655-B7EE-5747DE0C7D7A}" fitToPage="1" filter="1" showAutoFilter="1" hiddenColumns="1">
      <pane xSplit="7" ySplit="3" topLeftCell="J4" activePane="bottomRight" state="frozen"/>
      <selection pane="bottomRight" activeCell="N92" sqref="N92"/>
      <pageMargins left="0.74803149606299213" right="0.74803149606299213" top="0.98425196850393704" bottom="0.98425196850393704" header="0.51181102362204722" footer="0.51181102362204722"/>
      <pageSetup paperSize="8" scale="44" orientation="portrait" r:id="rId13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BIT"/>
          </filters>
        </filterColumn>
        <filterColumn colId="6">
          <filters>
            <filter val="Fan, Jing"/>
          </filters>
        </filterColumn>
      </autoFilter>
    </customSheetView>
    <customSheetView guid="{4222FC5E-2067-4D4D-BBF8-0FC92CE4C177}" scale="85" fitToPage="1" filter="1" showAutoFilter="1" hiddenColumns="1">
      <pane xSplit="7" ySplit="3" topLeftCell="H5" activePane="bottomRight" state="frozen"/>
      <selection pane="bottomRight" activeCell="N303" sqref="N303"/>
      <pageMargins left="0.74803149606299213" right="0.74803149606299213" top="0.98425196850393704" bottom="0.98425196850393704" header="0.51181102362204722" footer="0.51181102362204722"/>
      <pageSetup paperSize="8" scale="44" orientation="portrait" r:id="rId14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BET"/>
          </filters>
        </filterColumn>
        <filterColumn colId="6">
          <filters>
            <filter val="Shao, Chuanli (C.)"/>
            <filter val="Tan, Yunfeng (Y.)"/>
          </filters>
        </filterColumn>
      </autoFilter>
    </customSheetView>
    <customSheetView guid="{1593D3FE-DA79-4A7D-A59C-C084E60B0FEE}" scale="85" fitToPage="1" filter="1" showAutoFilter="1">
      <pane xSplit="7" ySplit="3" topLeftCell="H4" activePane="bottomRight" state="frozen"/>
      <selection pane="bottomRight" activeCell="M301" sqref="M301"/>
      <pageMargins left="0.74803149606299213" right="0.74803149606299213" top="0.98425196850393704" bottom="0.98425196850393704" header="0.51181102362204722" footer="0.51181102362204722"/>
      <pageSetup paperSize="8" scale="44" orientation="portrait" r:id="rId15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6">
          <filters>
            <filter val="Kang, Hui"/>
            <filter val="Wu, You (Y.)"/>
          </filters>
        </filterColumn>
      </autoFilter>
    </customSheetView>
    <customSheetView guid="{8B11D65A-6F13-48BB-A7A2-926537638197}" scale="75" fitToPage="1" filter="1" showAutoFilter="1">
      <pane xSplit="10" ySplit="213" topLeftCell="AB262" activePane="bottomRight" state="frozen"/>
      <selection pane="bottomRight" activeCell="AB292" sqref="AB292"/>
      <pageMargins left="0.74803149606299213" right="0.74803149606299213" top="0.98425196850393704" bottom="0.98425196850393704" header="0.51181102362204722" footer="0.51181102362204722"/>
      <pageSetup paperSize="8" scale="44" orientation="portrait" r:id="rId16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PT"/>
          </filters>
        </filterColumn>
        <filterColumn colId="9">
          <filters>
            <filter val="Y"/>
          </filters>
        </filterColumn>
        <filterColumn colId="12">
          <filters blank="1"/>
        </filterColumn>
      </autoFilter>
    </customSheetView>
    <customSheetView guid="{7C0BE44D-00FB-4B60-A09A-6DA5D39BCCE5}" scale="75" fitToPage="1" filter="1" showAutoFilter="1">
      <pane ySplit="129" topLeftCell="A131" activePane="bottomLeft" state="frozen"/>
      <selection pane="bottomLeft" activeCell="N156" sqref="N156"/>
      <pageMargins left="0.74803149606299213" right="0.74803149606299213" top="0.98425196850393704" bottom="0.98425196850393704" header="0.51181102362204722" footer="0.51181102362204722"/>
      <pageSetup paperSize="8" scale="44" orientation="portrait" r:id="rId17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CHS"/>
          </filters>
        </filterColumn>
        <filterColumn colId="6">
          <filters>
            <filter val="Yu, Bo (B.)"/>
          </filters>
        </filterColumn>
      </autoFilter>
    </customSheetView>
    <customSheetView guid="{1080F554-2C41-4325-BAB9-482A4EAE03D5}" scale="85" fitToPage="1" showAutoFilter="1" hiddenColumns="1">
      <pane xSplit="7" ySplit="3" topLeftCell="H25" activePane="bottomRight" state="frozen"/>
      <selection pane="bottomRight" activeCell="E156" sqref="E156"/>
      <pageMargins left="0.74803149606299213" right="0.74803149606299213" top="0.98425196850393704" bottom="0.98425196850393704" header="0.51181102362204722" footer="0.51181102362204722"/>
      <pageSetup paperSize="8" scale="44" orientation="portrait" r:id="rId18"/>
      <headerFooter alignWithMargins="0">
        <oddFooter>&amp;LOriginator: bhu6
C346 CFMA APQP/PPAP deliverable status&amp;Cpage &amp;P of &amp;N&amp;RDate issued:18/05/2010
Date revised:12/06/2010</oddFooter>
      </headerFooter>
      <autoFilter ref="B1:AC1"/>
    </customSheetView>
    <customSheetView guid="{0716F27F-0094-4635-8D94-F36E4B3D44EE}" scale="85" fitToPage="1" filter="1" showAutoFilter="1" hiddenColumns="1">
      <pane xSplit="7" ySplit="3" topLeftCell="H5" activePane="bottomRight" state="frozen"/>
      <selection pane="bottomRight" activeCell="M185" sqref="M185"/>
      <pageMargins left="0.74803149606299213" right="0.74803149606299213" top="0.98425196850393704" bottom="0.98425196850393704" header="0.51181102362204722" footer="0.51181102362204722"/>
      <pageSetup paperSize="0" orientation="portrait" horizontalDpi="0" verticalDpi="0" copies="0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EESE"/>
          </filters>
        </filterColumn>
      </autoFilter>
    </customSheetView>
    <customSheetView guid="{B190ADD0-CD32-4427-B818-242A1327112E}" scale="70" fitToPage="1" filter="1" showAutoFilter="1">
      <pane xSplit="10" ySplit="180" topLeftCell="K182" activePane="bottomRight" state="frozen"/>
      <selection pane="bottomRight" activeCell="K223" sqref="K223"/>
      <pageMargins left="0.74803149606299213" right="0.74803149606299213" top="0.98425196850393704" bottom="0.98425196850393704" header="0.51181102362204722" footer="0.51181102362204722"/>
      <pageSetup paperSize="8" scale="44" orientation="portrait" r:id="rId19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PT"/>
          </filters>
        </filterColumn>
        <filterColumn colId="6">
          <filters>
            <filter val="Liu，Cong"/>
          </filters>
        </filterColumn>
      </autoFilter>
    </customSheetView>
    <customSheetView guid="{D02274B1-9811-430B-B36B-E2E89630C56A}" scale="75" fitToPage="1" filter="1" showAutoFilter="1">
      <pane xSplit="10" ySplit="86" topLeftCell="K197" activePane="bottomRight" state="frozen"/>
      <selection pane="bottomRight" activeCell="M201" sqref="M201"/>
      <pageMargins left="0.74803149606299213" right="0.74803149606299213" top="0.98425196850393704" bottom="0.98425196850393704" header="0.51181102362204722" footer="0.51181102362204722"/>
      <pageSetup paperSize="8" scale="44" orientation="portrait" r:id="rId20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EESE"/>
          </filters>
        </filterColumn>
      </autoFilter>
    </customSheetView>
    <customSheetView guid="{08FF19F0-728B-45AB-8CE3-C1536BE0BBFF}" scale="75" fitToPage="1" filter="1" showAutoFilter="1">
      <pane xSplit="10" ySplit="86" topLeftCell="K159" activePane="bottomRight" state="frozen"/>
      <selection pane="bottomRight" activeCell="M161" sqref="M161"/>
      <pageMargins left="0.74803149606299213" right="0.74803149606299213" top="0.98425196850393704" bottom="0.98425196850393704" header="0.51181102362204722" footer="0.51181102362204722"/>
      <pageSetup paperSize="8" scale="44" orientation="portrait" r:id="rId21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CHS"/>
          </filters>
        </filterColumn>
      </autoFilter>
    </customSheetView>
    <customSheetView guid="{2278D2F3-F412-4F1E-BA38-D74881952D2B}" scale="85" fitToPage="1" filter="1" showAutoFilter="1" hiddenColumns="1">
      <pane xSplit="7" ySplit="3" topLeftCell="I4" activePane="bottomRight" state="frozen"/>
      <selection pane="bottomRight" activeCell="N283" sqref="N283"/>
      <pageMargins left="0.74803149606299213" right="0.74803149606299213" top="0.98425196850393704" bottom="0.98425196850393704" header="0.51181102362204722" footer="0.51181102362204722"/>
      <pageSetup paperSize="8" scale="44" orientation="portrait" r:id="rId22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6">
          <filters>
            <filter val="Wang, YuLong (Jade.)"/>
          </filters>
        </filterColumn>
      </autoFilter>
    </customSheetView>
    <customSheetView guid="{46F0EFEE-089A-476D-BC03-AADC5FE26BA3}" scale="85" fitToPage="1" filter="1" showAutoFilter="1">
      <pane xSplit="6" ySplit="126" topLeftCell="G128" activePane="bottomRight" state="frozen"/>
      <selection pane="bottomRight" activeCell="L184" sqref="L184"/>
      <pageMargins left="0.74803149606299213" right="0.74803149606299213" top="0.98425196850393704" bottom="0.98425196850393704" header="0.51181102362204722" footer="0.51181102362204722"/>
      <pageSetup paperSize="8" scale="44" orientation="portrait" r:id="rId23"/>
      <headerFooter alignWithMargins="0">
        <oddFooter>&amp;LOriginator: bhu6
C346 CFMA APQP/PPAP deliverable status&amp;Cpage &amp;P of &amp;N&amp;RDate issued:18/05/2010
Date revised:12/06/2010</oddFooter>
      </headerFooter>
      <autoFilter ref="B1:O1">
        <filterColumn colId="2">
          <filters>
            <filter val="EESE"/>
          </filters>
        </filterColumn>
      </autoFilter>
    </customSheetView>
    <customSheetView guid="{B19D538E-40CD-4807-A9D4-C19AE02789AC}" scale="85" fitToPage="1" filter="1" showAutoFilter="1" topLeftCell="P134">
      <selection activeCell="S50" sqref="S50"/>
      <pageMargins left="0.74803149606299213" right="0.74803149606299213" top="0.98425196850393704" bottom="0.98425196850393704" header="0.51181102362204722" footer="0.51181102362204722"/>
      <pageSetup paperSize="8" scale="44" orientation="portrait" r:id="rId24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6">
          <filters>
            <filter val="Sun, Jinlong"/>
          </filters>
        </filterColumn>
      </autoFilter>
    </customSheetView>
    <customSheetView guid="{E7585B77-E60E-4A58-9027-399C641ECA13}" scale="70" fitToPage="1" filter="1" showAutoFilter="1" topLeftCell="O65">
      <selection activeCell="Q74" sqref="Q74"/>
      <pageMargins left="0.74803149606299213" right="0.74803149606299213" top="0.98425196850393704" bottom="0.98425196850393704" header="0.51181102362204722" footer="0.51181102362204722"/>
      <pageSetup paperSize="8" scale="31" orientation="portrait" r:id="rId25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6">
          <filters>
            <filter val="Bai,Liying"/>
          </filters>
        </filterColumn>
      </autoFilter>
    </customSheetView>
    <customSheetView guid="{2BBCC236-F43A-4255-B16C-31FBB069B80B}" scale="85" fitToPage="1" filter="1" showAutoFilter="1">
      <pane xSplit="9" ySplit="3" topLeftCell="U4" activePane="bottomRight" state="frozen"/>
      <selection pane="bottomRight" activeCell="V70" sqref="V70"/>
      <pageMargins left="0.74803149606299213" right="0.74803149606299213" top="0.98425196850393704" bottom="0.98425196850393704" header="0.51181102362204722" footer="0.51181102362204722"/>
      <pageSetup paperSize="8" scale="44" orientation="portrait" r:id="rId26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6">
          <filters>
            <filter val="Huang,Taifeng"/>
          </filters>
        </filterColumn>
      </autoFilter>
    </customSheetView>
    <customSheetView guid="{965FCFB1-8F69-480D-A61C-A13AC5DEDCF0}" scale="85" fitToPage="1" filter="1" showAutoFilter="1" showRuler="0">
      <pane xSplit="9" ySplit="132" topLeftCell="X143" activePane="bottomRight" state="frozen"/>
      <selection pane="bottomRight" activeCell="D40" sqref="D40"/>
      <pageMargins left="0.74803149606299213" right="0.74803149606299213" top="0.98425196850393704" bottom="0.98425196850393704" header="0.51181102362204722" footer="0.51181102362204722"/>
      <pageSetup paperSize="8" scale="31" orientation="portrait" r:id="rId27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2">
          <filters>
            <filter val="BIT"/>
          </filters>
        </filterColumn>
        <filterColumn colId="6">
          <filters>
            <filter val="Bai,Liying"/>
          </filters>
        </filterColumn>
      </autoFilter>
    </customSheetView>
    <customSheetView guid="{1BA5DB53-4AFD-4553-AC6A-56D9DC698121}" scale="75" fitToPage="1" filter="1" showAutoFilter="1">
      <pane xSplit="10" ySplit="69" topLeftCell="U71" activePane="bottomRight" state="frozen"/>
      <selection pane="bottomRight" activeCell="X136" sqref="X136"/>
      <pageMargins left="0.74803149606299213" right="0.74803149606299213" top="0.98425196850393704" bottom="0.98425196850393704" header="0.51181102362204722" footer="0.51181102362204722"/>
      <pageSetup paperSize="8" scale="44" orientation="portrait" r:id="rId28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6">
          <filters>
            <filter val="Wang, Yifei"/>
          </filters>
        </filterColumn>
      </autoFilter>
    </customSheetView>
    <customSheetView guid="{95C5141A-68C6-49B8-BC27-C0C4AF3285F7}" scale="85" fitToPage="1" filter="1" showAutoFilter="1" hiddenColumns="1" showRuler="0" topLeftCell="R1">
      <selection activeCell="X102" sqref="X102"/>
      <pageMargins left="0.74803149606299213" right="0.74803149606299213" top="0.98425196850393704" bottom="0.98425196850393704" header="0.51181102362204722" footer="0.51181102362204722"/>
      <pageSetup paperSize="8" scale="44" orientation="portrait" r:id="rId29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6">
          <filters>
            <filter val="Pan, Zhaoliang"/>
          </filters>
        </filterColumn>
      </autoFilter>
    </customSheetView>
    <customSheetView guid="{B3824387-AC50-4E19-BC12-EE3069A4B06A}" scale="85" fitToPage="1" showAutoFilter="1" hiddenColumns="1">
      <pane xSplit="7" ySplit="3" topLeftCell="H4" activePane="bottomRight" state="frozen"/>
      <selection pane="bottomRight" activeCell="E4" sqref="E4"/>
      <pageMargins left="0.74803149606299213" right="0.74803149606299213" top="0.98425196850393704" bottom="0.98425196850393704" header="0.51181102362204722" footer="0.51181102362204722"/>
      <pageSetup paperSize="8" scale="44" orientation="portrait" r:id="rId30"/>
      <headerFooter alignWithMargins="0">
        <oddFooter>&amp;LOriginator: bhu6
C346 CFMA APQP/PPAP deliverable status&amp;Cpage &amp;P of &amp;N&amp;RDate issued:18/05/2010
Date revised:12/06/2010</oddFooter>
      </headerFooter>
      <autoFilter ref="B1:Z1"/>
    </customSheetView>
    <customSheetView guid="{D8ACE7AF-9773-4905-B01E-794CA9F2E4C3}" scale="75" fitToPage="1" showAutoFilter="1" showRuler="0" topLeftCell="N1">
      <selection activeCell="U21" sqref="U21"/>
      <pageMargins left="0.74803149606299213" right="0.74803149606299213" top="0.98425196850393704" bottom="0.98425196850393704" header="0.51181102362204722" footer="0.51181102362204722"/>
      <pageSetup paperSize="8" scale="44" orientation="portrait" r:id="rId31"/>
      <headerFooter alignWithMargins="0">
        <oddFooter>&amp;LOriginator: bhu6
C346 CFMA APQP/PPAP deliverable status&amp;Cpage &amp;P of &amp;N&amp;RDate issued:18/05/2010
Date revised:12/06/2010</oddFooter>
      </headerFooter>
      <autoFilter ref="B1:AH1"/>
    </customSheetView>
    <customSheetView guid="{F8B8074F-754B-46F7-8721-7B4ECD3152DD}" scale="75" fitToPage="1" filter="1" showAutoFilter="1" showRuler="0">
      <pane xSplit="7" ySplit="31" topLeftCell="I34" activePane="bottomRight" state="frozen"/>
      <selection pane="bottomRight" activeCell="U26" sqref="U26"/>
      <pageMargins left="0.74803149606299213" right="0.74803149606299213" top="0.98425196850393704" bottom="0.98425196850393704" header="0.51181102362204722" footer="0.51181102362204722"/>
      <pageSetup paperSize="8" scale="44" orientation="portrait" r:id="rId32"/>
      <headerFooter alignWithMargins="0">
        <oddFooter>&amp;LOriginator: bhu6
C346 CFMA APQP/PPAP deliverable status&amp;Cpage &amp;P of &amp;N&amp;RDate issued:18/05/2010
Date revised:12/06/2010</oddFooter>
      </headerFooter>
      <autoFilter ref="B1:AH1">
        <filterColumn colId="2">
          <filters>
            <filter val="BET"/>
          </filters>
        </filterColumn>
      </autoFilter>
    </customSheetView>
    <customSheetView guid="{07774F75-9381-4403-A786-E4AB72E4EE7C}" scale="75" fitToPage="1" filter="1" showAutoFilter="1" showRuler="0">
      <pane xSplit="7" ySplit="18" topLeftCell="P20" activePane="bottomRight" state="frozen"/>
      <selection pane="bottomRight" activeCell="W153" sqref="W153"/>
      <pageMargins left="0.74803149606299213" right="0.74803149606299213" top="0.98425196850393704" bottom="0.98425196850393704" header="0.51181102362204722" footer="0.51181102362204722"/>
      <pageSetup paperSize="8" scale="44" orientation="portrait" r:id="rId33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2">
          <filters>
            <filter val="EESE"/>
          </filters>
        </filterColumn>
        <filterColumn colId="6">
          <filters>
            <filter val="Lai,Xingqiao"/>
          </filters>
        </filterColumn>
      </autoFilter>
    </customSheetView>
    <customSheetView guid="{ECEB8F8C-BA2A-4AE3-99FB-4F4BB129FE39}" scale="85" fitToPage="1" filter="1" showAutoFilter="1" showRuler="0" topLeftCell="I1">
      <pane ySplit="37" topLeftCell="A39" activePane="bottomLeft" state="frozen"/>
      <selection pane="bottomLeft" activeCell="Q66" sqref="Q66"/>
      <pageMargins left="0.74803149606299213" right="0.74803149606299213" top="0.98425196850393704" bottom="0.98425196850393704" header="0.51181102362204722" footer="0.51181102362204722"/>
      <pageSetup paperSize="8" scale="44" orientation="portrait" r:id="rId34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6">
          <filters>
            <filter val="Huang,Bo"/>
          </filters>
        </filterColumn>
      </autoFilter>
    </customSheetView>
    <customSheetView guid="{B3DA208E-C0DB-471C-B72F-C98EF8F18476}" scale="75" fitToPage="1" filter="1" showAutoFilter="1" showRuler="0">
      <pane xSplit="7" ySplit="128" topLeftCell="R130" activePane="bottomRight" state="frozen"/>
      <selection pane="bottomRight" activeCell="T108" sqref="T108"/>
      <pageMargins left="0.74803149606299213" right="0.74803149606299213" top="0.98425196850393704" bottom="0.98425196850393704" header="0.51181102362204722" footer="0.51181102362204722"/>
      <pageSetup paperSize="8" scale="44" orientation="portrait" r:id="rId35"/>
      <headerFooter alignWithMargins="0">
        <oddFooter>&amp;LOriginator: bhu6
C346 CFMA APQP/PPAP deliverable status&amp;Cpage &amp;P of &amp;N&amp;RDate issued:18/05/2010
Date revised:12/06/2010</oddFooter>
      </headerFooter>
      <autoFilter ref="B1:AG1">
        <filterColumn colId="6">
          <filters>
            <filter val="Li Yu"/>
          </filters>
        </filterColumn>
      </autoFilter>
    </customSheetView>
    <customSheetView guid="{9C2BC065-7B0A-4858-9A44-CB8BB21649BA}" scale="75" fitToPage="1" filter="1" showAutoFilter="1" showRuler="0">
      <pane xSplit="7" ySplit="20" topLeftCell="O22" activePane="bottomRight" state="frozen"/>
      <selection pane="bottomRight" activeCell="R140" sqref="R140"/>
      <pageMargins left="0.74803149606299213" right="0.74803149606299213" top="0.98425196850393704" bottom="0.98425196850393704" header="0.51181102362204722" footer="0.51181102362204722"/>
      <pageSetup paperSize="8" scale="44" orientation="portrait" r:id="rId36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6">
          <filters>
            <filter val="Song,Liangliang"/>
          </filters>
        </filterColumn>
      </autoFilter>
    </customSheetView>
    <customSheetView guid="{0659ED4E-064F-4B4E-9F47-F845D4931DF4}" scale="75" fitToPage="1" filter="1" showAutoFilter="1" showRuler="0">
      <pane xSplit="7" ySplit="52" topLeftCell="U54" activePane="bottomRight" state="frozen"/>
      <selection pane="bottomRight" activeCell="W143" sqref="W143"/>
      <pageMargins left="0.74803149606299213" right="0.74803149606299213" top="0.98425196850393704" bottom="0.98425196850393704" header="0.51181102362204722" footer="0.51181102362204722"/>
      <pageSetup paperSize="8" scale="44" orientation="portrait" r:id="rId37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2">
          <filters>
            <filter val="BET"/>
          </filters>
        </filterColumn>
        <filterColumn colId="6">
          <filters>
            <filter val="Liu, Zhi"/>
          </filters>
        </filterColumn>
      </autoFilter>
    </customSheetView>
    <customSheetView guid="{1B7680C9-33DE-4554-AD22-645D9D206BE5}" scale="85" fitToPage="1" showAutoFilter="1" hiddenColumns="1" showRuler="0">
      <pane xSplit="6" ySplit="3" topLeftCell="G103" activePane="bottomRight" state="frozen"/>
      <selection pane="bottomRight" activeCell="J144" sqref="J144"/>
      <pageMargins left="0.74803149606299213" right="0.74803149606299213" top="0.98425196850393704" bottom="0.98425196850393704" header="0.51181102362204722" footer="0.51181102362204722"/>
      <pageSetup paperSize="8" scale="44" orientation="portrait" r:id="rId38"/>
      <headerFooter alignWithMargins="0">
        <oddFooter>&amp;LOriginator: bhu6
C346 CFMA APQP/PPAP deliverable status&amp;Cpage &amp;P of &amp;N&amp;RDate issued:18/05/2010
Date revised:12/06/2010</oddFooter>
      </headerFooter>
      <autoFilter ref="B1:AG1"/>
    </customSheetView>
    <customSheetView guid="{6224C058-EA0D-497E-8D91-D5C455509439}" scale="85" fitToPage="1" filter="1" showAutoFilter="1" hiddenColumns="1">
      <pane xSplit="8" ySplit="64" topLeftCell="I66" activePane="bottomRight" state="frozen"/>
      <selection pane="bottomRight" activeCell="L62" sqref="L62"/>
      <pageMargins left="0.74803149606299213" right="0.74803149606299213" top="0.98425196850393704" bottom="0.98425196850393704" header="0.51181102362204722" footer="0.51181102362204722"/>
      <pageSetup paperSize="8" scale="44" orientation="portrait" r:id="rId39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2">
          <filters>
            <filter val="PT"/>
          </filters>
        </filterColumn>
        <filterColumn colId="6">
          <filters>
            <filter val="Lan,Xiaohui"/>
          </filters>
        </filterColumn>
      </autoFilter>
    </customSheetView>
    <customSheetView guid="{9554EF5E-4F68-436B-8DD2-3DA3BE55C062}" scale="75" fitToPage="1" filter="1" showAutoFilter="1" showRuler="0">
      <pane xSplit="7" ySplit="104" topLeftCell="X106" activePane="bottomRight" state="frozen"/>
      <selection pane="bottomRight" activeCell="Q175" sqref="Q175"/>
      <pageMargins left="0.74803149606299213" right="0.74803149606299213" top="0.98425196850393704" bottom="0.98425196850393704" header="0.51181102362204722" footer="0.51181102362204722"/>
      <pageSetup paperSize="8" scale="44" orientation="portrait" r:id="rId40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6">
          <filters>
            <filter val="Zeng, Qiang"/>
          </filters>
        </filterColumn>
      </autoFilter>
    </customSheetView>
    <customSheetView guid="{2C869841-1871-4ECB-AC99-A278C1018400}" scale="75" fitToPage="1" filter="1" showAutoFilter="1" showRuler="0">
      <pane xSplit="7" ySplit="15" topLeftCell="U64" activePane="bottomRight" state="frozen"/>
      <selection pane="bottomRight" activeCell="S173" sqref="S173"/>
      <pageMargins left="0.74803149606299213" right="0.74803149606299213" top="0.98425196850393704" bottom="0.98425196850393704" header="0.51181102362204722" footer="0.51181102362204722"/>
      <pageSetup paperSize="8" scale="44" orientation="portrait" r:id="rId41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6">
          <filters>
            <filter val="Pan, Zhaoliang"/>
          </filters>
        </filterColumn>
      </autoFilter>
    </customSheetView>
    <customSheetView guid="{A5184950-335C-4B1F-BB5B-757CEFFBC274}" scale="75" fitToPage="1" filter="1" showAutoFilter="1" showRuler="0">
      <pane xSplit="7" ySplit="40" topLeftCell="W42" activePane="bottomRight" state="frozen"/>
      <selection pane="bottomRight" activeCell="Y57" sqref="Y57"/>
      <pageMargins left="0.74803149606299213" right="0.74803149606299213" top="0.98425196850393704" bottom="0.98425196850393704" header="0.51181102362204722" footer="0.51181102362204722"/>
      <pageSetup paperSize="8" scale="44" orientation="portrait" r:id="rId42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5">
          <filters>
            <filter val="Pu,Yaping"/>
          </filters>
        </filterColumn>
      </autoFilter>
    </customSheetView>
    <customSheetView guid="{B48C3A1D-ABA4-484A-8EE1-3CDCA5C87555}" scale="75" fitToPage="1" filter="1" showAutoFilter="1" showRuler="0">
      <pane xSplit="7" ySplit="168" topLeftCell="M170" activePane="bottomRight" state="frozen"/>
      <selection pane="bottomRight" activeCell="O177" sqref="O177"/>
      <pageMargins left="0.74803149606299213" right="0.74803149606299213" top="0.98425196850393704" bottom="0.98425196850393704" header="0.51181102362204722" footer="0.51181102362204722"/>
      <pageSetup paperSize="8" scale="44" orientation="portrait" r:id="rId43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5">
          <filters>
            <filter val="Chen, Yi"/>
          </filters>
        </filterColumn>
      </autoFilter>
    </customSheetView>
    <customSheetView guid="{BE980DDF-586F-4A4D-B137-7AC1BC873FE5}" scale="75" fitToPage="1" filter="1" showAutoFilter="1" showRuler="0" topLeftCell="N1">
      <selection activeCell="U93" sqref="U93"/>
      <pageMargins left="0.74803149606299213" right="0.74803149606299213" top="0.98425196850393704" bottom="0.98425196850393704" header="0.51181102362204722" footer="0.51181102362204722"/>
      <pageSetup paperSize="8" scale="44" orientation="portrait" r:id="rId44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BIT"/>
          </filters>
        </filterColumn>
        <filterColumn colId="5">
          <filters>
            <filter val="Sun, Jinlong"/>
          </filters>
        </filterColumn>
      </autoFilter>
    </customSheetView>
    <customSheetView guid="{CC560EDD-61F7-4361-9911-0C285B0BFEB0}" scale="75" fitToPage="1" filter="1" showAutoFilter="1" showRuler="0">
      <pane xSplit="7" ySplit="168" topLeftCell="W170" activePane="bottomRight" state="frozen"/>
      <selection pane="bottomRight" activeCell="AA18" sqref="AA18"/>
      <pageMargins left="0.74803149606299213" right="0.74803149606299213" top="0.98425196850393704" bottom="0.98425196850393704" header="0.51181102362204722" footer="0.51181102362204722"/>
      <pageSetup paperSize="8" scale="44" orientation="portrait" r:id="rId45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PT"/>
          </filters>
        </filterColumn>
        <filterColumn colId="5">
          <filters>
            <filter val="Kuang,Hanlin"/>
          </filters>
        </filterColumn>
      </autoFilter>
    </customSheetView>
    <customSheetView guid="{02F3F4DF-0E40-4E3B-B4E3-65B62AD3C412}" scale="75" fitToPage="1" filter="1" showAutoFilter="1" showRuler="0">
      <pane xSplit="7" ySplit="78" topLeftCell="H80" activePane="bottomRight" state="frozen"/>
      <selection pane="bottomRight" activeCell="P3" sqref="P3"/>
      <pageMargins left="0.74803149606299213" right="0.74803149606299213" top="0.98425196850393704" bottom="0.98425196850393704" header="0.51181102362204722" footer="0.51181102362204722"/>
      <pageSetup paperSize="8" scale="44" orientation="portrait" r:id="rId46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Jiang, Yan"/>
          </filters>
        </filterColumn>
      </autoFilter>
    </customSheetView>
    <customSheetView guid="{C407ABDF-6C6C-40F2-AE00-7EB4786E2BDF}" scale="75" fitToPage="1" filter="1" showAutoFilter="1" hiddenColumns="1" showRuler="0">
      <pane xSplit="7" ySplit="4" topLeftCell="P6" activePane="bottomRight" state="frozen"/>
      <selection pane="bottomRight" activeCell="AA115" sqref="AA115"/>
      <pageMargins left="0.74803149606299213" right="0.74803149606299213" top="0.98425196850393704" bottom="0.98425196850393704" header="0.51181102362204722" footer="0.51181102362204722"/>
      <pageSetup paperSize="8" scale="44" orientation="portrait" r:id="rId47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BET"/>
          </filters>
        </filterColumn>
        <filterColumn colId="5">
          <filters>
            <filter val="Tan, Yunfeng"/>
          </filters>
        </filterColumn>
      </autoFilter>
    </customSheetView>
    <customSheetView guid="{B12AF53E-5A71-4685-B5CF-4EEB7FBDD724}" fitToPage="1" filter="1" showAutoFilter="1" showRuler="0">
      <pane xSplit="7" ySplit="3" topLeftCell="O4" activePane="bottomRight" state="frozen"/>
      <selection pane="bottomRight" activeCell="L173" sqref="L173"/>
      <pageMargins left="0.74803149606299213" right="0.74803149606299213" top="0.98425196850393704" bottom="0.98425196850393704" header="0.51181102362204722" footer="0.51181102362204722"/>
      <pageSetup paperSize="8" scale="44" orientation="portrait" r:id="rId48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Yu,Bo"/>
          </filters>
        </filterColumn>
      </autoFilter>
    </customSheetView>
    <customSheetView guid="{DE5D6D46-F9CF-4723-A8AF-01068139D42F}" scale="75" fitToPage="1" filter="1" showAutoFilter="1" showRuler="0" topLeftCell="C1">
      <pane ySplit="3" topLeftCell="A4" activePane="bottomLeft" state="frozen"/>
      <selection pane="bottomLeft" activeCell="O11" sqref="O11"/>
      <pageMargins left="0.74803149606299213" right="0.74803149606299213" top="0.98425196850393704" bottom="0.98425196850393704" header="0.51181102362204722" footer="0.51181102362204722"/>
      <pageSetup paperSize="8" scale="44" orientation="portrait" r:id="rId49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BIT"/>
          </filters>
        </filterColumn>
      </autoFilter>
    </customSheetView>
    <customSheetView guid="{B6C95F11-447D-4FB4-BCA3-8976CC1ADD7D}" scale="75" fitToPage="1" filter="1" showAutoFilter="1" hiddenColumns="1" showRuler="0">
      <pane xSplit="7" ySplit="5" topLeftCell="H7" activePane="bottomRight" state="frozen"/>
      <selection pane="bottomRight" activeCell="P113" sqref="P113"/>
      <pageMargins left="0.74803149606299213" right="0.74803149606299213" top="0.98425196850393704" bottom="0.98425196850393704" header="0.51181102362204722" footer="0.51181102362204722"/>
      <pageSetup paperSize="8" scale="44" orientation="portrait" r:id="rId50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Zhong, Yong"/>
          </filters>
        </filterColumn>
      </autoFilter>
    </customSheetView>
    <customSheetView guid="{5A7792BE-6929-4CD5-8FE0-4B7F27627E17}" scale="75" fitToPage="1" filter="1" showAutoFilter="1" showRuler="0">
      <pane ySplit="3" topLeftCell="A4" activePane="bottomLeft" state="frozen"/>
      <selection pane="bottomLeft" activeCell="R20" sqref="R20"/>
      <pageMargins left="0.74803149606299213" right="0.74803149606299213" top="0.98425196850393704" bottom="0.98425196850393704" header="0.51181102362204722" footer="0.51181102362204722"/>
      <pageSetup paperSize="8" scale="44" orientation="portrait" r:id="rId51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Xu Lilin"/>
          </filters>
        </filterColumn>
      </autoFilter>
    </customSheetView>
    <customSheetView guid="{DAE8005F-33A4-4F07-B6FE-E52380340C6B}" fitToPage="1" filter="1" showAutoFilter="1" showRuler="0">
      <pane xSplit="7" ySplit="3" topLeftCell="K4" activePane="bottomRight" state="frozen"/>
      <selection pane="bottomRight" activeCell="P153" sqref="P153"/>
      <pageMargins left="0.74803149606299213" right="0.74803149606299213" top="0.98425196850393704" bottom="0.98425196850393704" header="0.51181102362204722" footer="0.51181102362204722"/>
      <pageSetup paperSize="8" scale="44" orientation="portrait" r:id="rId52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Wang, Haiyang"/>
          </filters>
        </filterColumn>
      </autoFilter>
    </customSheetView>
    <customSheetView guid="{6B5B490D-589B-4890-9C6D-73E7D7F6E54D}" scale="75" fitToPage="1" filter="1" showAutoFilter="1" showRuler="0">
      <pane xSplit="7" ySplit="31" topLeftCell="H33" activePane="bottomRight" state="frozen"/>
      <selection pane="bottomRight" activeCell="P186" sqref="P186"/>
      <pageMargins left="0.74803149606299213" right="0.74803149606299213" top="0.98425196850393704" bottom="0.98425196850393704" header="0.51181102362204722" footer="0.51181102362204722"/>
      <pageSetup paperSize="8" scale="44" orientation="portrait" r:id="rId53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Zhang, Linyan"/>
          </filters>
        </filterColumn>
      </autoFilter>
    </customSheetView>
    <customSheetView guid="{C05DB852-B116-4813-BAD1-E1A6BF566648}" scale="75" fitToPage="1" filter="1" showAutoFilter="1" showRuler="0">
      <pane ySplit="59" topLeftCell="A61" activePane="bottomLeft" state="frozen"/>
      <selection pane="bottomLeft" activeCell="P62" sqref="P62"/>
      <pageMargins left="0.74803149606299213" right="0.74803149606299213" top="0.98425196850393704" bottom="0.98425196850393704" header="0.51181102362204722" footer="0.51181102362204722"/>
      <pageSetup paperSize="8" scale="44" orientation="portrait" r:id="rId54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PT"/>
          </filters>
        </filterColumn>
      </autoFilter>
    </customSheetView>
    <customSheetView guid="{212D3223-1888-4681-9D0F-F8DCDB0099DA}" scale="75" fitToPage="1" filter="1" showAutoFilter="1" showRuler="0">
      <pane xSplit="7" ySplit="32" topLeftCell="K34" activePane="bottomRight" state="frozen"/>
      <selection pane="bottomRight" activeCell="L82" sqref="L82"/>
      <pageMargins left="0.74803149606299213" right="0.74803149606299213" top="0.98425196850393704" bottom="0.98425196850393704" header="0.51181102362204722" footer="0.51181102362204722"/>
      <pageSetup paperSize="8" scale="44" orientation="portrait" r:id="rId55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CHS"/>
          </filters>
        </filterColumn>
        <filterColumn colId="5">
          <filters>
            <filter val="Yang,Jian"/>
          </filters>
        </filterColumn>
      </autoFilter>
    </customSheetView>
    <customSheetView guid="{7070A79D-B422-4262-A508-456A0FC8754F}" scale="75" fitToPage="1" showAutoFilter="1" showRuler="0">
      <pane xSplit="7" ySplit="39" topLeftCell="H41" activePane="bottomRight" state="frozen"/>
      <selection pane="bottomRight" activeCell="F6" sqref="F6"/>
      <pageMargins left="0.74803149606299213" right="0.74803149606299213" top="0.98425196850393704" bottom="0.98425196850393704" header="0.51181102362204722" footer="0.51181102362204722"/>
      <pageSetup paperSize="8" scale="44" orientation="portrait" r:id="rId56"/>
      <headerFooter alignWithMargins="0">
        <oddFooter>&amp;LOriginator: bhu6
C346 CFMA APQP/PPAP deliverable status&amp;Cpage &amp;P of &amp;N&amp;RDate issued:18/05/2010
Date revised:12/06/2010</oddFooter>
      </headerFooter>
      <autoFilter ref="B1:AA1"/>
    </customSheetView>
    <customSheetView guid="{36FB9E89-97EF-473B-B022-CDFA64BA3E86}" scale="75" fitToPage="1" filter="1" showAutoFilter="1" hiddenColumns="1" showRuler="0">
      <pane xSplit="7" ySplit="3" topLeftCell="P4" activePane="bottomRight" state="frozen"/>
      <selection pane="bottomRight" activeCell="T143" sqref="T143:AA182"/>
      <pageMargins left="0.74803149606299213" right="0.74803149606299213" top="0.98425196850393704" bottom="0.98425196850393704" header="0.51181102362204722" footer="0.51181102362204722"/>
      <pageSetup paperSize="8" scale="44" orientation="portrait" r:id="rId57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Wei,Zhengbo"/>
          </filters>
        </filterColumn>
      </autoFilter>
    </customSheetView>
    <customSheetView guid="{5141BC47-AAED-4A32-AE94-7903A6D22403}" scale="75" fitToPage="1" showAutoFilter="1" hiddenColumns="1" showRuler="0">
      <pane xSplit="7" ySplit="3" topLeftCell="I4" activePane="bottomRight" state="frozen"/>
      <selection pane="bottomRight" activeCell="C4" sqref="C4"/>
      <pageMargins left="0.74803149606299213" right="0.74803149606299213" top="0.98425196850393704" bottom="0.98425196850393704" header="0.51181102362204722" footer="0.51181102362204722"/>
      <pageSetup paperSize="8" scale="44" orientation="portrait" r:id="rId58"/>
      <headerFooter alignWithMargins="0">
        <oddFooter>&amp;LOriginator: bhu6
C346 CFMA APQP/PPAP deliverable status&amp;Cpage &amp;P of &amp;N&amp;RDate issued:18/05/2010
Date revised:12/06/2010</oddFooter>
      </headerFooter>
      <autoFilter ref="B1:AA1"/>
    </customSheetView>
    <customSheetView guid="{359B5AD4-83B1-45D1-B048-3EB44179C4FC}" scale="75" fitToPage="1" filter="1" showAutoFilter="1" hiddenColumns="1" showRuler="0">
      <pane xSplit="7" ySplit="3" topLeftCell="I4" activePane="bottomRight" state="frozen"/>
      <selection pane="bottomRight" activeCell="M176" sqref="M176"/>
      <pageMargins left="0.74803149606299213" right="0.74803149606299213" top="0.98425196850393704" bottom="0.98425196850393704" header="0.51181102362204722" footer="0.51181102362204722"/>
      <pageSetup paperSize="8" scale="44" orientation="portrait" r:id="rId59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Huang,Taifeng"/>
          </filters>
        </filterColumn>
      </autoFilter>
    </customSheetView>
    <customSheetView guid="{676AD1E8-8D0F-4DCD-92E0-D1421C05C799}" scale="75" fitToPage="1" showAutoFilter="1" showRuler="0">
      <pane xSplit="7" ySplit="3" topLeftCell="H4" activePane="bottomRight" state="frozen"/>
      <selection pane="bottomRight" activeCell="B4" sqref="B4"/>
      <pageMargins left="0.74803149606299213" right="0.74803149606299213" top="0.98425196850393704" bottom="0.98425196850393704" header="0.51181102362204722" footer="0.51181102362204722"/>
      <pageSetup paperSize="8" scale="44" orientation="portrait" r:id="rId60"/>
      <headerFooter alignWithMargins="0">
        <oddFooter>&amp;LOriginator: bhu6
C346 CFMA APQP/PPAP deliverable status&amp;Cpage &amp;P of &amp;N&amp;RDate issued:18/05/2010
Date revised:12/06/2010</oddFooter>
      </headerFooter>
      <autoFilter ref="B1:AA1"/>
    </customSheetView>
    <customSheetView guid="{5FEBB6AE-BF05-409C-A9E9-5190F6305549}" scale="75" fitToPage="1" filter="1" showAutoFilter="1" showRuler="0">
      <pane xSplit="7" ySplit="3" topLeftCell="V109" activePane="bottomRight" state="frozen"/>
      <selection pane="bottomRight" activeCell="AA169" sqref="AA169"/>
      <pageMargins left="0.74803149606299213" right="0.74803149606299213" top="0.98425196850393704" bottom="0.98425196850393704" header="0.51181102362204722" footer="0.51181102362204722"/>
      <pageSetup paperSize="8" scale="44" orientation="portrait" r:id="rId61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PT"/>
          </filters>
        </filterColumn>
      </autoFilter>
    </customSheetView>
    <customSheetView guid="{7A51A127-6967-47F7-8918-2465660FC650}" scale="75" fitToPage="1" filter="1" showAutoFilter="1" hiddenColumns="1" showRuler="0">
      <pane xSplit="7" ySplit="3" topLeftCell="I4" activePane="bottomRight" state="frozen"/>
      <selection pane="bottomRight" activeCell="M9" sqref="M9"/>
      <pageMargins left="0.74803149606299213" right="0.74803149606299213" top="0.98425196850393704" bottom="0.98425196850393704" header="0.51181102362204722" footer="0.51181102362204722"/>
      <pageSetup paperSize="8" scale="44" orientation="portrait" r:id="rId62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BIT"/>
          </filters>
        </filterColumn>
      </autoFilter>
    </customSheetView>
    <customSheetView guid="{067A4360-541D-442A-B76F-4882F7471B79}" scale="75" fitToPage="1" showAutoFilter="1" showRuler="0">
      <pane xSplit="7" ySplit="3" topLeftCell="H37" activePane="bottomRight" state="frozen"/>
      <selection pane="bottomRight" activeCell="Q178" sqref="Q178"/>
      <pageMargins left="0.74803149606299213" right="0.74803149606299213" top="0.98425196850393704" bottom="0.98425196850393704" header="0.51181102362204722" footer="0.51181102362204722"/>
      <pageSetup paperSize="8" scale="44" orientation="portrait" r:id="rId63"/>
      <headerFooter alignWithMargins="0">
        <oddFooter>&amp;LOriginator: bhu6
C346 CFMA APQP/PPAP deliverable status&amp;Cpage &amp;P of &amp;N&amp;RDate issued:18/05/2010
Date revised:12/06/2010</oddFooter>
      </headerFooter>
      <autoFilter ref="B1:AA1"/>
    </customSheetView>
    <customSheetView guid="{E85A24AF-D605-476B-A674-0DDFE3B9B0B2}" scale="75" fitToPage="1" filter="1" showAutoFilter="1" showRuler="0">
      <pane ySplit="59" topLeftCell="A61" activePane="bottomLeft" state="frozen"/>
      <selection pane="bottomLeft" activeCell="P177" sqref="P177"/>
      <pageMargins left="0.74803149606299213" right="0.74803149606299213" top="0.98425196850393704" bottom="0.98425196850393704" header="0.51181102362204722" footer="0.51181102362204722"/>
      <pageSetup paperSize="8" scale="44" orientation="portrait" r:id="rId64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3">
          <filters>
            <filter val="前半轴"/>
          </filters>
        </filterColumn>
      </autoFilter>
    </customSheetView>
    <customSheetView guid="{E69D4B4F-0967-4561-8678-A6BCACEF59CF}" scale="75" fitToPage="1" filter="1" showAutoFilter="1" showRuler="0">
      <pane xSplit="7" ySplit="31" topLeftCell="H33" activePane="bottomRight" state="frozen"/>
      <selection pane="bottomRight" activeCell="O174" sqref="O174"/>
      <pageMargins left="0.74803149606299213" right="0.74803149606299213" top="0.98425196850393704" bottom="0.98425196850393704" header="0.51181102362204722" footer="0.51181102362204722"/>
      <pageSetup paperSize="8" scale="44" orientation="portrait" r:id="rId65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Wang,Yulong"/>
          </filters>
        </filterColumn>
      </autoFilter>
    </customSheetView>
    <customSheetView guid="{23CA9840-DE9B-4F9B-8980-8E312667AB26}" scale="75" fitToPage="1" filter="1" showAutoFilter="1" hiddenColumns="1" showRuler="0" topLeftCell="A3">
      <selection activeCell="G58" sqref="G58"/>
      <pageMargins left="0.74803149606299213" right="0.74803149606299213" top="0.98425196850393704" bottom="0.98425196850393704" header="0.51181102362204722" footer="0.51181102362204722"/>
      <pageSetup paperSize="8" scale="44" orientation="portrait" r:id="rId66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1">
          <filters>
            <filter val="CHS"/>
          </filters>
        </filterColumn>
        <filterColumn colId="9">
          <filters>
            <filter val="N"/>
          </filters>
        </filterColumn>
      </autoFilter>
    </customSheetView>
    <customSheetView guid="{49B98D0D-EAE4-4061-9721-F589EC088DD3}" scale="75" fitToPage="1" filter="1" showAutoFilter="1" showRuler="0">
      <pane xSplit="7" ySplit="3" topLeftCell="H110" activePane="bottomRight" state="frozen"/>
      <selection pane="bottomRight" activeCell="AA175" sqref="AA175"/>
      <pageMargins left="0.74803149606299213" right="0.74803149606299213" top="0.98425196850393704" bottom="0.98425196850393704" header="0.51181102362204722" footer="0.51181102362204722"/>
      <pageSetup paperSize="8" scale="44" orientation="portrait" r:id="rId67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Hu, Yang"/>
          </filters>
        </filterColumn>
      </autoFilter>
    </customSheetView>
    <customSheetView guid="{E074A808-068D-4E5C-B8DA-CED57044B213}" scale="75" fitToPage="1" filter="1" showAutoFilter="1" showRuler="0">
      <pane xSplit="7" ySplit="57" topLeftCell="H59" activePane="bottomRight" state="frozen"/>
      <selection pane="bottomRight" activeCell="G177" sqref="G177"/>
      <pageMargins left="0.74803149606299213" right="0.74803149606299213" top="0.98425196850393704" bottom="0.98425196850393704" header="0.51181102362204722" footer="0.51181102362204722"/>
      <pageSetup paperSize="8" scale="44" orientation="portrait" r:id="rId68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Liu, Chunming"/>
          </filters>
        </filterColumn>
      </autoFilter>
    </customSheetView>
    <customSheetView guid="{073D82AE-1D47-4078-A2EE-A8C316E31187}" scale="75" fitToPage="1" filter="1" showAutoFilter="1" showRuler="0">
      <pane xSplit="7" ySplit="3" topLeftCell="V20" activePane="bottomRight" state="frozen"/>
      <selection pane="bottomRight" activeCell="AA22" sqref="AA22"/>
      <pageMargins left="0.74803149606299213" right="0.74803149606299213" top="0.98425196850393704" bottom="0.98425196850393704" header="0.51181102362204722" footer="0.51181102362204722"/>
      <pageSetup paperSize="8" scale="44" orientation="portrait" r:id="rId69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9">
          <filters>
            <filter val="Y"/>
          </filters>
        </filterColumn>
      </autoFilter>
    </customSheetView>
    <customSheetView guid="{9E014756-0BAC-4E4B-B496-568CDC89E709}" scale="75" fitToPage="1" filter="1" showAutoFilter="1" showRuler="0">
      <pane xSplit="7" ySplit="38" topLeftCell="H40" activePane="bottomRight" state="frozen"/>
      <selection pane="bottomRight" activeCell="N87" sqref="N87"/>
      <pageMargins left="0.74803149606299213" right="0.74803149606299213" top="0.98425196850393704" bottom="0.98425196850393704" header="0.51181102362204722" footer="0.51181102362204722"/>
      <pageSetup paperSize="8" scale="44" orientation="portrait" r:id="rId70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Song,Liangliang"/>
          </filters>
        </filterColumn>
      </autoFilter>
    </customSheetView>
    <customSheetView guid="{AA1E631D-8AEC-4A51-80CE-6D3FF1110DE4}" scale="75" fitToPage="1" filter="1" showAutoFilter="1" hiddenColumns="1" showRuler="0">
      <pane xSplit="7" ySplit="3" topLeftCell="H4" activePane="bottomRight" state="frozen"/>
      <selection pane="bottomRight" activeCell="T146" sqref="T146"/>
      <pageMargins left="0.74803149606299213" right="0.74803149606299213" top="0.98425196850393704" bottom="0.98425196850393704" header="0.51181102362204722" footer="0.51181102362204722"/>
      <pageSetup paperSize="8" scale="44" orientation="portrait" r:id="rId71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5">
          <filters>
            <filter val="Bai,Liying"/>
          </filters>
        </filterColumn>
      </autoFilter>
    </customSheetView>
    <customSheetView guid="{A965AF1D-BF09-4CDC-9CF5-0E03F36504EA}" scale="75" fitToPage="1" filter="1" showAutoFilter="1" showRuler="0">
      <pane xSplit="7" ySplit="94" topLeftCell="M96" activePane="bottomRight" state="frozen"/>
      <selection pane="bottomRight" activeCell="R170" sqref="R170"/>
      <pageMargins left="0.74803149606299213" right="0.74803149606299213" top="0.98425196850393704" bottom="0.98425196850393704" header="0.51181102362204722" footer="0.51181102362204722"/>
      <pageSetup paperSize="8" scale="44" orientation="portrait" r:id="rId72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5">
          <filters>
            <filter val="Wang,Yuanyuan"/>
          </filters>
        </filterColumn>
      </autoFilter>
    </customSheetView>
    <customSheetView guid="{220B59EB-1A57-4A5B-A6AD-57925F117131}" scale="75" fitToPage="1" filter="1" showAutoFilter="1" showRuler="0">
      <pane xSplit="7" ySplit="3" topLeftCell="H102" activePane="bottomRight" state="frozen"/>
      <selection pane="bottomRight" activeCell="J136" sqref="J136"/>
      <pageMargins left="0.74803149606299213" right="0.74803149606299213" top="0.98425196850393704" bottom="0.98425196850393704" header="0.51181102362204722" footer="0.51181102362204722"/>
      <pageSetup paperSize="8" scale="44" orientation="portrait" r:id="rId73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1">
          <filters>
            <filter val="CHS"/>
          </filters>
        </filterColumn>
      </autoFilter>
    </customSheetView>
    <customSheetView guid="{060B739A-FB86-45B3-A253-E0C83B785FDF}" scale="85" fitToPage="1" filter="1" showAutoFilter="1" showRuler="0">
      <pane xSplit="1" ySplit="3" topLeftCell="U4" activePane="bottomRight" state="frozen"/>
      <selection pane="bottomRight" activeCell="AA172" sqref="AA172"/>
      <pageMargins left="0.74803149606299213" right="0.74803149606299213" top="0.98425196850393704" bottom="0.98425196850393704" header="0.51181102362204722" footer="0.51181102362204722"/>
      <pageSetup paperSize="8" scale="44" orientation="portrait" r:id="rId74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1">
          <filters>
            <filter val="BET"/>
          </filters>
        </filterColumn>
        <filterColumn colId="5">
          <filters>
            <filter val="Xiang,Zhengwei"/>
          </filters>
        </filterColumn>
      </autoFilter>
    </customSheetView>
    <customSheetView guid="{6C2D87E3-AC5A-42E4-BBAC-972E1C1ED5C5}" scale="75" fitToPage="1" filter="1" showAutoFilter="1" showRuler="0">
      <pane xSplit="7" ySplit="168" topLeftCell="W230" activePane="bottomRight" state="frozen"/>
      <selection pane="bottomRight" activeCell="Y54" sqref="Y54"/>
      <pageMargins left="0.74803149606299213" right="0.74803149606299213" top="0.98425196850393704" bottom="0.98425196850393704" header="0.51181102362204722" footer="0.51181102362204722"/>
      <pageSetup paperSize="8" scale="44" orientation="portrait" r:id="rId75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1">
          <filters>
            <filter val="BET"/>
          </filters>
        </filterColumn>
        <filterColumn colId="5">
          <filters>
            <filter val="Zhong, Yong"/>
          </filters>
        </filterColumn>
        <filterColumn colId="7">
          <customFilters and="1">
            <customFilter operator="notEqual" val="NA"/>
          </customFilters>
        </filterColumn>
      </autoFilter>
    </customSheetView>
    <customSheetView guid="{71944D0C-F366-45A9-AA20-A6E620EF91AC}" scale="75" fitToPage="1" filter="1" showAutoFilter="1" showRuler="0" topLeftCell="E1">
      <selection activeCell="A61" sqref="A61:IV61"/>
      <pageMargins left="0.74803149606299213" right="0.74803149606299213" top="0.98425196850393704" bottom="0.98425196850393704" header="0.51181102362204722" footer="0.51181102362204722"/>
      <pageSetup paperSize="8" scale="44" orientation="portrait" r:id="rId76"/>
      <headerFooter alignWithMargins="0">
        <oddFooter>&amp;LOriginator: bhu6
C346 CFMA APQP/PPAP deliverable status&amp;Cpage &amp;P of &amp;N&amp;RDate issued:18/05/2010
Date revised:12/06/2010</oddFooter>
      </headerFooter>
      <autoFilter ref="B1:AA1">
        <filterColumn colId="2">
          <filters>
            <filter val="PT"/>
          </filters>
        </filterColumn>
      </autoFilter>
    </customSheetView>
    <customSheetView guid="{DB25BC2B-2951-45A8-8592-86D3C3CC3102}" scale="85" fitToPage="1" filter="1" showAutoFilter="1" hiddenColumns="1">
      <pane xSplit="8" ySplit="65" topLeftCell="W66" activePane="bottomRight" state="frozen"/>
      <selection pane="bottomRight" activeCell="X171" sqref="X171"/>
      <pageMargins left="0.74803149606299213" right="0.74803149606299213" top="0.98425196850393704" bottom="0.98425196850393704" header="0.51181102362204722" footer="0.51181102362204722"/>
      <pageSetup paperSize="8" scale="44" orientation="portrait" r:id="rId77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2">
          <filters>
            <filter val="PT"/>
          </filters>
        </filterColumn>
        <filterColumn colId="6">
          <filters>
            <filter val="Wen Bin"/>
          </filters>
        </filterColumn>
      </autoFilter>
    </customSheetView>
    <customSheetView guid="{C2FB82A6-76AB-4CDE-BE51-01913ACF489E}" scale="75" fitToPage="1" filter="1" showAutoFilter="1" showRuler="0">
      <pane xSplit="7" ySplit="21" topLeftCell="O285" activePane="bottomRight" state="frozen"/>
      <selection pane="bottomRight" activeCell="P19" sqref="P19"/>
      <pageMargins left="0.74803149606299213" right="0.74803149606299213" top="0.98425196850393704" bottom="0.98425196850393704" header="0.51181102362204722" footer="0.51181102362204722"/>
      <pageSetup paperSize="8" scale="44" orientation="portrait" r:id="rId78"/>
      <headerFooter alignWithMargins="0">
        <oddFooter>&amp;LOriginator: bhu6
C346 CFMA APQP/PPAP deliverable status&amp;Cpage &amp;P of &amp;N&amp;RDate issued:18/05/2010
Date revised:12/06/2010</oddFooter>
      </headerFooter>
      <autoFilter ref="B1:AF1">
        <filterColumn colId="2">
          <filters>
            <filter val="EESE"/>
          </filters>
        </filterColumn>
      </autoFilter>
    </customSheetView>
    <customSheetView guid="{1D0409A5-4950-4DB3-BECA-CFCBF2863D4B}" scale="85" fitToPage="1" filter="1" showAutoFilter="1" hiddenColumns="1" showRuler="0">
      <pane xSplit="6" ySplit="3" topLeftCell="Q34" activePane="bottomRight" state="frozen"/>
      <selection pane="bottomRight" activeCell="U125" sqref="U125"/>
      <pageMargins left="0.74803149606299213" right="0.74803149606299213" top="0.98425196850393704" bottom="0.98425196850393704" header="0.51181102362204722" footer="0.51181102362204722"/>
      <pageSetup paperSize="8" scale="44" orientation="portrait" r:id="rId79"/>
      <headerFooter alignWithMargins="0">
        <oddFooter>&amp;LOriginator: bhu6
C346 CFMA APQP/PPAP deliverable status&amp;Cpage &amp;P of &amp;N&amp;RDate issued:18/05/2010
Date revised:12/06/2010</oddFooter>
      </headerFooter>
      <autoFilter ref="B1:AG1">
        <filterColumn colId="6">
          <filters>
            <filter val="Yu, Xiaoxing"/>
          </filters>
        </filterColumn>
      </autoFilter>
    </customSheetView>
    <customSheetView guid="{3F6A1397-93B0-4D9B-AA65-A8510737B138}" scale="85" fitToPage="1" showAutoFilter="1" hiddenColumns="1" showRuler="0">
      <pane xSplit="7" ySplit="3" topLeftCell="H4" activePane="bottomRight" state="frozen"/>
      <selection pane="bottomRight" activeCell="D4" sqref="D4"/>
      <pageMargins left="0.74803149606299213" right="0.74803149606299213" top="0.98425196850393704" bottom="0.98425196850393704" header="0.51181102362204722" footer="0.51181102362204722"/>
      <pageSetup paperSize="8" scale="44" orientation="portrait" r:id="rId80"/>
      <headerFooter alignWithMargins="0">
        <oddFooter>&amp;LOriginator: bhu6
C346 CFMA APQP/PPAP deliverable status&amp;Cpage &amp;P of &amp;N&amp;RDate issued:18/05/2010
Date revised:12/06/2010</oddFooter>
      </headerFooter>
      <autoFilter ref="B1:Z1"/>
    </customSheetView>
    <customSheetView guid="{A14E30E6-04C4-4F62-982C-1D2A488D4C23}" scale="85" fitToPage="1" filter="1" showAutoFilter="1" hiddenColumns="1" topLeftCell="M1">
      <selection activeCell="X40" sqref="X40"/>
      <pageMargins left="0.74803149606299213" right="0.74803149606299213" top="0.98425196850393704" bottom="0.98425196850393704" header="0.51181102362204722" footer="0.51181102362204722"/>
      <pageSetup paperSize="8" scale="31" orientation="portrait" r:id="rId81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2">
          <filters>
            <filter val="BIT"/>
          </filters>
        </filterColumn>
        <filterColumn colId="6">
          <filters>
            <filter val="Bai,Liying"/>
          </filters>
        </filterColumn>
        <filterColumn colId="11">
          <customFilters and="1">
            <customFilter operator="lessThan" val="41207"/>
          </customFilters>
        </filterColumn>
      </autoFilter>
    </customSheetView>
    <customSheetView guid="{A5CB2FE7-BF19-481F-AD95-A314651813B1}" scale="85" fitToPage="1" filter="1" showAutoFilter="1" topLeftCell="A87">
      <selection activeCell="G88" sqref="G88"/>
      <pageMargins left="0.74803149606299213" right="0.74803149606299213" top="0.98425196850393704" bottom="0.98425196850393704" header="0.51181102362204722" footer="0.51181102362204722"/>
      <pageSetup paperSize="8" scale="44" orientation="portrait" r:id="rId82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2">
          <filters>
            <filter val="PT"/>
          </filters>
        </filterColumn>
        <filterColumn colId="6">
          <filters>
            <filter val="Zeng, Qiang"/>
          </filters>
        </filterColumn>
        <filterColumn colId="11">
          <customFilters and="1">
            <customFilter operator="lessThan" val="41229"/>
          </customFilters>
        </filterColumn>
      </autoFilter>
    </customSheetView>
    <customSheetView guid="{CB3B3B53-94AE-4D1A-8BBF-AB178425EE28}" scale="85" fitToPage="1" filter="1" showAutoFilter="1" hiddenColumns="1" topLeftCell="Q75">
      <selection activeCell="Y75" sqref="Y75"/>
      <pageMargins left="0.74803149606299213" right="0.74803149606299213" top="0.98425196850393704" bottom="0.98425196850393704" header="0.51181102362204722" footer="0.51181102362204722"/>
      <pageSetup paperSize="8" scale="31" orientation="portrait" r:id="rId83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2">
          <filters>
            <filter val="BIT"/>
          </filters>
        </filterColumn>
        <filterColumn colId="6">
          <filters>
            <filter val="Bai,Liying"/>
          </filters>
        </filterColumn>
      </autoFilter>
    </customSheetView>
    <customSheetView guid="{0635BDBD-B86F-4A71-9276-FC8A4846C705}" scale="70" fitToPage="1" filter="1" showAutoFilter="1">
      <pane xSplit="7" ySplit="71" topLeftCell="H73" activePane="bottomRight" state="frozen"/>
      <selection pane="bottomRight" activeCell="J140" sqref="J140"/>
      <pageMargins left="0.74803149606299213" right="0.74803149606299213" top="0.98425196850393704" bottom="0.98425196850393704" header="0.51181102362204722" footer="0.51181102362204722"/>
      <pageSetup paperSize="8" scale="44" orientation="portrait" r:id="rId84"/>
      <headerFooter alignWithMargins="0">
        <oddFooter>&amp;LOriginator: bhu6
C346 CFMA APQP/PPAP deliverable status&amp;Cpage &amp;P of &amp;N&amp;RDate issued:18/05/2010
Date revised:12/06/2010</oddFooter>
      </headerFooter>
      <autoFilter ref="B1:Z1">
        <filterColumn colId="6">
          <filters>
            <filter val="Sun, Jinlong"/>
          </filters>
        </filterColumn>
      </autoFilter>
    </customSheetView>
    <customSheetView guid="{6FDCAE63-9A23-48BC-9335-B1771A1FF567}" scale="85" fitToPage="1" filter="1" showAutoFilter="1" hiddenColumns="1">
      <pane xSplit="7" ySplit="3" topLeftCell="H4" activePane="bottomRight" state="frozen"/>
      <selection pane="bottomRight" activeCell="AF166" sqref="AF166"/>
      <pageMargins left="0.74803149606299213" right="0.74803149606299213" top="0.98425196850393704" bottom="0.98425196850393704" header="0.51181102362204722" footer="0.51181102362204722"/>
      <pageSetup paperSize="8" scale="44" orientation="portrait" r:id="rId85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Wang, Limei"/>
          </filters>
        </filterColumn>
      </autoFilter>
    </customSheetView>
    <customSheetView guid="{E7E7DBC6-AE9C-47FD-9A60-1C5F08183D92}" scale="85" fitToPage="1" filter="1" showAutoFilter="1" hiddenColumns="1">
      <pane xSplit="7" ySplit="3" topLeftCell="H4" activePane="bottomRight" state="frozen"/>
      <selection pane="bottomRight" activeCell="D9" sqref="D9"/>
      <pageMargins left="0.74803149606299213" right="0.74803149606299213" top="0.98425196850393704" bottom="0.98425196850393704" header="0.51181102362204722" footer="0.51181102362204722"/>
      <pageSetup paperSize="8" scale="44" orientation="portrait" r:id="rId86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Pu, Dong (D.)"/>
          </filters>
        </filterColumn>
      </autoFilter>
    </customSheetView>
    <customSheetView guid="{070D0D86-4F17-418E-B94A-A19DCF68E096}" scale="85" fitToPage="1" filter="1" showAutoFilter="1" hiddenColumns="1">
      <pane xSplit="7" ySplit="3" topLeftCell="H134" activePane="bottomRight" state="frozen"/>
      <selection pane="bottomRight" activeCell="N162" sqref="N162"/>
      <pageMargins left="0.74803149606299213" right="0.74803149606299213" top="0.98425196850393704" bottom="0.98425196850393704" header="0.51181102362204722" footer="0.51181102362204722"/>
      <pageSetup paperSize="8" scale="44" orientation="portrait" r:id="rId87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CHS"/>
          </filters>
        </filterColumn>
        <filterColumn colId="6">
          <filters>
            <filter val="Qiu, Jun (J.)"/>
          </filters>
        </filterColumn>
      </autoFilter>
    </customSheetView>
    <customSheetView guid="{8A786159-327F-4178-9FE8-BF666F462967}" fitToPage="1" filter="1" showAutoFilter="1" hiddenColumns="1">
      <pane xSplit="7" ySplit="3" topLeftCell="H4" activePane="bottomRight" state="frozen"/>
      <selection pane="bottomRight" activeCell="J281" sqref="J281"/>
      <pageMargins left="0.74803149606299213" right="0.74803149606299213" top="0.98425196850393704" bottom="0.98425196850393704" header="0.51181102362204722" footer="0.51181102362204722"/>
      <pageSetup paperSize="8" scale="44" orientation="portrait" r:id="rId88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EESE"/>
          </filters>
        </filterColumn>
        <filterColumn colId="6">
          <filters>
            <filter val="Liu, Laiyun (L.)"/>
            <filter val="Liu, Yang"/>
          </filters>
        </filterColumn>
      </autoFilter>
    </customSheetView>
    <customSheetView guid="{971EDD42-ECC2-4D44-A1A2-F9AF1EC7823A}" scale="75" fitToPage="1" filter="1" showAutoFilter="1">
      <pane xSplit="10" ySplit="180" topLeftCell="K197" activePane="bottomRight" state="frozen"/>
      <selection pane="bottomRight" activeCell="K204" sqref="K204"/>
      <pageMargins left="0.74803149606299213" right="0.74803149606299213" top="0.98425196850393704" bottom="0.98425196850393704" header="0.51181102362204722" footer="0.51181102362204722"/>
      <pageSetup paperSize="8" scale="44" orientation="portrait" r:id="rId89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EESE"/>
          </filters>
        </filterColumn>
      </autoFilter>
    </customSheetView>
    <customSheetView guid="{5CDAD548-D45B-42C1-9360-C416C6438073}" scale="75" fitToPage="1" filter="1" showAutoFilter="1">
      <pane xSplit="10" ySplit="99" topLeftCell="K101" activePane="bottomRight" state="frozen"/>
      <selection pane="bottomRight" activeCell="I282" sqref="I282"/>
      <pageMargins left="0.74803149606299213" right="0.74803149606299213" top="0.98425196850393704" bottom="0.98425196850393704" header="0.51181102362204722" footer="0.51181102362204722"/>
      <pageSetup paperSize="8" scale="44" orientation="portrait" r:id="rId90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PT"/>
          </filters>
        </filterColumn>
        <filterColumn colId="6">
          <filters>
            <filter val="Zeng, Qiang (James.)"/>
          </filters>
        </filterColumn>
      </autoFilter>
    </customSheetView>
    <customSheetView guid="{0691E43B-28FA-429F-94F7-A547188CC960}" scale="75" fitToPage="1" filter="1" showAutoFilter="1">
      <pane xSplit="10" ySplit="180" topLeftCell="K182" activePane="bottomRight" state="frozen"/>
      <selection pane="bottomRight" activeCell="I285" sqref="I285"/>
      <pageMargins left="0.74803149606299213" right="0.74803149606299213" top="0.98425196850393704" bottom="0.98425196850393704" header="0.51181102362204722" footer="0.51181102362204722"/>
      <pageSetup paperSize="8" scale="44" orientation="portrait" r:id="rId91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PT"/>
          </filters>
        </filterColumn>
        <filterColumn colId="6">
          <filters>
            <filter val="Pan, Chaoming (C.)"/>
          </filters>
        </filterColumn>
      </autoFilter>
    </customSheetView>
    <customSheetView guid="{8B080AD8-BB4A-4FB8-BD44-5610DAE22D8F}" scale="85" fitToPage="1" filter="1" showAutoFilter="1" hiddenColumns="1">
      <pane xSplit="7" ySplit="3" topLeftCell="H4" activePane="bottomRight" state="frozen"/>
      <selection pane="bottomRight" activeCell="L133" sqref="L133"/>
      <pageMargins left="0.74803149606299213" right="0.74803149606299213" top="0.98425196850393704" bottom="0.98425196850393704" header="0.51181102362204722" footer="0.51181102362204722"/>
      <pageSetup paperSize="8" scale="44" orientation="portrait" r:id="rId92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CHS"/>
          </filters>
        </filterColumn>
      </autoFilter>
    </customSheetView>
    <customSheetView guid="{81FC3564-635F-47B9-B46E-70B615BE866F}" scale="75" fitToPage="1" filter="1" showAutoFilter="1">
      <pane xSplit="10" ySplit="148" topLeftCell="M150" activePane="bottomRight" state="frozen"/>
      <selection pane="bottomRight" activeCell="Q150" sqref="Q150"/>
      <pageMargins left="0.74803149606299213" right="0.74803149606299213" top="0.98425196850393704" bottom="0.98425196850393704" header="0.51181102362204722" footer="0.51181102362204722"/>
      <pageSetup paperSize="8" scale="44" orientation="portrait" r:id="rId93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CHS"/>
          </filters>
        </filterColumn>
        <filterColumn colId="6">
          <filters>
            <filter val="Shu, Longhu (L.)"/>
          </filters>
        </filterColumn>
      </autoFilter>
    </customSheetView>
    <customSheetView guid="{A9ECC057-D6AC-46F1-94F3-74D54D782E05}" scale="75" fitToPage="1" filter="1" showAutoFilter="1" showRuler="0">
      <pane ySplit="129" topLeftCell="A131" activePane="bottomLeft" state="frozen"/>
      <selection pane="bottomLeft" activeCell="K303" sqref="K303"/>
      <pageMargins left="0.74803149606299213" right="0.74803149606299213" top="0.98425196850393704" bottom="0.98425196850393704" header="0.51181102362204722" footer="0.51181102362204722"/>
      <pageSetup paperSize="8" scale="44" orientation="portrait" r:id="rId94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CHS"/>
          </filters>
        </filterColumn>
        <filterColumn colId="6">
          <filters>
            <filter val="Deng, Bin (B.)"/>
          </filters>
        </filterColumn>
      </autoFilter>
    </customSheetView>
    <customSheetView guid="{B316C038-7E44-4C17-9D5D-C47A9623C939}" scale="85" fitToPage="1" filter="1" showAutoFilter="1" hiddenColumns="1">
      <selection activeCell="AE81" sqref="AE81"/>
      <pageMargins left="0.74803149606299213" right="0.74803149606299213" top="0.98425196850393704" bottom="0.98425196850393704" header="0.51181102362204722" footer="0.51181102362204722"/>
      <pageSetup paperSize="8" scale="44" orientation="portrait" r:id="rId95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Guo, Meibing (M.)"/>
          </filters>
        </filterColumn>
      </autoFilter>
    </customSheetView>
    <customSheetView guid="{89F40B0D-5B2D-4D44-8904-53A6523AB8F6}" scale="85" fitToPage="1" showAutoFilter="1" hiddenColumns="1">
      <pane xSplit="7" ySplit="3" topLeftCell="H286" activePane="bottomRight" state="frozen"/>
      <selection pane="bottomRight" activeCell="I291" sqref="I291"/>
      <pageMargins left="0.74803149606299213" right="0.74803149606299213" top="0.98425196850393704" bottom="0.98425196850393704" header="0.51181102362204722" footer="0.51181102362204722"/>
      <pageSetup paperSize="8" scale="44" orientation="portrait" r:id="rId96"/>
      <headerFooter alignWithMargins="0">
        <oddFooter>&amp;LOriginator: bhu6
C346 CFMA APQP/PPAP deliverable status&amp;Cpage &amp;P of &amp;N&amp;RDate issued:18/05/2010
Date revised:12/06/2010</oddFooter>
      </headerFooter>
      <autoFilter ref="B1:AC1"/>
    </customSheetView>
    <customSheetView guid="{FCD42C5B-FA7A-4713-9A72-00CA6A2406AE}" scale="85" fitToPage="1" filter="1" showAutoFilter="1" hiddenColumns="1">
      <pane xSplit="7" ySplit="3" topLeftCell="H4" activePane="bottomRight" state="frozen"/>
      <selection pane="bottomRight" activeCell="K130" sqref="K130"/>
      <pageMargins left="0.74803149606299213" right="0.74803149606299213" top="0.98425196850393704" bottom="0.98425196850393704" header="0.51181102362204722" footer="0.51181102362204722"/>
      <pageSetup paperSize="8" scale="44" orientation="portrait" r:id="rId97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6">
          <filters>
            <filter val="Zhou, Qi (Q.)"/>
          </filters>
        </filterColumn>
      </autoFilter>
    </customSheetView>
    <customSheetView guid="{6FC7142D-AC0D-4CBF-97B7-78EE64680C20}" scale="85" fitToPage="1" showAutoFilter="1" hiddenColumns="1">
      <pane xSplit="7" ySplit="3" topLeftCell="H4" activePane="bottomRight" state="frozen"/>
      <selection pane="bottomRight" activeCell="J301" sqref="J301"/>
      <pageMargins left="0.74803149606299213" right="0.74803149606299213" top="0.98425196850393704" bottom="0.98425196850393704" header="0.51181102362204722" footer="0.51181102362204722"/>
      <pageSetup paperSize="8" scale="44" orientation="portrait" r:id="rId98"/>
      <headerFooter alignWithMargins="0">
        <oddFooter>&amp;LOriginator: bhu6
C346 CFMA APQP/PPAP deliverable status&amp;Cpage &amp;P of &amp;N&amp;RDate issued:18/05/2010
Date revised:12/06/2010</oddFooter>
      </headerFooter>
      <autoFilter ref="B1:AC1"/>
    </customSheetView>
    <customSheetView guid="{0F67A1CC-4144-432F-AA84-858A7BF5A283}" scale="85" fitToPage="1" filter="1" showAutoFilter="1" hiddenColumns="1">
      <pane xSplit="7" ySplit="3" topLeftCell="H189" activePane="bottomRight" state="frozen"/>
      <selection pane="bottomRight" activeCell="N193" sqref="N193"/>
      <pageMargins left="0.74803149606299213" right="0.74803149606299213" top="0.98425196850393704" bottom="0.98425196850393704" header="0.51181102362204722" footer="0.51181102362204722"/>
      <pageSetup paperSize="8" scale="44" orientation="portrait" r:id="rId99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EESE"/>
          </filters>
        </filterColumn>
      </autoFilter>
    </customSheetView>
    <customSheetView guid="{85AEC1CD-1487-48AE-8456-413A3082A644}" scale="85" fitToPage="1" showAutoFilter="1" hiddenColumns="1" topLeftCell="A3">
      <selection activeCell="L305" sqref="L305"/>
      <pageMargins left="0.74803149606299213" right="0.74803149606299213" top="0.98425196850393704" bottom="0.98425196850393704" header="0.51181102362204722" footer="0.51181102362204722"/>
      <pageSetup paperSize="8" scale="44" orientation="portrait" r:id="rId100"/>
      <headerFooter alignWithMargins="0">
        <oddFooter>&amp;LOriginator: bhu6
C346 CFMA APQP/PPAP deliverable status&amp;Cpage &amp;P of &amp;N&amp;RDate issued:18/05/2010
Date revised:12/06/2010</oddFooter>
      </headerFooter>
      <autoFilter ref="B1:AC1"/>
    </customSheetView>
    <customSheetView guid="{E1641F7F-959A-441D-AE87-EF2C08ACA36B}" fitToPage="1" filter="1" showAutoFilter="1" hiddenColumns="1">
      <pane xSplit="7" ySplit="3" topLeftCell="H4" activePane="bottomRight" state="frozen"/>
      <selection pane="bottomRight" activeCell="I300" sqref="I300"/>
      <pageMargins left="0.74803149606299213" right="0.74803149606299213" top="0.98425196850393704" bottom="0.98425196850393704" header="0.51181102362204722" footer="0.51181102362204722"/>
      <pageSetup paperSize="8" scale="44" orientation="portrait" r:id="rId101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CHS"/>
          </filters>
        </filterColumn>
        <filterColumn colId="6">
          <filters>
            <filter val="Wang, Haiyang (H.)"/>
          </filters>
        </filterColumn>
      </autoFilter>
    </customSheetView>
    <customSheetView guid="{932DA4D2-104F-47D2-9263-D0B1BBFB93BD}" scale="85" fitToPage="1" filter="1" showAutoFilter="1">
      <pane xSplit="1" ySplit="3" topLeftCell="B4" activePane="bottomRight" state="frozen"/>
      <selection pane="bottomRight" activeCell="N55" sqref="N55"/>
      <pageMargins left="0.74803149606299213" right="0.74803149606299213" top="0.98425196850393704" bottom="0.98425196850393704" header="0.51181102362204722" footer="0.51181102362204722"/>
      <pageSetup paperSize="8" scale="44" orientation="portrait" r:id="rId102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BET"/>
          </filters>
        </filterColumn>
        <filterColumn colId="6">
          <filters>
            <filter val="Yu, Xiaoxing (X.)"/>
          </filters>
        </filterColumn>
      </autoFilter>
    </customSheetView>
    <customSheetView guid="{C7051693-5D39-41C2-A625-149803F4128A}" fitToPage="1" filter="1" showAutoFilter="1" hiddenColumns="1">
      <pane xSplit="7" ySplit="3" topLeftCell="H4" activePane="bottomRight" state="frozen"/>
      <selection pane="bottomRight" activeCell="K300" sqref="K300"/>
      <pageMargins left="0.74803149606299213" right="0.74803149606299213" top="0.98425196850393704" bottom="0.98425196850393704" header="0.51181102362204722" footer="0.51181102362204722"/>
      <pageSetup paperSize="8" scale="44" orientation="portrait" r:id="rId103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CHS"/>
          </filters>
        </filterColumn>
        <filterColumn colId="6">
          <filters>
            <filter val="Yang, Jian"/>
          </filters>
        </filterColumn>
      </autoFilter>
    </customSheetView>
    <customSheetView guid="{A866590C-EA5C-409A-8033-A55F69D9EF7D}" scale="85" fitToPage="1" filter="1" showAutoFilter="1" hiddenColumns="1">
      <pane xSplit="7" ySplit="60" topLeftCell="H62" activePane="bottomRight" state="frozen"/>
      <selection pane="bottomRight" activeCell="K296" sqref="K296"/>
      <pageMargins left="0.74803149606299213" right="0.74803149606299213" top="0.98425196850393704" bottom="0.98425196850393704" header="0.51181102362204722" footer="0.51181102362204722"/>
      <pageSetup paperSize="8" scale="44" orientation="portrait" r:id="rId104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BIT"/>
          </filters>
        </filterColumn>
      </autoFilter>
    </customSheetView>
    <customSheetView guid="{09952A4F-D1E9-42FE-A0E4-A68DD62E53DF}" scale="85" fitToPage="1" filter="1" showAutoFilter="1" topLeftCell="A195">
      <selection activeCell="E197" sqref="E197"/>
      <pageMargins left="0.74803149606299213" right="0.74803149606299213" top="0.98425196850393704" bottom="0.98425196850393704" header="0.51181102362204722" footer="0.51181102362204722"/>
      <pageSetup paperSize="8" scale="44" orientation="portrait" r:id="rId105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2">
          <filters>
            <filter val="EESE"/>
          </filters>
        </filterColumn>
      </autoFilter>
    </customSheetView>
    <customSheetView guid="{0C0CAEC6-053D-4EC6-82C8-35757789EF2B}" scale="85" fitToPage="1" filter="1" showAutoFilter="1" hiddenColumns="1">
      <pane xSplit="7" ySplit="184" topLeftCell="H186" activePane="bottomRight" state="frozen"/>
      <selection pane="bottomRight" activeCell="J302" sqref="J302"/>
      <pageMargins left="0.74803149606299213" right="0.74803149606299213" top="0.98425196850393704" bottom="0.98425196850393704" header="0.51181102362204722" footer="0.51181102362204722"/>
      <pageSetup paperSize="8" scale="44" orientation="portrait" r:id="rId106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2">
          <filters>
            <filter val="EESE"/>
          </filters>
        </filterColumn>
        <filterColumn colId="6">
          <filters>
            <filter val="Lai, Xingqiao (X.)"/>
          </filters>
        </filterColumn>
      </autoFilter>
    </customSheetView>
    <customSheetView guid="{9E971910-590F-48E9-9991-C87585D7C18A}" scale="85" fitToPage="1" filter="1" showAutoFilter="1" hiddenColumns="1">
      <selection activeCell="M300" sqref="M300"/>
      <pageMargins left="0.74803149606299213" right="0.74803149606299213" top="0.98425196850393704" bottom="0.98425196850393704" header="0.51181102362204722" footer="0.51181102362204722"/>
      <pageSetup paperSize="8" scale="44" orientation="portrait" r:id="rId107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9">
          <filters>
            <filter val="Y"/>
          </filters>
        </filterColumn>
        <filterColumn colId="12">
          <filters blank="1"/>
        </filterColumn>
      </autoFilter>
    </customSheetView>
    <customSheetView guid="{89A75BAD-D417-4D47-B872-733B2B2D56F6}" scale="85" fitToPage="1" filter="1" showAutoFilter="1" hiddenColumns="1">
      <selection activeCell="H62" sqref="H62:N63"/>
      <pageMargins left="0.74803149606299213" right="0.74803149606299213" top="0.98425196850393704" bottom="0.98425196850393704" header="0.51181102362204722" footer="0.51181102362204722"/>
      <pageSetup paperSize="8" scale="44" orientation="portrait" r:id="rId108"/>
      <headerFooter alignWithMargins="0">
        <oddFooter>&amp;LOriginator: bhu6
C346 CFMA APQP/PPAP deliverable status&amp;Cpage &amp;P of &amp;N&amp;RDate issued:18/05/2010
Date revised:12/06/2010</oddFooter>
      </headerFooter>
      <autoFilter ref="B1:AC1">
        <filterColumn colId="9">
          <filters>
            <filter val="Y"/>
          </filters>
        </filterColumn>
        <filterColumn colId="12">
          <filters blank="1"/>
        </filterColumn>
      </autoFilter>
    </customSheetView>
    <customSheetView guid="{7EC47BC4-4844-4D3B-9D79-EC8A124AD22E}" scale="85" fitToPage="1" showAutoFilter="1" hiddenColumns="1">
      <pane xSplit="7" ySplit="4" topLeftCell="H64" activePane="bottomRight" state="frozen"/>
      <selection pane="bottomRight" activeCell="O201" sqref="O201"/>
      <pageMargins left="0.74803149606299213" right="0.74803149606299213" top="0.98425196850393704" bottom="0.98425196850393704" header="0.51181102362204722" footer="0.51181102362204722"/>
      <pageSetup paperSize="8" scale="44" orientation="portrait" r:id="rId109"/>
      <headerFooter alignWithMargins="0">
        <oddFooter>&amp;LOriginator: bhu6
C346 CFMA APQP/PPAP deliverable status&amp;Cpage &amp;P of &amp;N&amp;RDate issued:18/05/2010
Date revised:12/06/2010</oddFooter>
      </headerFooter>
      <autoFilter ref="B1:AD1"/>
    </customSheetView>
    <customSheetView guid="{DB6A80B6-BF92-4142-B6AE-EC5513AAEE9B}" scale="75" fitToPage="1" filter="1" showAutoFilter="1">
      <pane xSplit="10" ySplit="297" topLeftCell="L510" activePane="bottomRight" state="frozen"/>
      <selection pane="bottomRight" activeCell="P198" sqref="P198"/>
      <pageMargins left="0.74803149606299213" right="0.74803149606299213" top="0.98425196850393704" bottom="0.98425196850393704" header="0.51181102362204722" footer="0.51181102362204722"/>
      <pageSetup paperSize="8" scale="44" orientation="portrait" r:id="rId110"/>
      <headerFooter alignWithMargins="0">
        <oddFooter>&amp;LOriginator: bhu6
C346 CFMA APQP/PPAP deliverable status&amp;Cpage &amp;P of &amp;N&amp;RDate issued:18/05/2010
Date revised:12/06/2010</oddFooter>
      </headerFooter>
      <autoFilter ref="B1:AD1">
        <filterColumn colId="6">
          <filters>
            <filter val="Chen, Xin(X.)"/>
          </filters>
        </filterColumn>
      </autoFilter>
    </customSheetView>
    <customSheetView guid="{E3BF2513-A89B-4873-9D54-3E0FF0E1872A}" scale="85" fitToPage="1" filter="1" showAutoFilter="1" hiddenColumns="1">
      <pane xSplit="7" ySplit="4" topLeftCell="H5" activePane="bottomRight" state="frozen"/>
      <selection pane="bottomRight" activeCell="K12" sqref="K12:K193"/>
      <pageMargins left="0.74803149606299213" right="0.74803149606299213" top="0.98425196850393704" bottom="0.98425196850393704" header="0.51181102362204722" footer="0.51181102362204722"/>
      <pageSetup paperSize="8" scale="44" orientation="portrait" r:id="rId111"/>
      <headerFooter alignWithMargins="0">
        <oddFooter>&amp;LOriginator: bhu6
C346 CFMA APQP/PPAP deliverable status&amp;Cpage &amp;P of &amp;N&amp;RDate issued:18/05/2010
Date revised:12/06/2010</oddFooter>
      </headerFooter>
      <autoFilter ref="B1:AE1">
        <filterColumn colId="10">
          <filters>
            <filter val="Y"/>
            <filter val="Y(Par1)"/>
            <filter val="Y(PAR1+2)"/>
          </filters>
        </filterColumn>
      </autoFilter>
    </customSheetView>
  </customSheetViews>
  <mergeCells count="6">
    <mergeCell ref="AA2:AB2"/>
    <mergeCell ref="A1:F2"/>
    <mergeCell ref="J2:N2"/>
    <mergeCell ref="S2:V2"/>
    <mergeCell ref="W2:Z2"/>
    <mergeCell ref="O2:R2"/>
  </mergeCells>
  <phoneticPr fontId="3" type="noConversion"/>
  <conditionalFormatting sqref="D648 J25:K54 N31:N54 L31:L54 E50:G54 B25:D54 O25:R54 B5:G24 E25:G25 B336 D336 O95:R102 B95:C102 M95:M96 J95:L102 D97:D116">
    <cfRule type="expression" dxfId="1121" priority="4304">
      <formula>$B5="del"</formula>
    </cfRule>
  </conditionalFormatting>
  <conditionalFormatting sqref="O648:R648">
    <cfRule type="expression" dxfId="1120" priority="4298">
      <formula>$B648="del"</formula>
    </cfRule>
  </conditionalFormatting>
  <conditionalFormatting sqref="D649">
    <cfRule type="expression" dxfId="1119" priority="4297">
      <formula>$B649="del"</formula>
    </cfRule>
  </conditionalFormatting>
  <conditionalFormatting sqref="O649:R649">
    <cfRule type="expression" dxfId="1118" priority="4296">
      <formula>$B649="del"</formula>
    </cfRule>
  </conditionalFormatting>
  <conditionalFormatting sqref="D650">
    <cfRule type="expression" dxfId="1117" priority="4292">
      <formula>$B650="del"</formula>
    </cfRule>
  </conditionalFormatting>
  <conditionalFormatting sqref="O650:R650">
    <cfRule type="expression" dxfId="1116" priority="4291">
      <formula>$B650="del"</formula>
    </cfRule>
  </conditionalFormatting>
  <conditionalFormatting sqref="O433">
    <cfRule type="expression" dxfId="1115" priority="4241">
      <formula>#REF!="del"</formula>
    </cfRule>
  </conditionalFormatting>
  <conditionalFormatting sqref="P433">
    <cfRule type="expression" dxfId="1114" priority="4240">
      <formula>#REF!="del"</formula>
    </cfRule>
  </conditionalFormatting>
  <conditionalFormatting sqref="Q433">
    <cfRule type="expression" dxfId="1113" priority="4239">
      <formula>#REF!="del"</formula>
    </cfRule>
  </conditionalFormatting>
  <conditionalFormatting sqref="R433">
    <cfRule type="expression" dxfId="1112" priority="4238">
      <formula>#REF!="del"</formula>
    </cfRule>
  </conditionalFormatting>
  <conditionalFormatting sqref="R436:R437">
    <cfRule type="expression" dxfId="1111" priority="4222">
      <formula>$B436="del"</formula>
    </cfRule>
  </conditionalFormatting>
  <conditionalFormatting sqref="Q402">
    <cfRule type="expression" dxfId="1110" priority="4211">
      <formula>$B402="del"</formula>
    </cfRule>
  </conditionalFormatting>
  <conditionalFormatting sqref="Q419:Q421">
    <cfRule type="expression" dxfId="1109" priority="4209">
      <formula>$B419="del"</formula>
    </cfRule>
  </conditionalFormatting>
  <conditionalFormatting sqref="Q422:Q423">
    <cfRule type="expression" dxfId="1108" priority="4208">
      <formula>$B422="del"</formula>
    </cfRule>
  </conditionalFormatting>
  <conditionalFormatting sqref="Q424">
    <cfRule type="expression" dxfId="1107" priority="4207">
      <formula>$B424="del"</formula>
    </cfRule>
  </conditionalFormatting>
  <conditionalFormatting sqref="B438 N438:P438 E438:G438 R438">
    <cfRule type="expression" dxfId="1106" priority="4206">
      <formula>$B438="del"</formula>
    </cfRule>
  </conditionalFormatting>
  <conditionalFormatting sqref="O1">
    <cfRule type="expression" dxfId="1105" priority="4205">
      <formula>$B1="del"</formula>
    </cfRule>
  </conditionalFormatting>
  <conditionalFormatting sqref="P1">
    <cfRule type="expression" dxfId="1104" priority="4204">
      <formula>$B1="del"</formula>
    </cfRule>
  </conditionalFormatting>
  <conditionalFormatting sqref="H1">
    <cfRule type="expression" dxfId="1103" priority="4199">
      <formula>$B1="del"</formula>
    </cfRule>
  </conditionalFormatting>
  <conditionalFormatting sqref="I1">
    <cfRule type="expression" dxfId="1102" priority="4198">
      <formula>$B1="del"</formula>
    </cfRule>
  </conditionalFormatting>
  <conditionalFormatting sqref="B648">
    <cfRule type="expression" dxfId="1101" priority="4159">
      <formula>$B648="del"</formula>
    </cfRule>
  </conditionalFormatting>
  <conditionalFormatting sqref="G1">
    <cfRule type="expression" dxfId="1100" priority="4056">
      <formula>$B1="del"</formula>
    </cfRule>
  </conditionalFormatting>
  <conditionalFormatting sqref="N362:R362 B362 J362:L362 E362:G362">
    <cfRule type="expression" dxfId="1099" priority="1480">
      <formula>$B362="del"</formula>
    </cfRule>
  </conditionalFormatting>
  <conditionalFormatting sqref="N363:R364 B363:B364 J363:L364 E363:G364">
    <cfRule type="expression" dxfId="1098" priority="1470">
      <formula>$B363="del"</formula>
    </cfRule>
  </conditionalFormatting>
  <conditionalFormatting sqref="Q365">
    <cfRule type="expression" dxfId="1097" priority="1427">
      <formula>$B365="del"</formula>
    </cfRule>
  </conditionalFormatting>
  <conditionalFormatting sqref="O365:P365">
    <cfRule type="expression" dxfId="1096" priority="1453">
      <formula>$B365="del"</formula>
    </cfRule>
  </conditionalFormatting>
  <conditionalFormatting sqref="S414:V659">
    <cfRule type="expression" dxfId="1095" priority="2295">
      <formula>AND($U414&gt;0)</formula>
    </cfRule>
    <cfRule type="expression" dxfId="1094" priority="2299">
      <formula>AND($U414="",$T414&lt;&gt;"",$T414&gt;$T$1,$T414&lt;=$U$1)</formula>
    </cfRule>
    <cfRule type="expression" dxfId="1093" priority="2300">
      <formula>AND($U414="",$T414&lt;&gt;"",$T414&gt;$S$1,$T414&lt;=$T$1)</formula>
    </cfRule>
    <cfRule type="expression" dxfId="1092" priority="2301">
      <formula>AND($U414="",$T414&lt;&gt;"",$T414&lt;=$S$1)</formula>
    </cfRule>
  </conditionalFormatting>
  <conditionalFormatting sqref="AB222:AB226 AB5:AB8 AB292:AB361 I336:I361 AB32:AB41 AB48 AB43:AB45 AB50 AB105:AB112 AB57:AB59 AB232 AB238:AB290 AB99:AB103 AB52 AB365:AB370 S51:V54 AB10:AB29 AB95:AB97 I95:I102 V95:X102">
    <cfRule type="cellIs" dxfId="1091" priority="2284" stopIfTrue="1" operator="equal">
      <formula>"Y"</formula>
    </cfRule>
    <cfRule type="cellIs" dxfId="1090" priority="2285" stopIfTrue="1" operator="equal">
      <formula>"N"</formula>
    </cfRule>
    <cfRule type="cellIs" dxfId="1089" priority="2286" stopIfTrue="1" operator="equal">
      <formula>"NA"</formula>
    </cfRule>
  </conditionalFormatting>
  <conditionalFormatting sqref="L365:L370 J366:K370 O336:Q361 K365 N365:N370 R365 R367:R370 B337:B361 D337:D450 E336:G361">
    <cfRule type="expression" dxfId="1088" priority="2280">
      <formula>$B336="del"</formula>
    </cfRule>
  </conditionalFormatting>
  <conditionalFormatting sqref="AA234 Z143:AA150 AB118:AB188 AA95:AA102">
    <cfRule type="cellIs" dxfId="1087" priority="1614" stopIfTrue="1" operator="equal">
      <formula>"R"</formula>
    </cfRule>
    <cfRule type="cellIs" dxfId="1086" priority="1615" stopIfTrue="1" operator="equal">
      <formula>"Y"</formula>
    </cfRule>
    <cfRule type="cellIs" dxfId="1085" priority="1616" stopIfTrue="1" operator="equal">
      <formula>"G"</formula>
    </cfRule>
  </conditionalFormatting>
  <conditionalFormatting sqref="AB30:AB31">
    <cfRule type="cellIs" dxfId="1084" priority="2010" stopIfTrue="1" operator="equal">
      <formula>"Y"</formula>
    </cfRule>
    <cfRule type="cellIs" dxfId="1083" priority="2011" stopIfTrue="1" operator="equal">
      <formula>"N"</formula>
    </cfRule>
    <cfRule type="cellIs" dxfId="1082" priority="2012" stopIfTrue="1" operator="equal">
      <formula>"NA"</formula>
    </cfRule>
  </conditionalFormatting>
  <conditionalFormatting sqref="AB60:AB67">
    <cfRule type="cellIs" dxfId="1081" priority="1924" stopIfTrue="1" operator="equal">
      <formula>"Y"</formula>
    </cfRule>
    <cfRule type="cellIs" dxfId="1080" priority="1925" stopIfTrue="1" operator="equal">
      <formula>"N"</formula>
    </cfRule>
    <cfRule type="cellIs" dxfId="1079" priority="1926" stopIfTrue="1" operator="equal">
      <formula>"NA"</formula>
    </cfRule>
  </conditionalFormatting>
  <conditionalFormatting sqref="J61:L61 N61">
    <cfRule type="expression" dxfId="1078" priority="1930">
      <formula>#REF!="del"</formula>
    </cfRule>
  </conditionalFormatting>
  <conditionalFormatting sqref="AB47">
    <cfRule type="cellIs" dxfId="1077" priority="1851" stopIfTrue="1" operator="equal">
      <formula>"Y"</formula>
    </cfRule>
    <cfRule type="cellIs" dxfId="1076" priority="1852" stopIfTrue="1" operator="equal">
      <formula>"N"</formula>
    </cfRule>
    <cfRule type="cellIs" dxfId="1075" priority="1853" stopIfTrue="1" operator="equal">
      <formula>"NA"</formula>
    </cfRule>
  </conditionalFormatting>
  <conditionalFormatting sqref="AB46">
    <cfRule type="cellIs" dxfId="1074" priority="1864" stopIfTrue="1" operator="equal">
      <formula>"Y"</formula>
    </cfRule>
    <cfRule type="cellIs" dxfId="1073" priority="1865" stopIfTrue="1" operator="equal">
      <formula>"N"</formula>
    </cfRule>
    <cfRule type="cellIs" dxfId="1072" priority="1866" stopIfTrue="1" operator="equal">
      <formula>"NA"</formula>
    </cfRule>
  </conditionalFormatting>
  <conditionalFormatting sqref="I373:I376">
    <cfRule type="cellIs" dxfId="1071" priority="1304" stopIfTrue="1" operator="equal">
      <formula>"Y"</formula>
    </cfRule>
    <cfRule type="cellIs" dxfId="1070" priority="1305" stopIfTrue="1" operator="equal">
      <formula>"N"</formula>
    </cfRule>
    <cfRule type="cellIs" dxfId="1069" priority="1306" stopIfTrue="1" operator="equal">
      <formula>"NA"</formula>
    </cfRule>
  </conditionalFormatting>
  <conditionalFormatting sqref="AB54">
    <cfRule type="cellIs" dxfId="1068" priority="1838" stopIfTrue="1" operator="equal">
      <formula>"Y"</formula>
    </cfRule>
    <cfRule type="cellIs" dxfId="1067" priority="1839" stopIfTrue="1" operator="equal">
      <formula>"N"</formula>
    </cfRule>
    <cfRule type="cellIs" dxfId="1066" priority="1840" stopIfTrue="1" operator="equal">
      <formula>"NA"</formula>
    </cfRule>
  </conditionalFormatting>
  <conditionalFormatting sqref="AB42">
    <cfRule type="cellIs" dxfId="1065" priority="1825" stopIfTrue="1" operator="equal">
      <formula>"Y"</formula>
    </cfRule>
    <cfRule type="cellIs" dxfId="1064" priority="1826" stopIfTrue="1" operator="equal">
      <formula>"N"</formula>
    </cfRule>
    <cfRule type="cellIs" dxfId="1063" priority="1827" stopIfTrue="1" operator="equal">
      <formula>"NA"</formula>
    </cfRule>
  </conditionalFormatting>
  <conditionalFormatting sqref="AB49">
    <cfRule type="cellIs" dxfId="1062" priority="1814" stopIfTrue="1" operator="equal">
      <formula>"Y"</formula>
    </cfRule>
    <cfRule type="cellIs" dxfId="1061" priority="1815" stopIfTrue="1" operator="equal">
      <formula>"N"</formula>
    </cfRule>
    <cfRule type="cellIs" dxfId="1060" priority="1816" stopIfTrue="1" operator="equal">
      <formula>"NA"</formula>
    </cfRule>
  </conditionalFormatting>
  <conditionalFormatting sqref="AB53">
    <cfRule type="cellIs" dxfId="1059" priority="1800" stopIfTrue="1" operator="equal">
      <formula>"Y"</formula>
    </cfRule>
    <cfRule type="cellIs" dxfId="1058" priority="1801" stopIfTrue="1" operator="equal">
      <formula>"N"</formula>
    </cfRule>
    <cfRule type="cellIs" dxfId="1057" priority="1802" stopIfTrue="1" operator="equal">
      <formula>"NA"</formula>
    </cfRule>
  </conditionalFormatting>
  <conditionalFormatting sqref="AB98">
    <cfRule type="cellIs" dxfId="1056" priority="1774" stopIfTrue="1" operator="equal">
      <formula>"Y"</formula>
    </cfRule>
    <cfRule type="cellIs" dxfId="1055" priority="1775" stopIfTrue="1" operator="equal">
      <formula>"N"</formula>
    </cfRule>
    <cfRule type="cellIs" dxfId="1054" priority="1776" stopIfTrue="1" operator="equal">
      <formula>"NA"</formula>
    </cfRule>
  </conditionalFormatting>
  <conditionalFormatting sqref="AB104">
    <cfRule type="cellIs" dxfId="1053" priority="1761" stopIfTrue="1" operator="equal">
      <formula>"Y"</formula>
    </cfRule>
    <cfRule type="cellIs" dxfId="1052" priority="1762" stopIfTrue="1" operator="equal">
      <formula>"N"</formula>
    </cfRule>
    <cfRule type="cellIs" dxfId="1051" priority="1763" stopIfTrue="1" operator="equal">
      <formula>"NA"</formula>
    </cfRule>
  </conditionalFormatting>
  <conditionalFormatting sqref="AB113">
    <cfRule type="cellIs" dxfId="1050" priority="1748" stopIfTrue="1" operator="equal">
      <formula>"Y"</formula>
    </cfRule>
    <cfRule type="cellIs" dxfId="1049" priority="1749" stopIfTrue="1" operator="equal">
      <formula>"N"</formula>
    </cfRule>
    <cfRule type="cellIs" dxfId="1048" priority="1750" stopIfTrue="1" operator="equal">
      <formula>"NA"</formula>
    </cfRule>
  </conditionalFormatting>
  <conditionalFormatting sqref="AB56">
    <cfRule type="cellIs" dxfId="1047" priority="1735" stopIfTrue="1" operator="equal">
      <formula>"Y"</formula>
    </cfRule>
    <cfRule type="cellIs" dxfId="1046" priority="1736" stopIfTrue="1" operator="equal">
      <formula>"N"</formula>
    </cfRule>
    <cfRule type="cellIs" dxfId="1045" priority="1737" stopIfTrue="1" operator="equal">
      <formula>"NA"</formula>
    </cfRule>
  </conditionalFormatting>
  <conditionalFormatting sqref="AA231">
    <cfRule type="cellIs" dxfId="1044" priority="1690" stopIfTrue="1" operator="equal">
      <formula>"R"</formula>
    </cfRule>
    <cfRule type="cellIs" dxfId="1043" priority="1691" stopIfTrue="1" operator="equal">
      <formula>"Y"</formula>
    </cfRule>
    <cfRule type="cellIs" dxfId="1042" priority="1692" stopIfTrue="1" operator="equal">
      <formula>"G"</formula>
    </cfRule>
  </conditionalFormatting>
  <conditionalFormatting sqref="AB231">
    <cfRule type="cellIs" dxfId="1041" priority="1687" stopIfTrue="1" operator="equal">
      <formula>"Y"</formula>
    </cfRule>
    <cfRule type="cellIs" dxfId="1040" priority="1688" stopIfTrue="1" operator="equal">
      <formula>"N"</formula>
    </cfRule>
    <cfRule type="cellIs" dxfId="1039" priority="1689" stopIfTrue="1" operator="equal">
      <formula>"NA"</formula>
    </cfRule>
  </conditionalFormatting>
  <conditionalFormatting sqref="AA227">
    <cfRule type="cellIs" dxfId="1038" priority="1728" stopIfTrue="1" operator="equal">
      <formula>"R"</formula>
    </cfRule>
    <cfRule type="cellIs" dxfId="1037" priority="1729" stopIfTrue="1" operator="equal">
      <formula>"Y"</formula>
    </cfRule>
    <cfRule type="cellIs" dxfId="1036" priority="1730" stopIfTrue="1" operator="equal">
      <formula>"G"</formula>
    </cfRule>
  </conditionalFormatting>
  <conditionalFormatting sqref="AB227">
    <cfRule type="cellIs" dxfId="1035" priority="1725" stopIfTrue="1" operator="equal">
      <formula>"Y"</formula>
    </cfRule>
    <cfRule type="cellIs" dxfId="1034" priority="1726" stopIfTrue="1" operator="equal">
      <formula>"N"</formula>
    </cfRule>
    <cfRule type="cellIs" dxfId="1033" priority="1727" stopIfTrue="1" operator="equal">
      <formula>"NA"</formula>
    </cfRule>
  </conditionalFormatting>
  <conditionalFormatting sqref="AA228">
    <cfRule type="cellIs" dxfId="1032" priority="1709" stopIfTrue="1" operator="equal">
      <formula>"R"</formula>
    </cfRule>
    <cfRule type="cellIs" dxfId="1031" priority="1710" stopIfTrue="1" operator="equal">
      <formula>"Y"</formula>
    </cfRule>
    <cfRule type="cellIs" dxfId="1030" priority="1711" stopIfTrue="1" operator="equal">
      <formula>"G"</formula>
    </cfRule>
  </conditionalFormatting>
  <conditionalFormatting sqref="AB228">
    <cfRule type="cellIs" dxfId="1029" priority="1706" stopIfTrue="1" operator="equal">
      <formula>"Y"</formula>
    </cfRule>
    <cfRule type="cellIs" dxfId="1028" priority="1707" stopIfTrue="1" operator="equal">
      <formula>"N"</formula>
    </cfRule>
    <cfRule type="cellIs" dxfId="1027" priority="1708" stopIfTrue="1" operator="equal">
      <formula>"NA"</formula>
    </cfRule>
  </conditionalFormatting>
  <conditionalFormatting sqref="AA230">
    <cfRule type="cellIs" dxfId="1026" priority="1652" stopIfTrue="1" operator="equal">
      <formula>"R"</formula>
    </cfRule>
    <cfRule type="cellIs" dxfId="1025" priority="1653" stopIfTrue="1" operator="equal">
      <formula>"Y"</formula>
    </cfRule>
    <cfRule type="cellIs" dxfId="1024" priority="1654" stopIfTrue="1" operator="equal">
      <formula>"G"</formula>
    </cfRule>
  </conditionalFormatting>
  <conditionalFormatting sqref="AB230">
    <cfRule type="cellIs" dxfId="1023" priority="1649" stopIfTrue="1" operator="equal">
      <formula>"Y"</formula>
    </cfRule>
    <cfRule type="cellIs" dxfId="1022" priority="1650" stopIfTrue="1" operator="equal">
      <formula>"N"</formula>
    </cfRule>
    <cfRule type="cellIs" dxfId="1021" priority="1651" stopIfTrue="1" operator="equal">
      <formula>"NA"</formula>
    </cfRule>
  </conditionalFormatting>
  <conditionalFormatting sqref="AA229">
    <cfRule type="cellIs" dxfId="1020" priority="1671" stopIfTrue="1" operator="equal">
      <formula>"R"</formula>
    </cfRule>
    <cfRule type="cellIs" dxfId="1019" priority="1672" stopIfTrue="1" operator="equal">
      <formula>"Y"</formula>
    </cfRule>
    <cfRule type="cellIs" dxfId="1018" priority="1673" stopIfTrue="1" operator="equal">
      <formula>"G"</formula>
    </cfRule>
  </conditionalFormatting>
  <conditionalFormatting sqref="AB229">
    <cfRule type="cellIs" dxfId="1017" priority="1668" stopIfTrue="1" operator="equal">
      <formula>"Y"</formula>
    </cfRule>
    <cfRule type="cellIs" dxfId="1016" priority="1669" stopIfTrue="1" operator="equal">
      <formula>"N"</formula>
    </cfRule>
    <cfRule type="cellIs" dxfId="1015" priority="1670" stopIfTrue="1" operator="equal">
      <formula>"NA"</formula>
    </cfRule>
  </conditionalFormatting>
  <conditionalFormatting sqref="AA237">
    <cfRule type="cellIs" dxfId="1014" priority="1633" stopIfTrue="1" operator="equal">
      <formula>"R"</formula>
    </cfRule>
    <cfRule type="cellIs" dxfId="1013" priority="1634" stopIfTrue="1" operator="equal">
      <formula>"Y"</formula>
    </cfRule>
    <cfRule type="cellIs" dxfId="1012" priority="1635" stopIfTrue="1" operator="equal">
      <formula>"G"</formula>
    </cfRule>
  </conditionalFormatting>
  <conditionalFormatting sqref="AB237">
    <cfRule type="cellIs" dxfId="1011" priority="1630" stopIfTrue="1" operator="equal">
      <formula>"Y"</formula>
    </cfRule>
    <cfRule type="cellIs" dxfId="1010" priority="1631" stopIfTrue="1" operator="equal">
      <formula>"N"</formula>
    </cfRule>
    <cfRule type="cellIs" dxfId="1009" priority="1632" stopIfTrue="1" operator="equal">
      <formula>"NA"</formula>
    </cfRule>
  </conditionalFormatting>
  <conditionalFormatting sqref="AA235">
    <cfRule type="cellIs" dxfId="1008" priority="1557" stopIfTrue="1" operator="equal">
      <formula>"R"</formula>
    </cfRule>
    <cfRule type="cellIs" dxfId="1007" priority="1558" stopIfTrue="1" operator="equal">
      <formula>"Y"</formula>
    </cfRule>
    <cfRule type="cellIs" dxfId="1006" priority="1559" stopIfTrue="1" operator="equal">
      <formula>"G"</formula>
    </cfRule>
  </conditionalFormatting>
  <conditionalFormatting sqref="AB235">
    <cfRule type="cellIs" dxfId="1005" priority="1554" stopIfTrue="1" operator="equal">
      <formula>"Y"</formula>
    </cfRule>
    <cfRule type="cellIs" dxfId="1004" priority="1555" stopIfTrue="1" operator="equal">
      <formula>"N"</formula>
    </cfRule>
    <cfRule type="cellIs" dxfId="1003" priority="1556" stopIfTrue="1" operator="equal">
      <formula>"NA"</formula>
    </cfRule>
  </conditionalFormatting>
  <conditionalFormatting sqref="AB234">
    <cfRule type="cellIs" dxfId="1002" priority="1611" stopIfTrue="1" operator="equal">
      <formula>"Y"</formula>
    </cfRule>
    <cfRule type="cellIs" dxfId="1001" priority="1612" stopIfTrue="1" operator="equal">
      <formula>"N"</formula>
    </cfRule>
    <cfRule type="cellIs" dxfId="1000" priority="1613" stopIfTrue="1" operator="equal">
      <formula>"NA"</formula>
    </cfRule>
  </conditionalFormatting>
  <conditionalFormatting sqref="AA233">
    <cfRule type="cellIs" dxfId="999" priority="1595" stopIfTrue="1" operator="equal">
      <formula>"R"</formula>
    </cfRule>
    <cfRule type="cellIs" dxfId="998" priority="1596" stopIfTrue="1" operator="equal">
      <formula>"Y"</formula>
    </cfRule>
    <cfRule type="cellIs" dxfId="997" priority="1597" stopIfTrue="1" operator="equal">
      <formula>"G"</formula>
    </cfRule>
  </conditionalFormatting>
  <conditionalFormatting sqref="AB233">
    <cfRule type="cellIs" dxfId="996" priority="1592" stopIfTrue="1" operator="equal">
      <formula>"Y"</formula>
    </cfRule>
    <cfRule type="cellIs" dxfId="995" priority="1593" stopIfTrue="1" operator="equal">
      <formula>"N"</formula>
    </cfRule>
    <cfRule type="cellIs" dxfId="994" priority="1594" stopIfTrue="1" operator="equal">
      <formula>"NA"</formula>
    </cfRule>
  </conditionalFormatting>
  <conditionalFormatting sqref="AA236">
    <cfRule type="cellIs" dxfId="993" priority="1576" stopIfTrue="1" operator="equal">
      <formula>"R"</formula>
    </cfRule>
    <cfRule type="cellIs" dxfId="992" priority="1577" stopIfTrue="1" operator="equal">
      <formula>"Y"</formula>
    </cfRule>
    <cfRule type="cellIs" dxfId="991" priority="1578" stopIfTrue="1" operator="equal">
      <formula>"G"</formula>
    </cfRule>
  </conditionalFormatting>
  <conditionalFormatting sqref="AB236">
    <cfRule type="cellIs" dxfId="990" priority="1573" stopIfTrue="1" operator="equal">
      <formula>"Y"</formula>
    </cfRule>
    <cfRule type="cellIs" dxfId="989" priority="1574" stopIfTrue="1" operator="equal">
      <formula>"N"</formula>
    </cfRule>
    <cfRule type="cellIs" dxfId="988" priority="1575" stopIfTrue="1" operator="equal">
      <formula>"NA"</formula>
    </cfRule>
  </conditionalFormatting>
  <conditionalFormatting sqref="V14">
    <cfRule type="cellIs" dxfId="987" priority="963" stopIfTrue="1" operator="equal">
      <formula>"Y"</formula>
    </cfRule>
    <cfRule type="cellIs" dxfId="986" priority="964" stopIfTrue="1" operator="equal">
      <formula>"N"</formula>
    </cfRule>
    <cfRule type="cellIs" dxfId="985" priority="965" stopIfTrue="1" operator="equal">
      <formula>"NA"</formula>
    </cfRule>
  </conditionalFormatting>
  <conditionalFormatting sqref="AA362">
    <cfRule type="cellIs" dxfId="984" priority="1484" stopIfTrue="1" operator="equal">
      <formula>"R"</formula>
    </cfRule>
    <cfRule type="cellIs" dxfId="983" priority="1485" stopIfTrue="1" operator="equal">
      <formula>"Y"</formula>
    </cfRule>
    <cfRule type="cellIs" dxfId="982" priority="1486" stopIfTrue="1" operator="equal">
      <formula>"G"</formula>
    </cfRule>
  </conditionalFormatting>
  <conditionalFormatting sqref="AB362">
    <cfRule type="cellIs" dxfId="981" priority="1481" stopIfTrue="1" operator="equal">
      <formula>"Y"</formula>
    </cfRule>
    <cfRule type="cellIs" dxfId="980" priority="1482" stopIfTrue="1" operator="equal">
      <formula>"N"</formula>
    </cfRule>
    <cfRule type="cellIs" dxfId="979" priority="1483" stopIfTrue="1" operator="equal">
      <formula>"NA"</formula>
    </cfRule>
  </conditionalFormatting>
  <conditionalFormatting sqref="I362">
    <cfRule type="cellIs" dxfId="978" priority="1477" stopIfTrue="1" operator="equal">
      <formula>"Y"</formula>
    </cfRule>
    <cfRule type="cellIs" dxfId="977" priority="1478" stopIfTrue="1" operator="equal">
      <formula>"N"</formula>
    </cfRule>
    <cfRule type="cellIs" dxfId="976" priority="1479" stopIfTrue="1" operator="equal">
      <formula>"NA"</formula>
    </cfRule>
  </conditionalFormatting>
  <conditionalFormatting sqref="AA363:AA364">
    <cfRule type="cellIs" dxfId="975" priority="1474" stopIfTrue="1" operator="equal">
      <formula>"R"</formula>
    </cfRule>
    <cfRule type="cellIs" dxfId="974" priority="1475" stopIfTrue="1" operator="equal">
      <formula>"Y"</formula>
    </cfRule>
    <cfRule type="cellIs" dxfId="973" priority="1476" stopIfTrue="1" operator="equal">
      <formula>"G"</formula>
    </cfRule>
  </conditionalFormatting>
  <conditionalFormatting sqref="AB363:AB364">
    <cfRule type="cellIs" dxfId="972" priority="1471" stopIfTrue="1" operator="equal">
      <formula>"Y"</formula>
    </cfRule>
    <cfRule type="cellIs" dxfId="971" priority="1472" stopIfTrue="1" operator="equal">
      <formula>"N"</formula>
    </cfRule>
    <cfRule type="cellIs" dxfId="970" priority="1473" stopIfTrue="1" operator="equal">
      <formula>"NA"</formula>
    </cfRule>
  </conditionalFormatting>
  <conditionalFormatting sqref="I363:I364">
    <cfRule type="cellIs" dxfId="969" priority="1467" stopIfTrue="1" operator="equal">
      <formula>"Y"</formula>
    </cfRule>
    <cfRule type="cellIs" dxfId="968" priority="1468" stopIfTrue="1" operator="equal">
      <formula>"N"</formula>
    </cfRule>
    <cfRule type="cellIs" dxfId="967" priority="1469" stopIfTrue="1" operator="equal">
      <formula>"NA"</formula>
    </cfRule>
  </conditionalFormatting>
  <conditionalFormatting sqref="J365">
    <cfRule type="cellIs" dxfId="966" priority="1458" stopIfTrue="1" operator="equal">
      <formula>"Y"</formula>
    </cfRule>
    <cfRule type="cellIs" dxfId="965" priority="1459" stopIfTrue="1" operator="equal">
      <formula>"N"</formula>
    </cfRule>
    <cfRule type="cellIs" dxfId="964" priority="1460" stopIfTrue="1" operator="equal">
      <formula>"NA"</formula>
    </cfRule>
  </conditionalFormatting>
  <conditionalFormatting sqref="I365">
    <cfRule type="cellIs" dxfId="963" priority="1455" stopIfTrue="1" operator="equal">
      <formula>"Y"</formula>
    </cfRule>
    <cfRule type="cellIs" dxfId="962" priority="1456" stopIfTrue="1" operator="equal">
      <formula>"N"</formula>
    </cfRule>
    <cfRule type="cellIs" dxfId="961" priority="1457" stopIfTrue="1" operator="equal">
      <formula>"NA"</formula>
    </cfRule>
  </conditionalFormatting>
  <conditionalFormatting sqref="B365 E365:G365">
    <cfRule type="expression" dxfId="960" priority="1454">
      <formula>$B365="del"</formula>
    </cfRule>
  </conditionalFormatting>
  <conditionalFormatting sqref="S103:V116 S336:V413">
    <cfRule type="expression" dxfId="959" priority="1422">
      <formula>AND($U103&gt;0)</formula>
    </cfRule>
    <cfRule type="expression" dxfId="958" priority="1423">
      <formula>AND($U103="",$T103&lt;&gt;"",$T103&gt;$T$1,$T103&lt;=$U$1)</formula>
    </cfRule>
    <cfRule type="expression" dxfId="957" priority="1424">
      <formula>AND($U103="",$T103&lt;&gt;"",$T103&gt;$S$1,$T103&lt;=$U$1)</formula>
    </cfRule>
    <cfRule type="expression" dxfId="956" priority="1426">
      <formula>AND($U103="",$T103&lt;&gt;"",$T103&lt;=$S$1)</formula>
    </cfRule>
  </conditionalFormatting>
  <conditionalFormatting sqref="I366">
    <cfRule type="cellIs" dxfId="955" priority="1316" stopIfTrue="1" operator="equal">
      <formula>"Y"</formula>
    </cfRule>
    <cfRule type="cellIs" dxfId="954" priority="1317" stopIfTrue="1" operator="equal">
      <formula>"N"</formula>
    </cfRule>
    <cfRule type="cellIs" dxfId="953" priority="1318" stopIfTrue="1" operator="equal">
      <formula>"NA"</formula>
    </cfRule>
  </conditionalFormatting>
  <conditionalFormatting sqref="B366">
    <cfRule type="expression" dxfId="952" priority="1315">
      <formula>$B366="del"</formula>
    </cfRule>
  </conditionalFormatting>
  <conditionalFormatting sqref="E366:G368">
    <cfRule type="expression" dxfId="951" priority="1314">
      <formula>$B366="del"</formula>
    </cfRule>
  </conditionalFormatting>
  <conditionalFormatting sqref="I386:I391 I367:I372">
    <cfRule type="cellIs" dxfId="950" priority="1311" stopIfTrue="1" operator="equal">
      <formula>"Y"</formula>
    </cfRule>
    <cfRule type="cellIs" dxfId="949" priority="1312" stopIfTrue="1" operator="equal">
      <formula>"N"</formula>
    </cfRule>
    <cfRule type="cellIs" dxfId="948" priority="1313" stopIfTrue="1" operator="equal">
      <formula>"NA"</formula>
    </cfRule>
  </conditionalFormatting>
  <conditionalFormatting sqref="E383:E391 B374:B380 E369:G372 B367">
    <cfRule type="expression" dxfId="947" priority="1310">
      <formula>$B367="del"</formula>
    </cfRule>
  </conditionalFormatting>
  <conditionalFormatting sqref="E373:H382">
    <cfRule type="expression" dxfId="946" priority="1308">
      <formula>$B373="del"</formula>
    </cfRule>
  </conditionalFormatting>
  <conditionalFormatting sqref="B368:B373">
    <cfRule type="expression" dxfId="945" priority="1307">
      <formula>$B368="del"</formula>
    </cfRule>
  </conditionalFormatting>
  <conditionalFormatting sqref="I377:I385">
    <cfRule type="cellIs" dxfId="944" priority="1301" stopIfTrue="1" operator="equal">
      <formula>"Y"</formula>
    </cfRule>
    <cfRule type="cellIs" dxfId="943" priority="1302" stopIfTrue="1" operator="equal">
      <formula>"N"</formula>
    </cfRule>
    <cfRule type="cellIs" dxfId="942" priority="1303" stopIfTrue="1" operator="equal">
      <formula>"NA"</formula>
    </cfRule>
  </conditionalFormatting>
  <conditionalFormatting sqref="B381:B383">
    <cfRule type="expression" dxfId="941" priority="1300">
      <formula>$B381="del"</formula>
    </cfRule>
  </conditionalFormatting>
  <conditionalFormatting sqref="B384">
    <cfRule type="expression" dxfId="940" priority="1299">
      <formula>$B384="del"</formula>
    </cfRule>
  </conditionalFormatting>
  <conditionalFormatting sqref="B385:B391">
    <cfRule type="expression" dxfId="939" priority="1298">
      <formula>$B385="del"</formula>
    </cfRule>
  </conditionalFormatting>
  <conditionalFormatting sqref="B392 E392:I392">
    <cfRule type="expression" dxfId="938" priority="1297">
      <formula>$B392="del"</formula>
    </cfRule>
  </conditionalFormatting>
  <conditionalFormatting sqref="O366:Q366">
    <cfRule type="expression" dxfId="937" priority="1296">
      <formula>$B366="del"</formula>
    </cfRule>
  </conditionalFormatting>
  <conditionalFormatting sqref="O367:P370">
    <cfRule type="expression" dxfId="936" priority="1295">
      <formula>$B367="del"</formula>
    </cfRule>
  </conditionalFormatting>
  <conditionalFormatting sqref="O392:P392">
    <cfRule type="expression" dxfId="935" priority="1294">
      <formula>$B392="del"</formula>
    </cfRule>
  </conditionalFormatting>
  <conditionalFormatting sqref="R366">
    <cfRule type="expression" dxfId="934" priority="1257">
      <formula>$B366="del"</formula>
    </cfRule>
  </conditionalFormatting>
  <conditionalFormatting sqref="B103:C116 J9:L17 M10:M17 J5:M8 J18:M23 J24:L24 Q5:R10 Q20:R24 N103:R116 N25 L25 J103:L116 E26:F26 E27:G45 O11:R19">
    <cfRule type="expression" dxfId="933" priority="1190">
      <formula>$B5="del"</formula>
    </cfRule>
  </conditionalFormatting>
  <conditionalFormatting sqref="E99:G102 M99:M102 D95:G96">
    <cfRule type="expression" dxfId="932" priority="1146">
      <formula>$B95="del"</formula>
    </cfRule>
  </conditionalFormatting>
  <conditionalFormatting sqref="F97:G98 M97:M98">
    <cfRule type="expression" dxfId="931" priority="1145">
      <formula>$B97="del"</formula>
    </cfRule>
  </conditionalFormatting>
  <conditionalFormatting sqref="E97">
    <cfRule type="expression" dxfId="930" priority="1144">
      <formula>$B97="del"</formula>
    </cfRule>
  </conditionalFormatting>
  <conditionalFormatting sqref="E98">
    <cfRule type="expression" dxfId="929" priority="1143">
      <formula>$B98="del"</formula>
    </cfRule>
  </conditionalFormatting>
  <conditionalFormatting sqref="I5:I7 I9:I11">
    <cfRule type="cellIs" dxfId="928" priority="1133" stopIfTrue="1" operator="equal">
      <formula>"Y"</formula>
    </cfRule>
    <cfRule type="cellIs" dxfId="927" priority="1134" stopIfTrue="1" operator="equal">
      <formula>"N"</formula>
    </cfRule>
    <cfRule type="cellIs" dxfId="926" priority="1135" stopIfTrue="1" operator="equal">
      <formula>"NA"</formula>
    </cfRule>
  </conditionalFormatting>
  <conditionalFormatting sqref="I8">
    <cfRule type="cellIs" dxfId="925" priority="1130" stopIfTrue="1" operator="equal">
      <formula>"Y"</formula>
    </cfRule>
    <cfRule type="cellIs" dxfId="924" priority="1131" stopIfTrue="1" operator="equal">
      <formula>"N"</formula>
    </cfRule>
    <cfRule type="cellIs" dxfId="923" priority="1132" stopIfTrue="1" operator="equal">
      <formula>"NA"</formula>
    </cfRule>
  </conditionalFormatting>
  <conditionalFormatting sqref="I20:I24">
    <cfRule type="cellIs" dxfId="922" priority="1127" stopIfTrue="1" operator="equal">
      <formula>"Y"</formula>
    </cfRule>
    <cfRule type="cellIs" dxfId="921" priority="1128" stopIfTrue="1" operator="equal">
      <formula>"N"</formula>
    </cfRule>
    <cfRule type="cellIs" dxfId="920" priority="1129" stopIfTrue="1" operator="equal">
      <formula>"NA"</formula>
    </cfRule>
  </conditionalFormatting>
  <conditionalFormatting sqref="V8">
    <cfRule type="cellIs" dxfId="919" priority="1023" stopIfTrue="1" operator="equal">
      <formula>"Y"</formula>
    </cfRule>
    <cfRule type="cellIs" dxfId="918" priority="1024" stopIfTrue="1" operator="equal">
      <formula>"N"</formula>
    </cfRule>
    <cfRule type="cellIs" dxfId="917" priority="1025" stopIfTrue="1" operator="equal">
      <formula>"NA"</formula>
    </cfRule>
  </conditionalFormatting>
  <conditionalFormatting sqref="Y100:Z102 Z95:Z99">
    <cfRule type="cellIs" dxfId="916" priority="1092" stopIfTrue="1" operator="equal">
      <formula>"R"</formula>
    </cfRule>
    <cfRule type="cellIs" dxfId="915" priority="1093" stopIfTrue="1" operator="equal">
      <formula>"Y"</formula>
    </cfRule>
    <cfRule type="cellIs" dxfId="914" priority="1094" stopIfTrue="1" operator="equal">
      <formula>"G"</formula>
    </cfRule>
  </conditionalFormatting>
  <conditionalFormatting sqref="U100:V100 S100:S102">
    <cfRule type="cellIs" dxfId="913" priority="1089" stopIfTrue="1" operator="equal">
      <formula>"Y"</formula>
    </cfRule>
    <cfRule type="cellIs" dxfId="912" priority="1090" stopIfTrue="1" operator="equal">
      <formula>"N"</formula>
    </cfRule>
    <cfRule type="cellIs" dxfId="911" priority="1091" stopIfTrue="1" operator="equal">
      <formula>"NA"</formula>
    </cfRule>
  </conditionalFormatting>
  <conditionalFormatting sqref="Y5:AA5 Z7 Z10">
    <cfRule type="cellIs" dxfId="910" priority="1062" stopIfTrue="1" operator="equal">
      <formula>"R"</formula>
    </cfRule>
    <cfRule type="cellIs" dxfId="909" priority="1063" stopIfTrue="1" operator="equal">
      <formula>"Y"</formula>
    </cfRule>
    <cfRule type="cellIs" dxfId="908" priority="1064" stopIfTrue="1" operator="equal">
      <formula>"G"</formula>
    </cfRule>
  </conditionalFormatting>
  <conditionalFormatting sqref="U5:V5 V7 S5 V9:V10">
    <cfRule type="cellIs" dxfId="907" priority="1059" stopIfTrue="1" operator="equal">
      <formula>"Y"</formula>
    </cfRule>
    <cfRule type="cellIs" dxfId="906" priority="1060" stopIfTrue="1" operator="equal">
      <formula>"N"</formula>
    </cfRule>
    <cfRule type="cellIs" dxfId="905" priority="1061" stopIfTrue="1" operator="equal">
      <formula>"NA"</formula>
    </cfRule>
  </conditionalFormatting>
  <conditionalFormatting sqref="V11">
    <cfRule type="cellIs" dxfId="904" priority="903" stopIfTrue="1" operator="equal">
      <formula>"Y"</formula>
    </cfRule>
    <cfRule type="cellIs" dxfId="903" priority="904" stopIfTrue="1" operator="equal">
      <formula>"N"</formula>
    </cfRule>
    <cfRule type="cellIs" dxfId="902" priority="905" stopIfTrue="1" operator="equal">
      <formula>"NA"</formula>
    </cfRule>
  </conditionalFormatting>
  <conditionalFormatting sqref="O5:P8 O20:P23">
    <cfRule type="expression" dxfId="901" priority="1065">
      <formula>$B6="del"</formula>
    </cfRule>
  </conditionalFormatting>
  <conditionalFormatting sqref="Y6:AA6">
    <cfRule type="cellIs" dxfId="900" priority="1050" stopIfTrue="1" operator="equal">
      <formula>"R"</formula>
    </cfRule>
    <cfRule type="cellIs" dxfId="899" priority="1051" stopIfTrue="1" operator="equal">
      <formula>"Y"</formula>
    </cfRule>
    <cfRule type="cellIs" dxfId="898" priority="1052" stopIfTrue="1" operator="equal">
      <formula>"G"</formula>
    </cfRule>
  </conditionalFormatting>
  <conditionalFormatting sqref="U6:W6 S6">
    <cfRule type="cellIs" dxfId="897" priority="1047" stopIfTrue="1" operator="equal">
      <formula>"Y"</formula>
    </cfRule>
    <cfRule type="cellIs" dxfId="896" priority="1048" stopIfTrue="1" operator="equal">
      <formula>"N"</formula>
    </cfRule>
    <cfRule type="cellIs" dxfId="895" priority="1049" stopIfTrue="1" operator="equal">
      <formula>"NA"</formula>
    </cfRule>
  </conditionalFormatting>
  <conditionalFormatting sqref="S7">
    <cfRule type="cellIs" dxfId="894" priority="1041" stopIfTrue="1" operator="equal">
      <formula>"Y"</formula>
    </cfRule>
    <cfRule type="cellIs" dxfId="893" priority="1042" stopIfTrue="1" operator="equal">
      <formula>"N"</formula>
    </cfRule>
    <cfRule type="cellIs" dxfId="892" priority="1043" stopIfTrue="1" operator="equal">
      <formula>"NA"</formula>
    </cfRule>
  </conditionalFormatting>
  <conditionalFormatting sqref="V12">
    <cfRule type="cellIs" dxfId="891" priority="885" stopIfTrue="1" operator="equal">
      <formula>"Y"</formula>
    </cfRule>
    <cfRule type="cellIs" dxfId="890" priority="886" stopIfTrue="1" operator="equal">
      <formula>"N"</formula>
    </cfRule>
    <cfRule type="cellIs" dxfId="889" priority="887" stopIfTrue="1" operator="equal">
      <formula>"NA"</formula>
    </cfRule>
  </conditionalFormatting>
  <conditionalFormatting sqref="W7">
    <cfRule type="cellIs" dxfId="888" priority="1035" stopIfTrue="1" operator="equal">
      <formula>"Y"</formula>
    </cfRule>
    <cfRule type="cellIs" dxfId="887" priority="1036" stopIfTrue="1" operator="equal">
      <formula>"N"</formula>
    </cfRule>
    <cfRule type="cellIs" dxfId="886" priority="1037" stopIfTrue="1" operator="equal">
      <formula>"NA"</formula>
    </cfRule>
  </conditionalFormatting>
  <conditionalFormatting sqref="AA7">
    <cfRule type="cellIs" dxfId="885" priority="1029" stopIfTrue="1" operator="equal">
      <formula>"R"</formula>
    </cfRule>
    <cfRule type="cellIs" dxfId="884" priority="1030" stopIfTrue="1" operator="equal">
      <formula>"Y"</formula>
    </cfRule>
    <cfRule type="cellIs" dxfId="883" priority="1031" stopIfTrue="1" operator="equal">
      <formula>"G"</formula>
    </cfRule>
  </conditionalFormatting>
  <conditionalFormatting sqref="Z8">
    <cfRule type="cellIs" dxfId="882" priority="1026" stopIfTrue="1" operator="equal">
      <formula>"R"</formula>
    </cfRule>
    <cfRule type="cellIs" dxfId="881" priority="1027" stopIfTrue="1" operator="equal">
      <formula>"Y"</formula>
    </cfRule>
    <cfRule type="cellIs" dxfId="880" priority="1028" stopIfTrue="1" operator="equal">
      <formula>"G"</formula>
    </cfRule>
  </conditionalFormatting>
  <conditionalFormatting sqref="S8">
    <cfRule type="cellIs" dxfId="879" priority="1020" stopIfTrue="1" operator="equal">
      <formula>"Y"</formula>
    </cfRule>
    <cfRule type="cellIs" dxfId="878" priority="1021" stopIfTrue="1" operator="equal">
      <formula>"N"</formula>
    </cfRule>
    <cfRule type="cellIs" dxfId="877" priority="1022" stopIfTrue="1" operator="equal">
      <formula>"NA"</formula>
    </cfRule>
  </conditionalFormatting>
  <conditionalFormatting sqref="S17">
    <cfRule type="cellIs" dxfId="876" priority="864" stopIfTrue="1" operator="equal">
      <formula>"Y"</formula>
    </cfRule>
    <cfRule type="cellIs" dxfId="875" priority="865" stopIfTrue="1" operator="equal">
      <formula>"N"</formula>
    </cfRule>
    <cfRule type="cellIs" dxfId="874" priority="866" stopIfTrue="1" operator="equal">
      <formula>"NA"</formula>
    </cfRule>
  </conditionalFormatting>
  <conditionalFormatting sqref="W8">
    <cfRule type="cellIs" dxfId="873" priority="1014" stopIfTrue="1" operator="equal">
      <formula>"Y"</formula>
    </cfRule>
    <cfRule type="cellIs" dxfId="872" priority="1015" stopIfTrue="1" operator="equal">
      <formula>"N"</formula>
    </cfRule>
    <cfRule type="cellIs" dxfId="871" priority="1016" stopIfTrue="1" operator="equal">
      <formula>"NA"</formula>
    </cfRule>
  </conditionalFormatting>
  <conditionalFormatting sqref="AA8">
    <cfRule type="cellIs" dxfId="870" priority="1008" stopIfTrue="1" operator="equal">
      <formula>"R"</formula>
    </cfRule>
    <cfRule type="cellIs" dxfId="869" priority="1009" stopIfTrue="1" operator="equal">
      <formula>"Y"</formula>
    </cfRule>
    <cfRule type="cellIs" dxfId="868" priority="1010" stopIfTrue="1" operator="equal">
      <formula>"G"</formula>
    </cfRule>
  </conditionalFormatting>
  <conditionalFormatting sqref="S19">
    <cfRule type="cellIs" dxfId="867" priority="846" stopIfTrue="1" operator="equal">
      <formula>"Y"</formula>
    </cfRule>
    <cfRule type="cellIs" dxfId="866" priority="847" stopIfTrue="1" operator="equal">
      <formula>"N"</formula>
    </cfRule>
    <cfRule type="cellIs" dxfId="865" priority="848" stopIfTrue="1" operator="equal">
      <formula>"NA"</formula>
    </cfRule>
  </conditionalFormatting>
  <conditionalFormatting sqref="W9:W10">
    <cfRule type="cellIs" dxfId="864" priority="996" stopIfTrue="1" operator="equal">
      <formula>"Y"</formula>
    </cfRule>
    <cfRule type="cellIs" dxfId="863" priority="997" stopIfTrue="1" operator="equal">
      <formula>"N"</formula>
    </cfRule>
    <cfRule type="cellIs" dxfId="862" priority="998" stopIfTrue="1" operator="equal">
      <formula>"NA"</formula>
    </cfRule>
  </conditionalFormatting>
  <conditionalFormatting sqref="O9:P10">
    <cfRule type="expression" dxfId="861" priority="1066">
      <formula>$B11="del"</formula>
    </cfRule>
  </conditionalFormatting>
  <conditionalFormatting sqref="S9:S10">
    <cfRule type="cellIs" dxfId="860" priority="1002" stopIfTrue="1" operator="equal">
      <formula>"Y"</formula>
    </cfRule>
    <cfRule type="cellIs" dxfId="859" priority="1003" stopIfTrue="1" operator="equal">
      <formula>"N"</formula>
    </cfRule>
    <cfRule type="cellIs" dxfId="858" priority="1004" stopIfTrue="1" operator="equal">
      <formula>"NA"</formula>
    </cfRule>
  </conditionalFormatting>
  <conditionalFormatting sqref="AA9:AA10">
    <cfRule type="cellIs" dxfId="857" priority="990" stopIfTrue="1" operator="equal">
      <formula>"R"</formula>
    </cfRule>
    <cfRule type="cellIs" dxfId="856" priority="991" stopIfTrue="1" operator="equal">
      <formula>"Y"</formula>
    </cfRule>
    <cfRule type="cellIs" dxfId="855" priority="992" stopIfTrue="1" operator="equal">
      <formula>"G"</formula>
    </cfRule>
  </conditionalFormatting>
  <conditionalFormatting sqref="Z13">
    <cfRule type="cellIs" dxfId="854" priority="987" stopIfTrue="1" operator="equal">
      <formula>"R"</formula>
    </cfRule>
    <cfRule type="cellIs" dxfId="853" priority="988" stopIfTrue="1" operator="equal">
      <formula>"Y"</formula>
    </cfRule>
    <cfRule type="cellIs" dxfId="852" priority="989" stopIfTrue="1" operator="equal">
      <formula>"G"</formula>
    </cfRule>
  </conditionalFormatting>
  <conditionalFormatting sqref="V13:V16">
    <cfRule type="cellIs" dxfId="851" priority="984" stopIfTrue="1" operator="equal">
      <formula>"Y"</formula>
    </cfRule>
    <cfRule type="cellIs" dxfId="850" priority="985" stopIfTrue="1" operator="equal">
      <formula>"N"</formula>
    </cfRule>
    <cfRule type="cellIs" dxfId="849" priority="986" stopIfTrue="1" operator="equal">
      <formula>"NA"</formula>
    </cfRule>
  </conditionalFormatting>
  <conditionalFormatting sqref="S13">
    <cfRule type="cellIs" dxfId="848" priority="981" stopIfTrue="1" operator="equal">
      <formula>"Y"</formula>
    </cfRule>
    <cfRule type="cellIs" dxfId="847" priority="982" stopIfTrue="1" operator="equal">
      <formula>"N"</formula>
    </cfRule>
    <cfRule type="cellIs" dxfId="846" priority="983" stopIfTrue="1" operator="equal">
      <formula>"NA"</formula>
    </cfRule>
  </conditionalFormatting>
  <conditionalFormatting sqref="W13">
    <cfRule type="cellIs" dxfId="845" priority="975" stopIfTrue="1" operator="equal">
      <formula>"Y"</formula>
    </cfRule>
    <cfRule type="cellIs" dxfId="844" priority="976" stopIfTrue="1" operator="equal">
      <formula>"N"</formula>
    </cfRule>
    <cfRule type="cellIs" dxfId="843" priority="977" stopIfTrue="1" operator="equal">
      <formula>"NA"</formula>
    </cfRule>
  </conditionalFormatting>
  <conditionalFormatting sqref="AA13">
    <cfRule type="cellIs" dxfId="842" priority="969" stopIfTrue="1" operator="equal">
      <formula>"R"</formula>
    </cfRule>
    <cfRule type="cellIs" dxfId="841" priority="970" stopIfTrue="1" operator="equal">
      <formula>"Y"</formula>
    </cfRule>
    <cfRule type="cellIs" dxfId="840" priority="971" stopIfTrue="1" operator="equal">
      <formula>"G"</formula>
    </cfRule>
  </conditionalFormatting>
  <conditionalFormatting sqref="Z14">
    <cfRule type="cellIs" dxfId="839" priority="966" stopIfTrue="1" operator="equal">
      <formula>"R"</formula>
    </cfRule>
    <cfRule type="cellIs" dxfId="838" priority="967" stopIfTrue="1" operator="equal">
      <formula>"Y"</formula>
    </cfRule>
    <cfRule type="cellIs" dxfId="837" priority="968" stopIfTrue="1" operator="equal">
      <formula>"G"</formula>
    </cfRule>
  </conditionalFormatting>
  <conditionalFormatting sqref="S14">
    <cfRule type="cellIs" dxfId="836" priority="960" stopIfTrue="1" operator="equal">
      <formula>"Y"</formula>
    </cfRule>
    <cfRule type="cellIs" dxfId="835" priority="961" stopIfTrue="1" operator="equal">
      <formula>"N"</formula>
    </cfRule>
    <cfRule type="cellIs" dxfId="834" priority="962" stopIfTrue="1" operator="equal">
      <formula>"NA"</formula>
    </cfRule>
  </conditionalFormatting>
  <conditionalFormatting sqref="W14">
    <cfRule type="cellIs" dxfId="833" priority="954" stopIfTrue="1" operator="equal">
      <formula>"Y"</formula>
    </cfRule>
    <cfRule type="cellIs" dxfId="832" priority="955" stopIfTrue="1" operator="equal">
      <formula>"N"</formula>
    </cfRule>
    <cfRule type="cellIs" dxfId="831" priority="956" stopIfTrue="1" operator="equal">
      <formula>"NA"</formula>
    </cfRule>
  </conditionalFormatting>
  <conditionalFormatting sqref="AA14">
    <cfRule type="cellIs" dxfId="830" priority="948" stopIfTrue="1" operator="equal">
      <formula>"R"</formula>
    </cfRule>
    <cfRule type="cellIs" dxfId="829" priority="949" stopIfTrue="1" operator="equal">
      <formula>"Y"</formula>
    </cfRule>
    <cfRule type="cellIs" dxfId="828" priority="950" stopIfTrue="1" operator="equal">
      <formula>"G"</formula>
    </cfRule>
  </conditionalFormatting>
  <conditionalFormatting sqref="Z15">
    <cfRule type="cellIs" dxfId="827" priority="945" stopIfTrue="1" operator="equal">
      <formula>"R"</formula>
    </cfRule>
    <cfRule type="cellIs" dxfId="826" priority="946" stopIfTrue="1" operator="equal">
      <formula>"Y"</formula>
    </cfRule>
    <cfRule type="cellIs" dxfId="825" priority="947" stopIfTrue="1" operator="equal">
      <formula>"G"</formula>
    </cfRule>
  </conditionalFormatting>
  <conditionalFormatting sqref="V15">
    <cfRule type="cellIs" dxfId="824" priority="942" stopIfTrue="1" operator="equal">
      <formula>"Y"</formula>
    </cfRule>
    <cfRule type="cellIs" dxfId="823" priority="943" stopIfTrue="1" operator="equal">
      <formula>"N"</formula>
    </cfRule>
    <cfRule type="cellIs" dxfId="822" priority="944" stopIfTrue="1" operator="equal">
      <formula>"NA"</formula>
    </cfRule>
  </conditionalFormatting>
  <conditionalFormatting sqref="S15">
    <cfRule type="cellIs" dxfId="821" priority="939" stopIfTrue="1" operator="equal">
      <formula>"Y"</formula>
    </cfRule>
    <cfRule type="cellIs" dxfId="820" priority="940" stopIfTrue="1" operator="equal">
      <formula>"N"</formula>
    </cfRule>
    <cfRule type="cellIs" dxfId="819" priority="941" stopIfTrue="1" operator="equal">
      <formula>"NA"</formula>
    </cfRule>
  </conditionalFormatting>
  <conditionalFormatting sqref="W15">
    <cfRule type="cellIs" dxfId="818" priority="933" stopIfTrue="1" operator="equal">
      <formula>"Y"</formula>
    </cfRule>
    <cfRule type="cellIs" dxfId="817" priority="934" stopIfTrue="1" operator="equal">
      <formula>"N"</formula>
    </cfRule>
    <cfRule type="cellIs" dxfId="816" priority="935" stopIfTrue="1" operator="equal">
      <formula>"NA"</formula>
    </cfRule>
  </conditionalFormatting>
  <conditionalFormatting sqref="AA15">
    <cfRule type="cellIs" dxfId="815" priority="927" stopIfTrue="1" operator="equal">
      <formula>"R"</formula>
    </cfRule>
    <cfRule type="cellIs" dxfId="814" priority="928" stopIfTrue="1" operator="equal">
      <formula>"Y"</formula>
    </cfRule>
    <cfRule type="cellIs" dxfId="813" priority="929" stopIfTrue="1" operator="equal">
      <formula>"G"</formula>
    </cfRule>
  </conditionalFormatting>
  <conditionalFormatting sqref="Z16">
    <cfRule type="cellIs" dxfId="812" priority="924" stopIfTrue="1" operator="equal">
      <formula>"R"</formula>
    </cfRule>
    <cfRule type="cellIs" dxfId="811" priority="925" stopIfTrue="1" operator="equal">
      <formula>"Y"</formula>
    </cfRule>
    <cfRule type="cellIs" dxfId="810" priority="926" stopIfTrue="1" operator="equal">
      <formula>"G"</formula>
    </cfRule>
  </conditionalFormatting>
  <conditionalFormatting sqref="V16">
    <cfRule type="cellIs" dxfId="809" priority="921" stopIfTrue="1" operator="equal">
      <formula>"Y"</formula>
    </cfRule>
    <cfRule type="cellIs" dxfId="808" priority="922" stopIfTrue="1" operator="equal">
      <formula>"N"</formula>
    </cfRule>
    <cfRule type="cellIs" dxfId="807" priority="923" stopIfTrue="1" operator="equal">
      <formula>"NA"</formula>
    </cfRule>
  </conditionalFormatting>
  <conditionalFormatting sqref="S16">
    <cfRule type="cellIs" dxfId="806" priority="918" stopIfTrue="1" operator="equal">
      <formula>"Y"</formula>
    </cfRule>
    <cfRule type="cellIs" dxfId="805" priority="919" stopIfTrue="1" operator="equal">
      <formula>"N"</formula>
    </cfRule>
    <cfRule type="cellIs" dxfId="804" priority="920" stopIfTrue="1" operator="equal">
      <formula>"NA"</formula>
    </cfRule>
  </conditionalFormatting>
  <conditionalFormatting sqref="W16">
    <cfRule type="cellIs" dxfId="803" priority="912" stopIfTrue="1" operator="equal">
      <formula>"Y"</formula>
    </cfRule>
    <cfRule type="cellIs" dxfId="802" priority="913" stopIfTrue="1" operator="equal">
      <formula>"N"</formula>
    </cfRule>
    <cfRule type="cellIs" dxfId="801" priority="914" stopIfTrue="1" operator="equal">
      <formula>"NA"</formula>
    </cfRule>
  </conditionalFormatting>
  <conditionalFormatting sqref="AA16">
    <cfRule type="cellIs" dxfId="800" priority="906" stopIfTrue="1" operator="equal">
      <formula>"R"</formula>
    </cfRule>
    <cfRule type="cellIs" dxfId="799" priority="907" stopIfTrue="1" operator="equal">
      <formula>"Y"</formula>
    </cfRule>
    <cfRule type="cellIs" dxfId="798" priority="908" stopIfTrue="1" operator="equal">
      <formula>"G"</formula>
    </cfRule>
  </conditionalFormatting>
  <conditionalFormatting sqref="W11">
    <cfRule type="cellIs" dxfId="797" priority="894" stopIfTrue="1" operator="equal">
      <formula>"Y"</formula>
    </cfRule>
    <cfRule type="cellIs" dxfId="796" priority="895" stopIfTrue="1" operator="equal">
      <formula>"N"</formula>
    </cfRule>
    <cfRule type="cellIs" dxfId="795" priority="896" stopIfTrue="1" operator="equal">
      <formula>"NA"</formula>
    </cfRule>
  </conditionalFormatting>
  <conditionalFormatting sqref="S11">
    <cfRule type="cellIs" dxfId="794" priority="900" stopIfTrue="1" operator="equal">
      <formula>"Y"</formula>
    </cfRule>
    <cfRule type="cellIs" dxfId="793" priority="901" stopIfTrue="1" operator="equal">
      <formula>"N"</formula>
    </cfRule>
    <cfRule type="cellIs" dxfId="792" priority="902" stopIfTrue="1" operator="equal">
      <formula>"NA"</formula>
    </cfRule>
  </conditionalFormatting>
  <conditionalFormatting sqref="AA11">
    <cfRule type="cellIs" dxfId="791" priority="888" stopIfTrue="1" operator="equal">
      <formula>"R"</formula>
    </cfRule>
    <cfRule type="cellIs" dxfId="790" priority="889" stopIfTrue="1" operator="equal">
      <formula>"Y"</formula>
    </cfRule>
    <cfRule type="cellIs" dxfId="789" priority="890" stopIfTrue="1" operator="equal">
      <formula>"G"</formula>
    </cfRule>
  </conditionalFormatting>
  <conditionalFormatting sqref="W12">
    <cfRule type="cellIs" dxfId="788" priority="876" stopIfTrue="1" operator="equal">
      <formula>"Y"</formula>
    </cfRule>
    <cfRule type="cellIs" dxfId="787" priority="877" stopIfTrue="1" operator="equal">
      <formula>"N"</formula>
    </cfRule>
    <cfRule type="cellIs" dxfId="786" priority="878" stopIfTrue="1" operator="equal">
      <formula>"NA"</formula>
    </cfRule>
  </conditionalFormatting>
  <conditionalFormatting sqref="I30:I50">
    <cfRule type="cellIs" dxfId="785" priority="799" stopIfTrue="1" operator="equal">
      <formula>"Y"</formula>
    </cfRule>
    <cfRule type="cellIs" dxfId="784" priority="800" stopIfTrue="1" operator="equal">
      <formula>"N"</formula>
    </cfRule>
    <cfRule type="cellIs" dxfId="783" priority="801" stopIfTrue="1" operator="equal">
      <formula>"NA"</formula>
    </cfRule>
  </conditionalFormatting>
  <conditionalFormatting sqref="S12">
    <cfRule type="cellIs" dxfId="782" priority="882" stopIfTrue="1" operator="equal">
      <formula>"Y"</formula>
    </cfRule>
    <cfRule type="cellIs" dxfId="781" priority="883" stopIfTrue="1" operator="equal">
      <formula>"N"</formula>
    </cfRule>
    <cfRule type="cellIs" dxfId="780" priority="884" stopIfTrue="1" operator="equal">
      <formula>"NA"</formula>
    </cfRule>
  </conditionalFormatting>
  <conditionalFormatting sqref="AA12">
    <cfRule type="cellIs" dxfId="779" priority="870" stopIfTrue="1" operator="equal">
      <formula>"R"</formula>
    </cfRule>
    <cfRule type="cellIs" dxfId="778" priority="871" stopIfTrue="1" operator="equal">
      <formula>"Y"</formula>
    </cfRule>
    <cfRule type="cellIs" dxfId="777" priority="872" stopIfTrue="1" operator="equal">
      <formula>"G"</formula>
    </cfRule>
  </conditionalFormatting>
  <conditionalFormatting sqref="V17">
    <cfRule type="cellIs" dxfId="776" priority="867" stopIfTrue="1" operator="equal">
      <formula>"Y"</formula>
    </cfRule>
    <cfRule type="cellIs" dxfId="775" priority="868" stopIfTrue="1" operator="equal">
      <formula>"N"</formula>
    </cfRule>
    <cfRule type="cellIs" dxfId="774" priority="869" stopIfTrue="1" operator="equal">
      <formula>"NA"</formula>
    </cfRule>
  </conditionalFormatting>
  <conditionalFormatting sqref="W17">
    <cfRule type="cellIs" dxfId="773" priority="858" stopIfTrue="1" operator="equal">
      <formula>"Y"</formula>
    </cfRule>
    <cfRule type="cellIs" dxfId="772" priority="859" stopIfTrue="1" operator="equal">
      <formula>"N"</formula>
    </cfRule>
    <cfRule type="cellIs" dxfId="771" priority="860" stopIfTrue="1" operator="equal">
      <formula>"NA"</formula>
    </cfRule>
  </conditionalFormatting>
  <conditionalFormatting sqref="AA17">
    <cfRule type="cellIs" dxfId="770" priority="852" stopIfTrue="1" operator="equal">
      <formula>"R"</formula>
    </cfRule>
    <cfRule type="cellIs" dxfId="769" priority="853" stopIfTrue="1" operator="equal">
      <formula>"Y"</formula>
    </cfRule>
    <cfRule type="cellIs" dxfId="768" priority="854" stopIfTrue="1" operator="equal">
      <formula>"G"</formula>
    </cfRule>
  </conditionalFormatting>
  <conditionalFormatting sqref="V19">
    <cfRule type="cellIs" dxfId="767" priority="849" stopIfTrue="1" operator="equal">
      <formula>"Y"</formula>
    </cfRule>
    <cfRule type="cellIs" dxfId="766" priority="850" stopIfTrue="1" operator="equal">
      <formula>"N"</formula>
    </cfRule>
    <cfRule type="cellIs" dxfId="765" priority="851" stopIfTrue="1" operator="equal">
      <formula>"NA"</formula>
    </cfRule>
  </conditionalFormatting>
  <conditionalFormatting sqref="W19">
    <cfRule type="cellIs" dxfId="764" priority="840" stopIfTrue="1" operator="equal">
      <formula>"Y"</formula>
    </cfRule>
    <cfRule type="cellIs" dxfId="763" priority="841" stopIfTrue="1" operator="equal">
      <formula>"N"</formula>
    </cfRule>
    <cfRule type="cellIs" dxfId="762" priority="842" stopIfTrue="1" operator="equal">
      <formula>"NA"</formula>
    </cfRule>
  </conditionalFormatting>
  <conditionalFormatting sqref="AA19">
    <cfRule type="cellIs" dxfId="761" priority="834" stopIfTrue="1" operator="equal">
      <formula>"R"</formula>
    </cfRule>
    <cfRule type="cellIs" dxfId="760" priority="835" stopIfTrue="1" operator="equal">
      <formula>"Y"</formula>
    </cfRule>
    <cfRule type="cellIs" dxfId="759" priority="836" stopIfTrue="1" operator="equal">
      <formula>"G"</formula>
    </cfRule>
  </conditionalFormatting>
  <conditionalFormatting sqref="V18">
    <cfRule type="cellIs" dxfId="758" priority="831" stopIfTrue="1" operator="equal">
      <formula>"Y"</formula>
    </cfRule>
    <cfRule type="cellIs" dxfId="757" priority="832" stopIfTrue="1" operator="equal">
      <formula>"N"</formula>
    </cfRule>
    <cfRule type="cellIs" dxfId="756" priority="833" stopIfTrue="1" operator="equal">
      <formula>"NA"</formula>
    </cfRule>
  </conditionalFormatting>
  <conditionalFormatting sqref="W18">
    <cfRule type="cellIs" dxfId="755" priority="822" stopIfTrue="1" operator="equal">
      <formula>"Y"</formula>
    </cfRule>
    <cfRule type="cellIs" dxfId="754" priority="823" stopIfTrue="1" operator="equal">
      <formula>"N"</formula>
    </cfRule>
    <cfRule type="cellIs" dxfId="753" priority="824" stopIfTrue="1" operator="equal">
      <formula>"NA"</formula>
    </cfRule>
  </conditionalFormatting>
  <conditionalFormatting sqref="S18">
    <cfRule type="cellIs" dxfId="752" priority="828" stopIfTrue="1" operator="equal">
      <formula>"Y"</formula>
    </cfRule>
    <cfRule type="cellIs" dxfId="751" priority="829" stopIfTrue="1" operator="equal">
      <formula>"N"</formula>
    </cfRule>
    <cfRule type="cellIs" dxfId="750" priority="830" stopIfTrue="1" operator="equal">
      <formula>"NA"</formula>
    </cfRule>
  </conditionalFormatting>
  <conditionalFormatting sqref="AA18">
    <cfRule type="cellIs" dxfId="749" priority="816" stopIfTrue="1" operator="equal">
      <formula>"R"</formula>
    </cfRule>
    <cfRule type="cellIs" dxfId="748" priority="817" stopIfTrue="1" operator="equal">
      <formula>"Y"</formula>
    </cfRule>
    <cfRule type="cellIs" dxfId="747" priority="818" stopIfTrue="1" operator="equal">
      <formula>"G"</formula>
    </cfRule>
  </conditionalFormatting>
  <conditionalFormatting sqref="Y20:AA24">
    <cfRule type="cellIs" dxfId="746" priority="812" stopIfTrue="1" operator="equal">
      <formula>"R"</formula>
    </cfRule>
    <cfRule type="cellIs" dxfId="745" priority="813" stopIfTrue="1" operator="equal">
      <formula>"Y"</formula>
    </cfRule>
    <cfRule type="cellIs" dxfId="744" priority="814" stopIfTrue="1" operator="equal">
      <formula>"G"</formula>
    </cfRule>
  </conditionalFormatting>
  <conditionalFormatting sqref="S20:S24 U20:W20 V21:W24">
    <cfRule type="cellIs" dxfId="743" priority="809" stopIfTrue="1" operator="equal">
      <formula>"Y"</formula>
    </cfRule>
    <cfRule type="cellIs" dxfId="742" priority="810" stopIfTrue="1" operator="equal">
      <formula>"N"</formula>
    </cfRule>
    <cfRule type="cellIs" dxfId="741" priority="811" stopIfTrue="1" operator="equal">
      <formula>"NA"</formula>
    </cfRule>
  </conditionalFormatting>
  <conditionalFormatting sqref="U21:V24">
    <cfRule type="cellIs" dxfId="740" priority="806" stopIfTrue="1" operator="equal">
      <formula>"Y"</formula>
    </cfRule>
    <cfRule type="cellIs" dxfId="739" priority="807" stopIfTrue="1" operator="equal">
      <formula>"N"</formula>
    </cfRule>
    <cfRule type="cellIs" dxfId="738" priority="808" stopIfTrue="1" operator="equal">
      <formula>"NA"</formula>
    </cfRule>
  </conditionalFormatting>
  <conditionalFormatting sqref="O24:P24">
    <cfRule type="expression" dxfId="737" priority="815">
      <formula>#REF!="del"</formula>
    </cfRule>
  </conditionalFormatting>
  <conditionalFormatting sqref="E103:G116">
    <cfRule type="expression" dxfId="736" priority="805">
      <formula>$B103="del"</formula>
    </cfRule>
  </conditionalFormatting>
  <conditionalFormatting sqref="I51:I54 I25:I29">
    <cfRule type="cellIs" dxfId="735" priority="802" stopIfTrue="1" operator="equal">
      <formula>"Y"</formula>
    </cfRule>
    <cfRule type="cellIs" dxfId="734" priority="803" stopIfTrue="1" operator="equal">
      <formula>"N"</formula>
    </cfRule>
    <cfRule type="cellIs" dxfId="733" priority="804" stopIfTrue="1" operator="equal">
      <formula>"NA"</formula>
    </cfRule>
  </conditionalFormatting>
  <conditionalFormatting sqref="U34:V45 V25:V33">
    <cfRule type="cellIs" dxfId="732" priority="796" stopIfTrue="1" operator="equal">
      <formula>"Y"</formula>
    </cfRule>
    <cfRule type="cellIs" dxfId="731" priority="797" stopIfTrue="1" operator="equal">
      <formula>"N"</formula>
    </cfRule>
    <cfRule type="cellIs" dxfId="730" priority="798" stopIfTrue="1" operator="equal">
      <formula>"NA"</formula>
    </cfRule>
  </conditionalFormatting>
  <conditionalFormatting sqref="U50:V50 V46:V49">
    <cfRule type="cellIs" dxfId="729" priority="793" stopIfTrue="1" operator="equal">
      <formula>"Y"</formula>
    </cfRule>
    <cfRule type="cellIs" dxfId="728" priority="794" stopIfTrue="1" operator="equal">
      <formula>"N"</formula>
    </cfRule>
    <cfRule type="cellIs" dxfId="727" priority="795" stopIfTrue="1" operator="equal">
      <formula>"NA"</formula>
    </cfRule>
  </conditionalFormatting>
  <conditionalFormatting sqref="W5">
    <cfRule type="cellIs" dxfId="726" priority="714" stopIfTrue="1" operator="equal">
      <formula>"Y"</formula>
    </cfRule>
    <cfRule type="cellIs" dxfId="725" priority="715" stopIfTrue="1" operator="equal">
      <formula>"N"</formula>
    </cfRule>
    <cfRule type="cellIs" dxfId="724" priority="716" stopIfTrue="1" operator="equal">
      <formula>"NA"</formula>
    </cfRule>
  </conditionalFormatting>
  <conditionalFormatting sqref="X6">
    <cfRule type="cellIs" dxfId="723" priority="612" stopIfTrue="1" operator="equal">
      <formula>"Y"</formula>
    </cfRule>
    <cfRule type="cellIs" dxfId="722" priority="613" stopIfTrue="1" operator="equal">
      <formula>"N"</formula>
    </cfRule>
    <cfRule type="cellIs" dxfId="721" priority="614" stopIfTrue="1" operator="equal">
      <formula>"NA"</formula>
    </cfRule>
  </conditionalFormatting>
  <conditionalFormatting sqref="X7">
    <cfRule type="cellIs" dxfId="720" priority="609" stopIfTrue="1" operator="equal">
      <formula>"Y"</formula>
    </cfRule>
    <cfRule type="cellIs" dxfId="719" priority="610" stopIfTrue="1" operator="equal">
      <formula>"N"</formula>
    </cfRule>
    <cfRule type="cellIs" dxfId="718" priority="611" stopIfTrue="1" operator="equal">
      <formula>"NA"</formula>
    </cfRule>
  </conditionalFormatting>
  <conditionalFormatting sqref="X8">
    <cfRule type="cellIs" dxfId="717" priority="606" stopIfTrue="1" operator="equal">
      <formula>"Y"</formula>
    </cfRule>
    <cfRule type="cellIs" dxfId="716" priority="607" stopIfTrue="1" operator="equal">
      <formula>"N"</formula>
    </cfRule>
    <cfRule type="cellIs" dxfId="715" priority="608" stopIfTrue="1" operator="equal">
      <formula>"NA"</formula>
    </cfRule>
  </conditionalFormatting>
  <conditionalFormatting sqref="X9:X10">
    <cfRule type="cellIs" dxfId="714" priority="603" stopIfTrue="1" operator="equal">
      <formula>"Y"</formula>
    </cfRule>
    <cfRule type="cellIs" dxfId="713" priority="604" stopIfTrue="1" operator="equal">
      <formula>"N"</formula>
    </cfRule>
    <cfRule type="cellIs" dxfId="712" priority="605" stopIfTrue="1" operator="equal">
      <formula>"NA"</formula>
    </cfRule>
  </conditionalFormatting>
  <conditionalFormatting sqref="X13:X16">
    <cfRule type="cellIs" dxfId="711" priority="600" stopIfTrue="1" operator="equal">
      <formula>"Y"</formula>
    </cfRule>
    <cfRule type="cellIs" dxfId="710" priority="601" stopIfTrue="1" operator="equal">
      <formula>"N"</formula>
    </cfRule>
    <cfRule type="cellIs" dxfId="709" priority="602" stopIfTrue="1" operator="equal">
      <formula>"NA"</formula>
    </cfRule>
  </conditionalFormatting>
  <conditionalFormatting sqref="X14">
    <cfRule type="cellIs" dxfId="708" priority="597" stopIfTrue="1" operator="equal">
      <formula>"Y"</formula>
    </cfRule>
    <cfRule type="cellIs" dxfId="707" priority="598" stopIfTrue="1" operator="equal">
      <formula>"N"</formula>
    </cfRule>
    <cfRule type="cellIs" dxfId="706" priority="599" stopIfTrue="1" operator="equal">
      <formula>"NA"</formula>
    </cfRule>
  </conditionalFormatting>
  <conditionalFormatting sqref="X15">
    <cfRule type="cellIs" dxfId="705" priority="594" stopIfTrue="1" operator="equal">
      <formula>"Y"</formula>
    </cfRule>
    <cfRule type="cellIs" dxfId="704" priority="595" stopIfTrue="1" operator="equal">
      <formula>"N"</formula>
    </cfRule>
    <cfRule type="cellIs" dxfId="703" priority="596" stopIfTrue="1" operator="equal">
      <formula>"NA"</formula>
    </cfRule>
  </conditionalFormatting>
  <conditionalFormatting sqref="X16">
    <cfRule type="cellIs" dxfId="702" priority="591" stopIfTrue="1" operator="equal">
      <formula>"Y"</formula>
    </cfRule>
    <cfRule type="cellIs" dxfId="701" priority="592" stopIfTrue="1" operator="equal">
      <formula>"N"</formula>
    </cfRule>
    <cfRule type="cellIs" dxfId="700" priority="593" stopIfTrue="1" operator="equal">
      <formula>"NA"</formula>
    </cfRule>
  </conditionalFormatting>
  <conditionalFormatting sqref="X11">
    <cfRule type="cellIs" dxfId="699" priority="588" stopIfTrue="1" operator="equal">
      <formula>"Y"</formula>
    </cfRule>
    <cfRule type="cellIs" dxfId="698" priority="589" stopIfTrue="1" operator="equal">
      <formula>"N"</formula>
    </cfRule>
    <cfRule type="cellIs" dxfId="697" priority="590" stopIfTrue="1" operator="equal">
      <formula>"NA"</formula>
    </cfRule>
  </conditionalFormatting>
  <conditionalFormatting sqref="X12">
    <cfRule type="cellIs" dxfId="696" priority="585" stopIfTrue="1" operator="equal">
      <formula>"Y"</formula>
    </cfRule>
    <cfRule type="cellIs" dxfId="695" priority="586" stopIfTrue="1" operator="equal">
      <formula>"N"</formula>
    </cfRule>
    <cfRule type="cellIs" dxfId="694" priority="587" stopIfTrue="1" operator="equal">
      <formula>"NA"</formula>
    </cfRule>
  </conditionalFormatting>
  <conditionalFormatting sqref="X17">
    <cfRule type="cellIs" dxfId="693" priority="582" stopIfTrue="1" operator="equal">
      <formula>"Y"</formula>
    </cfRule>
    <cfRule type="cellIs" dxfId="692" priority="583" stopIfTrue="1" operator="equal">
      <formula>"N"</formula>
    </cfRule>
    <cfRule type="cellIs" dxfId="691" priority="584" stopIfTrue="1" operator="equal">
      <formula>"NA"</formula>
    </cfRule>
  </conditionalFormatting>
  <conditionalFormatting sqref="X19">
    <cfRule type="cellIs" dxfId="690" priority="579" stopIfTrue="1" operator="equal">
      <formula>"Y"</formula>
    </cfRule>
    <cfRule type="cellIs" dxfId="689" priority="580" stopIfTrue="1" operator="equal">
      <formula>"N"</formula>
    </cfRule>
    <cfRule type="cellIs" dxfId="688" priority="581" stopIfTrue="1" operator="equal">
      <formula>"NA"</formula>
    </cfRule>
  </conditionalFormatting>
  <conditionalFormatting sqref="X18">
    <cfRule type="cellIs" dxfId="687" priority="576" stopIfTrue="1" operator="equal">
      <formula>"Y"</formula>
    </cfRule>
    <cfRule type="cellIs" dxfId="686" priority="577" stopIfTrue="1" operator="equal">
      <formula>"N"</formula>
    </cfRule>
    <cfRule type="cellIs" dxfId="685" priority="578" stopIfTrue="1" operator="equal">
      <formula>"NA"</formula>
    </cfRule>
  </conditionalFormatting>
  <conditionalFormatting sqref="X20:X24">
    <cfRule type="cellIs" dxfId="684" priority="573" stopIfTrue="1" operator="equal">
      <formula>"Y"</formula>
    </cfRule>
    <cfRule type="cellIs" dxfId="683" priority="574" stopIfTrue="1" operator="equal">
      <formula>"N"</formula>
    </cfRule>
    <cfRule type="cellIs" dxfId="682" priority="575" stopIfTrue="1" operator="equal">
      <formula>"NA"</formula>
    </cfRule>
  </conditionalFormatting>
  <conditionalFormatting sqref="X5">
    <cfRule type="cellIs" dxfId="681" priority="570" stopIfTrue="1" operator="equal">
      <formula>"Y"</formula>
    </cfRule>
    <cfRule type="cellIs" dxfId="680" priority="571" stopIfTrue="1" operator="equal">
      <formula>"N"</formula>
    </cfRule>
    <cfRule type="cellIs" dxfId="679" priority="572" stopIfTrue="1" operator="equal">
      <formula>"NA"</formula>
    </cfRule>
  </conditionalFormatting>
  <conditionalFormatting sqref="T100:T102">
    <cfRule type="cellIs" dxfId="678" priority="469" stopIfTrue="1" operator="equal">
      <formula>"Y"</formula>
    </cfRule>
    <cfRule type="cellIs" dxfId="677" priority="470" stopIfTrue="1" operator="equal">
      <formula>"N"</formula>
    </cfRule>
    <cfRule type="cellIs" dxfId="676" priority="471" stopIfTrue="1" operator="equal">
      <formula>"NA"</formula>
    </cfRule>
  </conditionalFormatting>
  <conditionalFormatting sqref="T6">
    <cfRule type="cellIs" dxfId="675" priority="457" stopIfTrue="1" operator="equal">
      <formula>"Y"</formula>
    </cfRule>
    <cfRule type="cellIs" dxfId="674" priority="458" stopIfTrue="1" operator="equal">
      <formula>"N"</formula>
    </cfRule>
    <cfRule type="cellIs" dxfId="673" priority="459" stopIfTrue="1" operator="equal">
      <formula>"NA"</formula>
    </cfRule>
  </conditionalFormatting>
  <conditionalFormatting sqref="T7">
    <cfRule type="cellIs" dxfId="672" priority="454" stopIfTrue="1" operator="equal">
      <formula>"Y"</formula>
    </cfRule>
    <cfRule type="cellIs" dxfId="671" priority="455" stopIfTrue="1" operator="equal">
      <formula>"N"</formula>
    </cfRule>
    <cfRule type="cellIs" dxfId="670" priority="456" stopIfTrue="1" operator="equal">
      <formula>"NA"</formula>
    </cfRule>
  </conditionalFormatting>
  <conditionalFormatting sqref="T8">
    <cfRule type="cellIs" dxfId="669" priority="451" stopIfTrue="1" operator="equal">
      <formula>"Y"</formula>
    </cfRule>
    <cfRule type="cellIs" dxfId="668" priority="452" stopIfTrue="1" operator="equal">
      <formula>"N"</formula>
    </cfRule>
    <cfRule type="cellIs" dxfId="667" priority="453" stopIfTrue="1" operator="equal">
      <formula>"NA"</formula>
    </cfRule>
  </conditionalFormatting>
  <conditionalFormatting sqref="T17">
    <cfRule type="cellIs" dxfId="666" priority="427" stopIfTrue="1" operator="equal">
      <formula>"Y"</formula>
    </cfRule>
    <cfRule type="cellIs" dxfId="665" priority="428" stopIfTrue="1" operator="equal">
      <formula>"N"</formula>
    </cfRule>
    <cfRule type="cellIs" dxfId="664" priority="429" stopIfTrue="1" operator="equal">
      <formula>"NA"</formula>
    </cfRule>
  </conditionalFormatting>
  <conditionalFormatting sqref="T19">
    <cfRule type="cellIs" dxfId="663" priority="424" stopIfTrue="1" operator="equal">
      <formula>"Y"</formula>
    </cfRule>
    <cfRule type="cellIs" dxfId="662" priority="425" stopIfTrue="1" operator="equal">
      <formula>"N"</formula>
    </cfRule>
    <cfRule type="cellIs" dxfId="661" priority="426" stopIfTrue="1" operator="equal">
      <formula>"NA"</formula>
    </cfRule>
  </conditionalFormatting>
  <conditionalFormatting sqref="T9:T16">
    <cfRule type="cellIs" dxfId="660" priority="448" stopIfTrue="1" operator="equal">
      <formula>"Y"</formula>
    </cfRule>
    <cfRule type="cellIs" dxfId="659" priority="449" stopIfTrue="1" operator="equal">
      <formula>"N"</formula>
    </cfRule>
    <cfRule type="cellIs" dxfId="658" priority="450" stopIfTrue="1" operator="equal">
      <formula>"NA"</formula>
    </cfRule>
  </conditionalFormatting>
  <conditionalFormatting sqref="T5:T24">
    <cfRule type="cellIs" dxfId="657" priority="445" stopIfTrue="1" operator="equal">
      <formula>"Y"</formula>
    </cfRule>
    <cfRule type="cellIs" dxfId="656" priority="446" stopIfTrue="1" operator="equal">
      <formula>"N"</formula>
    </cfRule>
    <cfRule type="cellIs" dxfId="655" priority="447" stopIfTrue="1" operator="equal">
      <formula>"NA"</formula>
    </cfRule>
  </conditionalFormatting>
  <conditionalFormatting sqref="T14">
    <cfRule type="cellIs" dxfId="654" priority="442" stopIfTrue="1" operator="equal">
      <formula>"Y"</formula>
    </cfRule>
    <cfRule type="cellIs" dxfId="653" priority="443" stopIfTrue="1" operator="equal">
      <formula>"N"</formula>
    </cfRule>
    <cfRule type="cellIs" dxfId="652" priority="444" stopIfTrue="1" operator="equal">
      <formula>"NA"</formula>
    </cfRule>
  </conditionalFormatting>
  <conditionalFormatting sqref="T15">
    <cfRule type="cellIs" dxfId="651" priority="439" stopIfTrue="1" operator="equal">
      <formula>"Y"</formula>
    </cfRule>
    <cfRule type="cellIs" dxfId="650" priority="440" stopIfTrue="1" operator="equal">
      <formula>"N"</formula>
    </cfRule>
    <cfRule type="cellIs" dxfId="649" priority="441" stopIfTrue="1" operator="equal">
      <formula>"NA"</formula>
    </cfRule>
  </conditionalFormatting>
  <conditionalFormatting sqref="T16">
    <cfRule type="cellIs" dxfId="648" priority="436" stopIfTrue="1" operator="equal">
      <formula>"Y"</formula>
    </cfRule>
    <cfRule type="cellIs" dxfId="647" priority="437" stopIfTrue="1" operator="equal">
      <formula>"N"</formula>
    </cfRule>
    <cfRule type="cellIs" dxfId="646" priority="438" stopIfTrue="1" operator="equal">
      <formula>"NA"</formula>
    </cfRule>
  </conditionalFormatting>
  <conditionalFormatting sqref="T11">
    <cfRule type="cellIs" dxfId="645" priority="433" stopIfTrue="1" operator="equal">
      <formula>"Y"</formula>
    </cfRule>
    <cfRule type="cellIs" dxfId="644" priority="434" stopIfTrue="1" operator="equal">
      <formula>"N"</formula>
    </cfRule>
    <cfRule type="cellIs" dxfId="643" priority="435" stopIfTrue="1" operator="equal">
      <formula>"NA"</formula>
    </cfRule>
  </conditionalFormatting>
  <conditionalFormatting sqref="T12">
    <cfRule type="cellIs" dxfId="642" priority="430" stopIfTrue="1" operator="equal">
      <formula>"Y"</formula>
    </cfRule>
    <cfRule type="cellIs" dxfId="641" priority="431" stopIfTrue="1" operator="equal">
      <formula>"N"</formula>
    </cfRule>
    <cfRule type="cellIs" dxfId="640" priority="432" stopIfTrue="1" operator="equal">
      <formula>"NA"</formula>
    </cfRule>
  </conditionalFormatting>
  <conditionalFormatting sqref="T18">
    <cfRule type="cellIs" dxfId="639" priority="421" stopIfTrue="1" operator="equal">
      <formula>"Y"</formula>
    </cfRule>
    <cfRule type="cellIs" dxfId="638" priority="422" stopIfTrue="1" operator="equal">
      <formula>"N"</formula>
    </cfRule>
    <cfRule type="cellIs" dxfId="637" priority="423" stopIfTrue="1" operator="equal">
      <formula>"NA"</formula>
    </cfRule>
  </conditionalFormatting>
  <conditionalFormatting sqref="T20:T24">
    <cfRule type="cellIs" dxfId="636" priority="418" stopIfTrue="1" operator="equal">
      <formula>"Y"</formula>
    </cfRule>
    <cfRule type="cellIs" dxfId="635" priority="419" stopIfTrue="1" operator="equal">
      <formula>"N"</formula>
    </cfRule>
    <cfRule type="cellIs" dxfId="634" priority="420" stopIfTrue="1" operator="equal">
      <formula>"NA"</formula>
    </cfRule>
  </conditionalFormatting>
  <conditionalFormatting sqref="I84:I92 I74:I80 I55:I70">
    <cfRule type="cellIs" dxfId="633" priority="412" stopIfTrue="1" operator="equal">
      <formula>"Y"</formula>
    </cfRule>
    <cfRule type="cellIs" dxfId="632" priority="413" stopIfTrue="1" operator="equal">
      <formula>"N"</formula>
    </cfRule>
    <cfRule type="cellIs" dxfId="631" priority="414" stopIfTrue="1" operator="equal">
      <formula>"NA"</formula>
    </cfRule>
  </conditionalFormatting>
  <conditionalFormatting sqref="V64:V68 U63:V63 U69:V82 U87:V87 U55:W55 V56:V62 S55 U93:V93 S63:S91 W56:W94 S93:S94 V74:V92">
    <cfRule type="cellIs" dxfId="630" priority="405" stopIfTrue="1" operator="equal">
      <formula>"Y"</formula>
    </cfRule>
    <cfRule type="cellIs" dxfId="629" priority="406" stopIfTrue="1" operator="equal">
      <formula>"N"</formula>
    </cfRule>
    <cfRule type="cellIs" dxfId="628" priority="407" stopIfTrue="1" operator="equal">
      <formula>"NA"</formula>
    </cfRule>
  </conditionalFormatting>
  <conditionalFormatting sqref="AA55:AA94">
    <cfRule type="cellIs" dxfId="627" priority="401" stopIfTrue="1" operator="equal">
      <formula>"R"</formula>
    </cfRule>
    <cfRule type="cellIs" dxfId="626" priority="402" stopIfTrue="1" operator="equal">
      <formula>"Y"</formula>
    </cfRule>
    <cfRule type="cellIs" dxfId="625" priority="403" stopIfTrue="1" operator="equal">
      <formula>"G"</formula>
    </cfRule>
  </conditionalFormatting>
  <conditionalFormatting sqref="Z117:AB117 AA118:AA120 AA132:AA135 Z136:AA138 AA139:AA142 AA122:AA124 Z180:AA184 AA178:AA179 AA151:AA158 AA218 Z125:AA131 Z213:AA217 Z219:AA221 AB213:AB221 Z187:AA188 Z159:AA177">
    <cfRule type="cellIs" dxfId="624" priority="398" stopIfTrue="1" operator="equal">
      <formula>"R"</formula>
    </cfRule>
    <cfRule type="cellIs" dxfId="623" priority="399" stopIfTrue="1" operator="equal">
      <formula>"Y"</formula>
    </cfRule>
    <cfRule type="cellIs" dxfId="622" priority="400" stopIfTrue="1" operator="equal">
      <formula>"G"</formula>
    </cfRule>
  </conditionalFormatting>
  <conditionalFormatting sqref="AC117:AC120 U125:V125 U117:W117 V118:V124 S117 X216:X221 V126:V129 S146:S147 S157:S181 S187:S188 S139 S128:S137 S141:S143 I140:I141 I117:I130 I145:I147 I171:I188 I213:I221 S213:S221 AC213:AC221 W148:W188 U213:W221 U184:V188 V143 V146:V147 U130:V142 U148:V178 V179:V183 X178:X186">
    <cfRule type="cellIs" dxfId="621" priority="395" stopIfTrue="1" operator="equal">
      <formula>"Y"</formula>
    </cfRule>
    <cfRule type="cellIs" dxfId="620" priority="396" stopIfTrue="1" operator="equal">
      <formula>"N"</formula>
    </cfRule>
    <cfRule type="cellIs" dxfId="619" priority="397" stopIfTrue="1" operator="equal">
      <formula>"NA"</formula>
    </cfRule>
  </conditionalFormatting>
  <conditionalFormatting sqref="O117:Q117 M118:M120 J117:M117 Q123:R123 B117:D117 O118:P122 O124 B123:B127 O131:P139 O140 P149 O157 B146:B149 C165 E185:G185 B171:B184 P128:Q130 B151:B157 P151:P156 C169:C170 O165:P170 E213:G213 F186:G186 F214:G214 F215 J151:L188 B185:C186 C187:C188 B118:C122 G187:G188 M145:M188 B145:C145 J145:L149 O145:P145 O182:P188 R187:R188 R182:R184 C213:C221 J213:M221 O213:R221 D118:D221">
    <cfRule type="expression" dxfId="618" priority="394">
      <formula>$B117="del"</formula>
    </cfRule>
  </conditionalFormatting>
  <conditionalFormatting sqref="M122:M123">
    <cfRule type="expression" dxfId="617" priority="393">
      <formula>$B122="del"</formula>
    </cfRule>
  </conditionalFormatting>
  <conditionalFormatting sqref="Q118:Q122">
    <cfRule type="expression" dxfId="616" priority="392">
      <formula>$B118="del"</formula>
    </cfRule>
  </conditionalFormatting>
  <conditionalFormatting sqref="O125:O127">
    <cfRule type="expression" dxfId="615" priority="391">
      <formula>$B125="del"</formula>
    </cfRule>
  </conditionalFormatting>
  <conditionalFormatting sqref="Q124:Q127">
    <cfRule type="expression" dxfId="614" priority="390">
      <formula>$B124="del"</formula>
    </cfRule>
  </conditionalFormatting>
  <conditionalFormatting sqref="C182:C183">
    <cfRule type="expression" dxfId="613" priority="388">
      <formula>$B182="del"</formula>
    </cfRule>
  </conditionalFormatting>
  <conditionalFormatting sqref="C149 C151:C156">
    <cfRule type="expression" dxfId="612" priority="389">
      <formula>$B149="del"</formula>
    </cfRule>
  </conditionalFormatting>
  <conditionalFormatting sqref="K150 B150">
    <cfRule type="expression" dxfId="611" priority="383">
      <formula>$B150="del"</formula>
    </cfRule>
  </conditionalFormatting>
  <conditionalFormatting sqref="C150">
    <cfRule type="expression" dxfId="610" priority="382">
      <formula>$B150="del"</formula>
    </cfRule>
  </conditionalFormatting>
  <conditionalFormatting sqref="L150">
    <cfRule type="expression" dxfId="609" priority="381">
      <formula>$B150="del"</formula>
    </cfRule>
  </conditionalFormatting>
  <conditionalFormatting sqref="P150">
    <cfRule type="expression" dxfId="608" priority="380">
      <formula>$B150="del"</formula>
    </cfRule>
  </conditionalFormatting>
  <conditionalFormatting sqref="C184">
    <cfRule type="expression" dxfId="607" priority="387">
      <formula>$B184="del"</formula>
    </cfRule>
  </conditionalFormatting>
  <conditionalFormatting sqref="C166:C168">
    <cfRule type="expression" dxfId="606" priority="379">
      <formula>$B166="del"</formula>
    </cfRule>
  </conditionalFormatting>
  <conditionalFormatting sqref="S118:S122">
    <cfRule type="cellIs" dxfId="605" priority="376" stopIfTrue="1" operator="equal">
      <formula>"Y"</formula>
    </cfRule>
    <cfRule type="cellIs" dxfId="604" priority="377" stopIfTrue="1" operator="equal">
      <formula>"N"</formula>
    </cfRule>
    <cfRule type="cellIs" dxfId="603" priority="378" stopIfTrue="1" operator="equal">
      <formula>"NA"</formula>
    </cfRule>
  </conditionalFormatting>
  <conditionalFormatting sqref="F216">
    <cfRule type="expression" dxfId="602" priority="375">
      <formula>$B216="del"</formula>
    </cfRule>
  </conditionalFormatting>
  <conditionalFormatting sqref="G215:G221">
    <cfRule type="expression" dxfId="601" priority="374">
      <formula>$B215="del"</formula>
    </cfRule>
  </conditionalFormatting>
  <conditionalFormatting sqref="F217:F221">
    <cfRule type="expression" dxfId="600" priority="373">
      <formula>$B217="del"</formula>
    </cfRule>
  </conditionalFormatting>
  <conditionalFormatting sqref="I142">
    <cfRule type="cellIs" dxfId="599" priority="352" stopIfTrue="1" operator="equal">
      <formula>"Y"</formula>
    </cfRule>
    <cfRule type="cellIs" dxfId="598" priority="353" stopIfTrue="1" operator="equal">
      <formula>"N"</formula>
    </cfRule>
    <cfRule type="cellIs" dxfId="597" priority="354" stopIfTrue="1" operator="equal">
      <formula>"NA"</formula>
    </cfRule>
  </conditionalFormatting>
  <conditionalFormatting sqref="S148:S156">
    <cfRule type="cellIs" dxfId="596" priority="367" stopIfTrue="1" operator="equal">
      <formula>"Y"</formula>
    </cfRule>
    <cfRule type="cellIs" dxfId="595" priority="368" stopIfTrue="1" operator="equal">
      <formula>"N"</formula>
    </cfRule>
    <cfRule type="cellIs" dxfId="594" priority="369" stopIfTrue="1" operator="equal">
      <formula>"NA"</formula>
    </cfRule>
  </conditionalFormatting>
  <conditionalFormatting sqref="W146:W147">
    <cfRule type="cellIs" dxfId="593" priority="364" stopIfTrue="1" operator="equal">
      <formula>"Y"</formula>
    </cfRule>
    <cfRule type="cellIs" dxfId="592" priority="365" stopIfTrue="1" operator="equal">
      <formula>"N"</formula>
    </cfRule>
    <cfRule type="cellIs" dxfId="591" priority="366" stopIfTrue="1" operator="equal">
      <formula>"NA"</formula>
    </cfRule>
  </conditionalFormatting>
  <conditionalFormatting sqref="B187:B188 B213:B221">
    <cfRule type="expression" dxfId="590" priority="363">
      <formula>$B187="del"</formula>
    </cfRule>
  </conditionalFormatting>
  <conditionalFormatting sqref="S138">
    <cfRule type="cellIs" dxfId="589" priority="358" stopIfTrue="1" operator="equal">
      <formula>"Y"</formula>
    </cfRule>
    <cfRule type="cellIs" dxfId="588" priority="359" stopIfTrue="1" operator="equal">
      <formula>"N"</formula>
    </cfRule>
    <cfRule type="cellIs" dxfId="587" priority="360" stopIfTrue="1" operator="equal">
      <formula>"NA"</formula>
    </cfRule>
  </conditionalFormatting>
  <conditionalFormatting sqref="I132">
    <cfRule type="cellIs" dxfId="586" priority="355" stopIfTrue="1" operator="equal">
      <formula>"Y"</formula>
    </cfRule>
    <cfRule type="cellIs" dxfId="585" priority="356" stopIfTrue="1" operator="equal">
      <formula>"N"</formula>
    </cfRule>
    <cfRule type="cellIs" dxfId="584" priority="357" stopIfTrue="1" operator="equal">
      <formula>"NA"</formula>
    </cfRule>
  </conditionalFormatting>
  <conditionalFormatting sqref="I133:I139">
    <cfRule type="cellIs" dxfId="583" priority="349" stopIfTrue="1" operator="equal">
      <formula>"Y"</formula>
    </cfRule>
    <cfRule type="cellIs" dxfId="582" priority="350" stopIfTrue="1" operator="equal">
      <formula>"N"</formula>
    </cfRule>
    <cfRule type="cellIs" dxfId="581" priority="351" stopIfTrue="1" operator="equal">
      <formula>"NA"</formula>
    </cfRule>
  </conditionalFormatting>
  <conditionalFormatting sqref="I131">
    <cfRule type="cellIs" dxfId="580" priority="346" stopIfTrue="1" operator="equal">
      <formula>"Y"</formula>
    </cfRule>
    <cfRule type="cellIs" dxfId="579" priority="347" stopIfTrue="1" operator="equal">
      <formula>"N"</formula>
    </cfRule>
    <cfRule type="cellIs" dxfId="578" priority="348" stopIfTrue="1" operator="equal">
      <formula>"NA"</formula>
    </cfRule>
  </conditionalFormatting>
  <conditionalFormatting sqref="AA212 Z189:AA211 AB189:AB212">
    <cfRule type="cellIs" dxfId="577" priority="342" stopIfTrue="1" operator="equal">
      <formula>"R"</formula>
    </cfRule>
    <cfRule type="cellIs" dxfId="576" priority="343" stopIfTrue="1" operator="equal">
      <formula>"Y"</formula>
    </cfRule>
    <cfRule type="cellIs" dxfId="575" priority="344" stopIfTrue="1" operator="equal">
      <formula>"G"</formula>
    </cfRule>
  </conditionalFormatting>
  <conditionalFormatting sqref="V212 I189:I202 AC189:AC212 U189:V211 S190:S212">
    <cfRule type="cellIs" dxfId="574" priority="339" stopIfTrue="1" operator="equal">
      <formula>"Y"</formula>
    </cfRule>
    <cfRule type="cellIs" dxfId="573" priority="340" stopIfTrue="1" operator="equal">
      <formula>"N"</formula>
    </cfRule>
    <cfRule type="cellIs" dxfId="572" priority="341" stopIfTrue="1" operator="equal">
      <formula>"NA"</formula>
    </cfRule>
  </conditionalFormatting>
  <conditionalFormatting sqref="B189 O189:O212 J189:M212 R189:R212">
    <cfRule type="expression" dxfId="571" priority="338">
      <formula>$B189="del"</formula>
    </cfRule>
  </conditionalFormatting>
  <conditionalFormatting sqref="F189:G212">
    <cfRule type="expression" dxfId="570" priority="337">
      <formula>$B189="del"</formula>
    </cfRule>
  </conditionalFormatting>
  <conditionalFormatting sqref="C189:C212">
    <cfRule type="expression" dxfId="569" priority="336">
      <formula>$B189="del"</formula>
    </cfRule>
  </conditionalFormatting>
  <conditionalFormatting sqref="B189:C212 I189:I203 E189:G212">
    <cfRule type="expression" dxfId="568" priority="334">
      <formula>$B189="del"</formula>
    </cfRule>
  </conditionalFormatting>
  <conditionalFormatting sqref="P189:P212">
    <cfRule type="expression" dxfId="567" priority="333">
      <formula>$B189="del"</formula>
    </cfRule>
  </conditionalFormatting>
  <conditionalFormatting sqref="P189:P212">
    <cfRule type="expression" dxfId="566" priority="332">
      <formula>$B189="del"</formula>
    </cfRule>
  </conditionalFormatting>
  <conditionalFormatting sqref="Q189:Q212">
    <cfRule type="expression" dxfId="565" priority="331">
      <formula>$B189="del"</formula>
    </cfRule>
  </conditionalFormatting>
  <conditionalFormatting sqref="I204:I212">
    <cfRule type="cellIs" dxfId="564" priority="328" stopIfTrue="1" operator="equal">
      <formula>"Y"</formula>
    </cfRule>
    <cfRule type="cellIs" dxfId="563" priority="329" stopIfTrue="1" operator="equal">
      <formula>"N"</formula>
    </cfRule>
    <cfRule type="cellIs" dxfId="562" priority="330" stopIfTrue="1" operator="equal">
      <formula>"NA"</formula>
    </cfRule>
  </conditionalFormatting>
  <conditionalFormatting sqref="T117 T139 T213:T221 T187:T188 T128:T137 T141:T143 T146:T147 T157:T181">
    <cfRule type="cellIs" dxfId="561" priority="307" stopIfTrue="1" operator="equal">
      <formula>"Y"</formula>
    </cfRule>
    <cfRule type="cellIs" dxfId="560" priority="308" stopIfTrue="1" operator="equal">
      <formula>"N"</formula>
    </cfRule>
    <cfRule type="cellIs" dxfId="559" priority="309" stopIfTrue="1" operator="equal">
      <formula>"NA"</formula>
    </cfRule>
  </conditionalFormatting>
  <conditionalFormatting sqref="X165:X170 X189:X203">
    <cfRule type="cellIs" dxfId="558" priority="319" stopIfTrue="1" operator="equal">
      <formula>"R"</formula>
    </cfRule>
    <cfRule type="cellIs" dxfId="557" priority="320" stopIfTrue="1" operator="equal">
      <formula>"Y"</formula>
    </cfRule>
    <cfRule type="cellIs" dxfId="556" priority="321" stopIfTrue="1" operator="equal">
      <formula>"G"</formula>
    </cfRule>
  </conditionalFormatting>
  <conditionalFormatting sqref="X204:X211">
    <cfRule type="cellIs" dxfId="555" priority="310" stopIfTrue="1" operator="equal">
      <formula>"R"</formula>
    </cfRule>
    <cfRule type="cellIs" dxfId="554" priority="311" stopIfTrue="1" operator="equal">
      <formula>"Y"</formula>
    </cfRule>
    <cfRule type="cellIs" dxfId="553" priority="312" stopIfTrue="1" operator="equal">
      <formula>"G"</formula>
    </cfRule>
  </conditionalFormatting>
  <conditionalFormatting sqref="T118:T122">
    <cfRule type="cellIs" dxfId="552" priority="301" stopIfTrue="1" operator="equal">
      <formula>"Y"</formula>
    </cfRule>
    <cfRule type="cellIs" dxfId="551" priority="302" stopIfTrue="1" operator="equal">
      <formula>"N"</formula>
    </cfRule>
    <cfRule type="cellIs" dxfId="550" priority="303" stopIfTrue="1" operator="equal">
      <formula>"NA"</formula>
    </cfRule>
  </conditionalFormatting>
  <conditionalFormatting sqref="T148:T156">
    <cfRule type="cellIs" dxfId="549" priority="298" stopIfTrue="1" operator="equal">
      <formula>"Y"</formula>
    </cfRule>
    <cfRule type="cellIs" dxfId="548" priority="299" stopIfTrue="1" operator="equal">
      <formula>"N"</formula>
    </cfRule>
    <cfRule type="cellIs" dxfId="547" priority="300" stopIfTrue="1" operator="equal">
      <formula>"NA"</formula>
    </cfRule>
  </conditionalFormatting>
  <conditionalFormatting sqref="T138">
    <cfRule type="cellIs" dxfId="546" priority="295" stopIfTrue="1" operator="equal">
      <formula>"Y"</formula>
    </cfRule>
    <cfRule type="cellIs" dxfId="545" priority="296" stopIfTrue="1" operator="equal">
      <formula>"N"</formula>
    </cfRule>
    <cfRule type="cellIs" dxfId="544" priority="297" stopIfTrue="1" operator="equal">
      <formula>"NA"</formula>
    </cfRule>
  </conditionalFormatting>
  <conditionalFormatting sqref="T189:T212">
    <cfRule type="cellIs" dxfId="543" priority="292" stopIfTrue="1" operator="equal">
      <formula>"Y"</formula>
    </cfRule>
    <cfRule type="cellIs" dxfId="542" priority="293" stopIfTrue="1" operator="equal">
      <formula>"N"</formula>
    </cfRule>
    <cfRule type="cellIs" dxfId="541" priority="294" stopIfTrue="1" operator="equal">
      <formula>"NA"</formula>
    </cfRule>
  </conditionalFormatting>
  <conditionalFormatting sqref="X118:X145">
    <cfRule type="cellIs" dxfId="540" priority="289" stopIfTrue="1" operator="equal">
      <formula>"Y"</formula>
    </cfRule>
    <cfRule type="cellIs" dxfId="539" priority="290" stopIfTrue="1" operator="equal">
      <formula>"N"</formula>
    </cfRule>
    <cfRule type="cellIs" dxfId="538" priority="291" stopIfTrue="1" operator="equal">
      <formula>"NA"</formula>
    </cfRule>
  </conditionalFormatting>
  <conditionalFormatting sqref="X148:X164 X117:X122">
    <cfRule type="cellIs" dxfId="537" priority="286" stopIfTrue="1" operator="equal">
      <formula>"Y"</formula>
    </cfRule>
    <cfRule type="cellIs" dxfId="536" priority="287" stopIfTrue="1" operator="equal">
      <formula>"N"</formula>
    </cfRule>
    <cfRule type="cellIs" dxfId="535" priority="288" stopIfTrue="1" operator="equal">
      <formula>"NA"</formula>
    </cfRule>
  </conditionalFormatting>
  <conditionalFormatting sqref="X146:X147">
    <cfRule type="cellIs" dxfId="534" priority="283" stopIfTrue="1" operator="equal">
      <formula>"Y"</formula>
    </cfRule>
    <cfRule type="cellIs" dxfId="533" priority="284" stopIfTrue="1" operator="equal">
      <formula>"N"</formula>
    </cfRule>
    <cfRule type="cellIs" dxfId="532" priority="285" stopIfTrue="1" operator="equal">
      <formula>"NA"</formula>
    </cfRule>
  </conditionalFormatting>
  <conditionalFormatting sqref="X173:X177">
    <cfRule type="cellIs" dxfId="531" priority="280" stopIfTrue="1" operator="equal">
      <formula>"Y"</formula>
    </cfRule>
    <cfRule type="cellIs" dxfId="530" priority="281" stopIfTrue="1" operator="equal">
      <formula>"N"</formula>
    </cfRule>
    <cfRule type="cellIs" dxfId="529" priority="282" stopIfTrue="1" operator="equal">
      <formula>"NA"</formula>
    </cfRule>
  </conditionalFormatting>
  <conditionalFormatting sqref="W196:W203">
    <cfRule type="cellIs" dxfId="528" priority="277" stopIfTrue="1" operator="equal">
      <formula>"R"</formula>
    </cfRule>
    <cfRule type="cellIs" dxfId="527" priority="278" stopIfTrue="1" operator="equal">
      <formula>"Y"</formula>
    </cfRule>
    <cfRule type="cellIs" dxfId="526" priority="279" stopIfTrue="1" operator="equal">
      <formula>"G"</formula>
    </cfRule>
  </conditionalFormatting>
  <conditionalFormatting sqref="W189:W195">
    <cfRule type="cellIs" dxfId="525" priority="274" stopIfTrue="1" operator="equal">
      <formula>"R"</formula>
    </cfRule>
    <cfRule type="cellIs" dxfId="524" priority="275" stopIfTrue="1" operator="equal">
      <formula>"Y"</formula>
    </cfRule>
    <cfRule type="cellIs" dxfId="523" priority="276" stopIfTrue="1" operator="equal">
      <formula>"G"</formula>
    </cfRule>
  </conditionalFormatting>
  <conditionalFormatting sqref="W204:W212">
    <cfRule type="cellIs" dxfId="522" priority="271" stopIfTrue="1" operator="equal">
      <formula>"R"</formula>
    </cfRule>
    <cfRule type="cellIs" dxfId="521" priority="272" stopIfTrue="1" operator="equal">
      <formula>"Y"</formula>
    </cfRule>
    <cfRule type="cellIs" dxfId="520" priority="273" stopIfTrue="1" operator="equal">
      <formula>"G"</formula>
    </cfRule>
  </conditionalFormatting>
  <conditionalFormatting sqref="S189">
    <cfRule type="cellIs" dxfId="519" priority="268" stopIfTrue="1" operator="equal">
      <formula>"Y"</formula>
    </cfRule>
    <cfRule type="cellIs" dxfId="518" priority="269" stopIfTrue="1" operator="equal">
      <formula>"N"</formula>
    </cfRule>
    <cfRule type="cellIs" dxfId="517" priority="270" stopIfTrue="1" operator="equal">
      <formula>"NA"</formula>
    </cfRule>
  </conditionalFormatting>
  <conditionalFormatting sqref="S326:S335 X222:X335 T222:U335">
    <cfRule type="cellIs" dxfId="516" priority="265" stopIfTrue="1" operator="equal">
      <formula>"Y"</formula>
    </cfRule>
    <cfRule type="cellIs" dxfId="515" priority="266" stopIfTrue="1" operator="equal">
      <formula>"N"</formula>
    </cfRule>
    <cfRule type="cellIs" dxfId="514" priority="267" stopIfTrue="1" operator="equal">
      <formula>"NA"</formula>
    </cfRule>
  </conditionalFormatting>
  <conditionalFormatting sqref="E238:G254 F255:G255 E256:F256 E257:G335">
    <cfRule type="expression" dxfId="513" priority="264">
      <formula>$B238="del"</formula>
    </cfRule>
  </conditionalFormatting>
  <conditionalFormatting sqref="E222:G222 E232 G232 E223:E226 G223:G226">
    <cfRule type="expression" dxfId="512" priority="263">
      <formula>$B222="del"</formula>
    </cfRule>
  </conditionalFormatting>
  <conditionalFormatting sqref="E231 G231">
    <cfRule type="expression" dxfId="511" priority="260">
      <formula>$B231="del"</formula>
    </cfRule>
  </conditionalFormatting>
  <conditionalFormatting sqref="E227 G227">
    <cfRule type="expression" dxfId="510" priority="262">
      <formula>$B227="del"</formula>
    </cfRule>
  </conditionalFormatting>
  <conditionalFormatting sqref="E228 G228">
    <cfRule type="expression" dxfId="509" priority="261">
      <formula>$B228="del"</formula>
    </cfRule>
  </conditionalFormatting>
  <conditionalFormatting sqref="E230 G230">
    <cfRule type="expression" dxfId="508" priority="258">
      <formula>$B230="del"</formula>
    </cfRule>
  </conditionalFormatting>
  <conditionalFormatting sqref="E229 G229">
    <cfRule type="expression" dxfId="507" priority="259">
      <formula>$B229="del"</formula>
    </cfRule>
  </conditionalFormatting>
  <conditionalFormatting sqref="E237:G237">
    <cfRule type="expression" dxfId="506" priority="257">
      <formula>$B237="del"</formula>
    </cfRule>
  </conditionalFormatting>
  <conditionalFormatting sqref="E235 G235">
    <cfRule type="expression" dxfId="505" priority="253">
      <formula>$B235="del"</formula>
    </cfRule>
  </conditionalFormatting>
  <conditionalFormatting sqref="E234 G234">
    <cfRule type="expression" dxfId="504" priority="256">
      <formula>$B234="del"</formula>
    </cfRule>
  </conditionalFormatting>
  <conditionalFormatting sqref="E233 G233">
    <cfRule type="expression" dxfId="503" priority="255">
      <formula>$B233="del"</formula>
    </cfRule>
  </conditionalFormatting>
  <conditionalFormatting sqref="E236 G236">
    <cfRule type="expression" dxfId="502" priority="254">
      <formula>$B236="del"</formula>
    </cfRule>
  </conditionalFormatting>
  <conditionalFormatting sqref="E255">
    <cfRule type="expression" dxfId="501" priority="252">
      <formula>$B255="del"</formula>
    </cfRule>
  </conditionalFormatting>
  <conditionalFormatting sqref="G256">
    <cfRule type="expression" dxfId="500" priority="251">
      <formula>$B256="del"</formula>
    </cfRule>
  </conditionalFormatting>
  <conditionalFormatting sqref="B222:D335">
    <cfRule type="expression" dxfId="499" priority="250">
      <formula>$B222="del"</formula>
    </cfRule>
  </conditionalFormatting>
  <conditionalFormatting sqref="I222:I335">
    <cfRule type="cellIs" dxfId="498" priority="247" stopIfTrue="1" operator="equal">
      <formula>"Y"</formula>
    </cfRule>
    <cfRule type="cellIs" dxfId="497" priority="248" stopIfTrue="1" operator="equal">
      <formula>"N"</formula>
    </cfRule>
    <cfRule type="cellIs" dxfId="496" priority="249" stopIfTrue="1" operator="equal">
      <formula>"NA"</formula>
    </cfRule>
  </conditionalFormatting>
  <conditionalFormatting sqref="K222:K335">
    <cfRule type="cellIs" dxfId="495" priority="244" stopIfTrue="1" operator="equal">
      <formula>"Y"</formula>
    </cfRule>
    <cfRule type="cellIs" dxfId="494" priority="245" stopIfTrue="1" operator="equal">
      <formula>"N"</formula>
    </cfRule>
    <cfRule type="cellIs" dxfId="493" priority="246" stopIfTrue="1" operator="equal">
      <formula>"NA"</formula>
    </cfRule>
  </conditionalFormatting>
  <conditionalFormatting sqref="J222:J335">
    <cfRule type="cellIs" dxfId="492" priority="241" stopIfTrue="1" operator="equal">
      <formula>"Y"</formula>
    </cfRule>
    <cfRule type="cellIs" dxfId="491" priority="242" stopIfTrue="1" operator="equal">
      <formula>"N"</formula>
    </cfRule>
    <cfRule type="cellIs" dxfId="490" priority="243" stopIfTrue="1" operator="equal">
      <formula>"NA"</formula>
    </cfRule>
  </conditionalFormatting>
  <conditionalFormatting sqref="L222:M335">
    <cfRule type="expression" dxfId="489" priority="240">
      <formula>$B222="del"</formula>
    </cfRule>
  </conditionalFormatting>
  <conditionalFormatting sqref="N222:N335">
    <cfRule type="cellIs" dxfId="488" priority="237" stopIfTrue="1" operator="equal">
      <formula>"Y"</formula>
    </cfRule>
    <cfRule type="cellIs" dxfId="487" priority="238" stopIfTrue="1" operator="equal">
      <formula>"N"</formula>
    </cfRule>
    <cfRule type="cellIs" dxfId="486" priority="239" stopIfTrue="1" operator="equal">
      <formula>"NA"</formula>
    </cfRule>
  </conditionalFormatting>
  <conditionalFormatting sqref="W222:W335">
    <cfRule type="cellIs" dxfId="485" priority="234" stopIfTrue="1" operator="equal">
      <formula>"Y"</formula>
    </cfRule>
    <cfRule type="cellIs" dxfId="484" priority="235" stopIfTrue="1" operator="equal">
      <formula>"N"</formula>
    </cfRule>
    <cfRule type="cellIs" dxfId="483" priority="236" stopIfTrue="1" operator="equal">
      <formula>"NA"</formula>
    </cfRule>
  </conditionalFormatting>
  <conditionalFormatting sqref="S222:S325">
    <cfRule type="cellIs" dxfId="482" priority="231" stopIfTrue="1" operator="equal">
      <formula>"Y"</formula>
    </cfRule>
    <cfRule type="cellIs" dxfId="481" priority="232" stopIfTrue="1" operator="equal">
      <formula>"N"</formula>
    </cfRule>
    <cfRule type="cellIs" dxfId="480" priority="233" stopIfTrue="1" operator="equal">
      <formula>"NA"</formula>
    </cfRule>
  </conditionalFormatting>
  <conditionalFormatting sqref="X212">
    <cfRule type="cellIs" dxfId="479" priority="228" stopIfTrue="1" operator="equal">
      <formula>"R"</formula>
    </cfRule>
    <cfRule type="cellIs" dxfId="478" priority="229" stopIfTrue="1" operator="equal">
      <formula>"Y"</formula>
    </cfRule>
    <cfRule type="cellIs" dxfId="477" priority="230" stopIfTrue="1" operator="equal">
      <formula>"G"</formula>
    </cfRule>
  </conditionalFormatting>
  <conditionalFormatting sqref="S94:U94 S95:V335 S5:V93">
    <cfRule type="expression" dxfId="476" priority="53">
      <formula>AND($U5="",$T5&gt;$T$1,$T5&lt;$U$1)</formula>
    </cfRule>
    <cfRule type="expression" dxfId="475" priority="54">
      <formula>AND($U5="",$T5&lt;$S$1)</formula>
    </cfRule>
    <cfRule type="expression" dxfId="474" priority="55">
      <formula>AND($U5&gt;0)</formula>
    </cfRule>
    <cfRule type="expression" dxfId="473" priority="56">
      <formula>AND($U5="",$T5&lt;&gt;"",$T5&gt;$S$1,$T5&lt;=$T$1)</formula>
    </cfRule>
  </conditionalFormatting>
  <conditionalFormatting sqref="X173:X177">
    <cfRule type="cellIs" dxfId="472" priority="46" stopIfTrue="1" operator="equal">
      <formula>"Y"</formula>
    </cfRule>
    <cfRule type="cellIs" dxfId="471" priority="47" stopIfTrue="1" operator="equal">
      <formula>"N"</formula>
    </cfRule>
    <cfRule type="cellIs" dxfId="470" priority="48" stopIfTrue="1" operator="equal">
      <formula>"NA"</formula>
    </cfRule>
  </conditionalFormatting>
  <conditionalFormatting sqref="U172">
    <cfRule type="cellIs" dxfId="469" priority="43" stopIfTrue="1" operator="equal">
      <formula>"Y"</formula>
    </cfRule>
    <cfRule type="cellIs" dxfId="468" priority="44" stopIfTrue="1" operator="equal">
      <formula>"N"</formula>
    </cfRule>
    <cfRule type="cellIs" dxfId="467" priority="45" stopIfTrue="1" operator="equal">
      <formula>"NA"</formula>
    </cfRule>
  </conditionalFormatting>
  <conditionalFormatting sqref="U131 U135 U138:U139">
    <cfRule type="cellIs" dxfId="466" priority="40" stopIfTrue="1" operator="equal">
      <formula>"Y"</formula>
    </cfRule>
    <cfRule type="cellIs" dxfId="465" priority="41" stopIfTrue="1" operator="equal">
      <formula>"N"</formula>
    </cfRule>
    <cfRule type="cellIs" dxfId="464" priority="42" stopIfTrue="1" operator="equal">
      <formula>"NA"</formula>
    </cfRule>
  </conditionalFormatting>
  <conditionalFormatting sqref="U171">
    <cfRule type="cellIs" dxfId="463" priority="37" stopIfTrue="1" operator="equal">
      <formula>"Y"</formula>
    </cfRule>
    <cfRule type="cellIs" dxfId="462" priority="38" stopIfTrue="1" operator="equal">
      <formula>"N"</formula>
    </cfRule>
    <cfRule type="cellIs" dxfId="461" priority="39" stopIfTrue="1" operator="equal">
      <formula>"NA"</formula>
    </cfRule>
  </conditionalFormatting>
  <conditionalFormatting sqref="U128:U130">
    <cfRule type="cellIs" dxfId="460" priority="34" stopIfTrue="1" operator="equal">
      <formula>"Y"</formula>
    </cfRule>
    <cfRule type="cellIs" dxfId="459" priority="35" stopIfTrue="1" operator="equal">
      <formula>"N"</formula>
    </cfRule>
    <cfRule type="cellIs" dxfId="458" priority="36" stopIfTrue="1" operator="equal">
      <formula>"NA"</formula>
    </cfRule>
  </conditionalFormatting>
  <conditionalFormatting sqref="U148:U156">
    <cfRule type="cellIs" dxfId="457" priority="31" stopIfTrue="1" operator="equal">
      <formula>"Y"</formula>
    </cfRule>
    <cfRule type="cellIs" dxfId="456" priority="32" stopIfTrue="1" operator="equal">
      <formula>"N"</formula>
    </cfRule>
    <cfRule type="cellIs" dxfId="455" priority="33" stopIfTrue="1" operator="equal">
      <formula>"NA"</formula>
    </cfRule>
  </conditionalFormatting>
  <conditionalFormatting sqref="U173:U177">
    <cfRule type="cellIs" dxfId="454" priority="28" stopIfTrue="1" operator="equal">
      <formula>"Y"</formula>
    </cfRule>
    <cfRule type="cellIs" dxfId="453" priority="29" stopIfTrue="1" operator="equal">
      <formula>"N"</formula>
    </cfRule>
    <cfRule type="cellIs" dxfId="452" priority="30" stopIfTrue="1" operator="equal">
      <formula>"NA"</formula>
    </cfRule>
  </conditionalFormatting>
  <conditionalFormatting sqref="Y410:Z659 W417:X659">
    <cfRule type="expression" dxfId="451" priority="4305">
      <formula>AND($Y410&gt;0)</formula>
    </cfRule>
    <cfRule type="expression" dxfId="450" priority="4306">
      <formula>AND($Y410="",$X410&lt;&gt;"",$X410&gt;$T$1,$X410&lt;=$U$1)</formula>
    </cfRule>
    <cfRule type="expression" dxfId="449" priority="4307">
      <formula>AND($Y410="",$X410&lt;&gt;"",$X410&gt;$S$1,$X410&lt;=$T$1)</formula>
    </cfRule>
    <cfRule type="expression" dxfId="448" priority="4308">
      <formula>AND($Y410="",$X410&lt;&gt;"",$X410&lt;=$S$1)</formula>
    </cfRule>
  </conditionalFormatting>
  <conditionalFormatting sqref="X55:X94 V94 Y222:Y223 Y224:Z409 W336:X416 W103:Z116 Y25:Z94">
    <cfRule type="expression" dxfId="447" priority="4321">
      <formula>AND($Y25&gt;0)</formula>
    </cfRule>
    <cfRule type="expression" dxfId="446" priority="4322">
      <formula>AND($Y25="",$X25&lt;&gt;"",$X25&gt;$T$1,$X25&lt;=$U$1)</formula>
    </cfRule>
    <cfRule type="expression" dxfId="445" priority="4323">
      <formula>AND($Y25="",$X25&lt;&gt;"",$X25&gt;$S$1,$X25&lt;=$U$1)</formula>
    </cfRule>
    <cfRule type="expression" dxfId="444" priority="4324">
      <formula>AND($Y25="",$X25&lt;&gt;"",$X25&lt;=$S$1)</formula>
    </cfRule>
  </conditionalFormatting>
  <conditionalFormatting sqref="V94 W5:Z335">
    <cfRule type="expression" dxfId="443" priority="4353">
      <formula>AND($Y5="",$X5&gt;$T$1,$X5&lt;$U$1)</formula>
    </cfRule>
    <cfRule type="expression" dxfId="442" priority="4354">
      <formula>AND($Y5="",$X5&gt;$S$1,$X5&lt;=$T$1)</formula>
    </cfRule>
    <cfRule type="expression" dxfId="441" priority="4355">
      <formula>AND($Y5="",$X5&lt;$S$1)</formula>
    </cfRule>
    <cfRule type="expression" dxfId="440" priority="4356">
      <formula>AND($Y5&lt;&gt;"")</formula>
    </cfRule>
  </conditionalFormatting>
  <conditionalFormatting sqref="T13:T16">
    <cfRule type="cellIs" dxfId="439" priority="1" stopIfTrue="1" operator="equal">
      <formula>"Y"</formula>
    </cfRule>
    <cfRule type="cellIs" dxfId="438" priority="2" stopIfTrue="1" operator="equal">
      <formula>"N"</formula>
    </cfRule>
    <cfRule type="cellIs" dxfId="437" priority="3" stopIfTrue="1" operator="equal">
      <formula>"NA"</formula>
    </cfRule>
  </conditionalFormatting>
  <dataValidations disablePrompts="1" count="1">
    <dataValidation type="list" allowBlank="1" showInputMessage="1" showErrorMessage="1" sqref="L3 L362:L65419 JI117:JI221 L103:L116 M117:M221 WVU117:WVU221 WLY117:WLY221 WCC117:WCC221 VSG117:VSG221 VIK117:VIK221 UYO117:UYO221 UOS117:UOS221 UEW117:UEW221 TVA117:TVA221 TLE117:TLE221 TBI117:TBI221 SRM117:SRM221 SHQ117:SHQ221 RXU117:RXU221 RNY117:RNY221 REC117:REC221 QUG117:QUG221 QKK117:QKK221 QAO117:QAO221 PQS117:PQS221 PGW117:PGW221 OXA117:OXA221 ONE117:ONE221 ODI117:ODI221 NTM117:NTM221 NJQ117:NJQ221 MZU117:MZU221 MPY117:MPY221 MGC117:MGC221 LWG117:LWG221 LMK117:LMK221 LCO117:LCO221 KSS117:KSS221 KIW117:KIW221 JZA117:JZA221 JPE117:JPE221 JFI117:JFI221 IVM117:IVM221 ILQ117:ILQ221 IBU117:IBU221 HRY117:HRY221 HIC117:HIC221 GYG117:GYG221 GOK117:GOK221 GEO117:GEO221 FUS117:FUS221 FKW117:FKW221 FBA117:FBA221 ERE117:ERE221 EHI117:EHI221 DXM117:DXM221 DNQ117:DNQ221 DDU117:DDU221 CTY117:CTY221 CKC117:CKC221 CAG117:CAG221 BQK117:BQK221 BGO117:BGO221 AWS117:AWS221 AMW117:AMW221 ADA117:ADA221 TE117:TE221 Q336:Q361 M5:M24 L25:L94 M95:M102">
      <formula1>"R,G,Y"</formula1>
    </dataValidation>
  </dataValidations>
  <pageMargins left="0.74803149606299213" right="0.74803149606299213" top="0.98425196850393704" bottom="0.98425196850393704" header="0.51181102362204722" footer="0.51181102362204722"/>
  <pageSetup paperSize="8" orientation="landscape" r:id="rId112"/>
  <headerFooter alignWithMargins="0">
    <oddFooter>&amp;LOriginator: bhu6
C346 CFMA APQP/PPAP deliverable status&amp;Cpage &amp;P of &amp;N&amp;RDate issued:18/05/2010
Date revised:12/06/2010</oddFooter>
  </headerFooter>
  <colBreaks count="1" manualBreakCount="1">
    <brk id="73" max="1048575" man="1"/>
  </colBreaks>
  <drawing r:id="rId113"/>
  <legacyDrawing r:id="rId1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15" name="Button 1">
              <controlPr defaultSize="0" print="0" autoFill="0" autoPict="0" macro="[0]!Freeze_Panes">
                <anchor moveWithCells="1" sizeWithCells="1">
                  <from>
                    <xdr:col>0</xdr:col>
                    <xdr:colOff>190500</xdr:colOff>
                    <xdr:row>0</xdr:row>
                    <xdr:rowOff>83820</xdr:rowOff>
                  </from>
                  <to>
                    <xdr:col>2</xdr:col>
                    <xdr:colOff>106680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116" name="Button 2">
              <controlPr defaultSize="0" print="0" autoFill="0" autoPict="0" macro="[0]!UnFreeze_Panes">
                <anchor moveWithCells="1" sizeWithCells="1">
                  <from>
                    <xdr:col>0</xdr:col>
                    <xdr:colOff>190500</xdr:colOff>
                    <xdr:row>1</xdr:row>
                    <xdr:rowOff>22860</xdr:rowOff>
                  </from>
                  <to>
                    <xdr:col>2</xdr:col>
                    <xdr:colOff>106680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117" name="Button 3">
              <controlPr defaultSize="0" print="0" autoFill="0" autoPict="0" macro="[0]!Clear_Filter">
                <anchor moveWithCells="1" sizeWithCells="1">
                  <from>
                    <xdr:col>2</xdr:col>
                    <xdr:colOff>114300</xdr:colOff>
                    <xdr:row>0</xdr:row>
                    <xdr:rowOff>83820</xdr:rowOff>
                  </from>
                  <to>
                    <xdr:col>2</xdr:col>
                    <xdr:colOff>975360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118" name="Option Button 4">
              <controlPr defaultSize="0" autoFill="0" autoLine="0" autoPict="0">
                <anchor moveWithCells="1">
                  <from>
                    <xdr:col>21</xdr:col>
                    <xdr:colOff>121920</xdr:colOff>
                    <xdr:row>0</xdr:row>
                    <xdr:rowOff>53340</xdr:rowOff>
                  </from>
                  <to>
                    <xdr:col>22</xdr:col>
                    <xdr:colOff>152400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119" name="Option Button 5">
              <controlPr defaultSize="0" autoFill="0" autoLine="0" autoPict="0">
                <anchor moveWithCells="1">
                  <from>
                    <xdr:col>22</xdr:col>
                    <xdr:colOff>60960</xdr:colOff>
                    <xdr:row>0</xdr:row>
                    <xdr:rowOff>60960</xdr:rowOff>
                  </from>
                  <to>
                    <xdr:col>22</xdr:col>
                    <xdr:colOff>754380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20" name="Button 6">
              <controlPr defaultSize="0" print="0" autoFill="0" autoPict="0" macro="[0]!Filter_Overdue">
                <anchor moveWithCells="1" sizeWithCells="1">
                  <from>
                    <xdr:col>23</xdr:col>
                    <xdr:colOff>38100</xdr:colOff>
                    <xdr:row>0</xdr:row>
                    <xdr:rowOff>99060</xdr:rowOff>
                  </from>
                  <to>
                    <xdr:col>24</xdr:col>
                    <xdr:colOff>68580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21" name="Button 7">
              <controlPr defaultSize="0" print="0" autoFill="0" autoPict="0" macro="[0]!Filter_Yellow">
                <anchor moveWithCells="1" sizeWithCells="1">
                  <from>
                    <xdr:col>24</xdr:col>
                    <xdr:colOff>152400</xdr:colOff>
                    <xdr:row>0</xdr:row>
                    <xdr:rowOff>91440</xdr:rowOff>
                  </from>
                  <to>
                    <xdr:col>25</xdr:col>
                    <xdr:colOff>601980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22" name="Button 8">
              <controlPr defaultSize="0" print="0" autoFill="0" autoPict="0" macro="[0]!Filter_Blue">
                <anchor moveWithCells="1" sizeWithCells="1">
                  <from>
                    <xdr:col>25</xdr:col>
                    <xdr:colOff>655320</xdr:colOff>
                    <xdr:row>0</xdr:row>
                    <xdr:rowOff>91440</xdr:rowOff>
                  </from>
                  <to>
                    <xdr:col>26</xdr:col>
                    <xdr:colOff>868680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4"/>
  <sheetViews>
    <sheetView topLeftCell="E1" workbookViewId="0">
      <selection activeCell="M7" sqref="M7"/>
    </sheetView>
  </sheetViews>
  <sheetFormatPr defaultRowHeight="13.2"/>
  <cols>
    <col min="2" max="2" width="0" hidden="1" customWidth="1"/>
    <col min="3" max="3" width="19.33203125" hidden="1" customWidth="1"/>
    <col min="8" max="9" width="0" hidden="1" customWidth="1"/>
    <col min="11" max="11" width="10.5546875" customWidth="1"/>
    <col min="12" max="12" width="11.33203125" customWidth="1"/>
    <col min="13" max="13" width="14.6640625" customWidth="1"/>
    <col min="14" max="15" width="13.33203125" customWidth="1"/>
    <col min="17" max="17" width="12.88671875" customWidth="1"/>
    <col min="18" max="18" width="13.109375" customWidth="1"/>
    <col min="19" max="19" width="11.109375" customWidth="1"/>
    <col min="20" max="20" width="10.5546875" customWidth="1"/>
    <col min="21" max="21" width="20.88671875" customWidth="1"/>
  </cols>
  <sheetData>
    <row r="1" spans="1:21" ht="27.75" customHeight="1">
      <c r="A1" s="348" t="s">
        <v>1195</v>
      </c>
      <c r="B1" s="349"/>
      <c r="C1" s="349"/>
      <c r="D1" s="349"/>
      <c r="E1" s="349"/>
      <c r="F1" s="350"/>
      <c r="G1" s="359" t="s">
        <v>268</v>
      </c>
      <c r="H1" s="33" t="s">
        <v>47</v>
      </c>
      <c r="I1" s="42" t="s">
        <v>269</v>
      </c>
      <c r="J1" s="47"/>
      <c r="K1" s="48"/>
      <c r="L1" s="57"/>
      <c r="M1" s="22"/>
      <c r="N1" s="55">
        <v>43168</v>
      </c>
      <c r="O1" s="135">
        <v>43175</v>
      </c>
      <c r="P1" s="136">
        <v>43182</v>
      </c>
      <c r="Q1" s="60"/>
      <c r="R1" s="28"/>
      <c r="S1" s="138"/>
      <c r="T1" s="26"/>
      <c r="U1" s="26"/>
    </row>
    <row r="2" spans="1:21" ht="15.75" customHeight="1">
      <c r="A2" s="393" t="s">
        <v>20</v>
      </c>
      <c r="B2" s="346"/>
      <c r="C2" s="346"/>
      <c r="D2" s="393" t="s">
        <v>21</v>
      </c>
      <c r="E2" s="393" t="s">
        <v>1501</v>
      </c>
      <c r="F2" s="393" t="s">
        <v>1502</v>
      </c>
      <c r="G2" s="393" t="s">
        <v>1503</v>
      </c>
      <c r="H2" s="43">
        <v>43299</v>
      </c>
      <c r="I2" s="43">
        <v>43390</v>
      </c>
      <c r="J2" s="389" t="s">
        <v>26</v>
      </c>
      <c r="K2" s="390"/>
      <c r="L2" s="391"/>
      <c r="M2" s="392"/>
      <c r="N2" s="385" t="s">
        <v>59</v>
      </c>
      <c r="O2" s="385"/>
      <c r="P2" s="385"/>
      <c r="Q2" s="386"/>
      <c r="R2" s="387" t="s">
        <v>60</v>
      </c>
      <c r="S2" s="388"/>
      <c r="T2" s="388"/>
      <c r="U2" s="388"/>
    </row>
    <row r="3" spans="1:21" ht="60">
      <c r="A3" s="393"/>
      <c r="B3" s="347" t="s">
        <v>52</v>
      </c>
      <c r="C3" s="347" t="s">
        <v>29</v>
      </c>
      <c r="D3" s="393"/>
      <c r="E3" s="393"/>
      <c r="F3" s="393"/>
      <c r="G3" s="393"/>
      <c r="H3" s="347" t="s">
        <v>23</v>
      </c>
      <c r="I3" s="347" t="s">
        <v>24</v>
      </c>
      <c r="J3" s="339" t="s">
        <v>16</v>
      </c>
      <c r="K3" s="339" t="s">
        <v>17</v>
      </c>
      <c r="L3" s="340" t="s">
        <v>45</v>
      </c>
      <c r="M3" s="341" t="s">
        <v>1</v>
      </c>
      <c r="N3" s="342" t="s">
        <v>67</v>
      </c>
      <c r="O3" s="342" t="s">
        <v>54</v>
      </c>
      <c r="P3" s="342" t="s">
        <v>18</v>
      </c>
      <c r="Q3" s="342" t="s">
        <v>31</v>
      </c>
      <c r="R3" s="343" t="s">
        <v>68</v>
      </c>
      <c r="S3" s="343" t="s">
        <v>28</v>
      </c>
      <c r="T3" s="343" t="s">
        <v>22</v>
      </c>
      <c r="U3" s="343" t="s">
        <v>32</v>
      </c>
    </row>
    <row r="4" spans="1:21" hidden="1">
      <c r="A4" s="369">
        <v>10</v>
      </c>
      <c r="B4" s="347">
        <v>10</v>
      </c>
      <c r="C4" s="347">
        <v>10</v>
      </c>
      <c r="D4" s="347">
        <v>10</v>
      </c>
      <c r="E4" s="347">
        <v>10</v>
      </c>
      <c r="F4" s="347">
        <v>10</v>
      </c>
      <c r="G4" s="347">
        <v>10</v>
      </c>
      <c r="H4" s="347">
        <v>10</v>
      </c>
      <c r="I4" s="347">
        <v>8</v>
      </c>
      <c r="J4" s="369">
        <v>10</v>
      </c>
      <c r="K4" s="369">
        <v>10</v>
      </c>
      <c r="L4" s="369">
        <v>10</v>
      </c>
      <c r="M4" s="369">
        <v>10</v>
      </c>
      <c r="N4" s="369">
        <v>10</v>
      </c>
      <c r="O4" s="369">
        <v>10</v>
      </c>
      <c r="P4" s="369">
        <v>6</v>
      </c>
      <c r="Q4" s="369">
        <v>4</v>
      </c>
      <c r="R4" s="369">
        <v>10</v>
      </c>
      <c r="S4" s="369">
        <v>10</v>
      </c>
      <c r="T4" s="369">
        <v>0</v>
      </c>
      <c r="U4" s="369">
        <v>4</v>
      </c>
    </row>
    <row r="5" spans="1:21" ht="24.9" customHeight="1">
      <c r="A5" s="139">
        <v>1</v>
      </c>
      <c r="B5" s="15" t="s">
        <v>560</v>
      </c>
      <c r="C5" s="56" t="s">
        <v>561</v>
      </c>
      <c r="D5" s="15" t="s">
        <v>50</v>
      </c>
      <c r="E5" s="15" t="s">
        <v>514</v>
      </c>
      <c r="F5" s="15" t="s">
        <v>56</v>
      </c>
      <c r="G5" s="15" t="s">
        <v>6</v>
      </c>
      <c r="H5" s="3" t="s">
        <v>61</v>
      </c>
      <c r="I5" s="5">
        <v>4</v>
      </c>
      <c r="J5" s="35" t="s">
        <v>562</v>
      </c>
      <c r="K5" s="35" t="s">
        <v>563</v>
      </c>
      <c r="L5" s="35" t="s">
        <v>564</v>
      </c>
      <c r="M5" s="35" t="s">
        <v>565</v>
      </c>
      <c r="N5" s="4">
        <v>43070</v>
      </c>
      <c r="O5" s="4">
        <v>43159</v>
      </c>
      <c r="P5" s="4">
        <v>43159</v>
      </c>
      <c r="Q5" s="61"/>
      <c r="R5" s="4">
        <v>43098</v>
      </c>
      <c r="S5" s="4">
        <v>43205</v>
      </c>
      <c r="T5" s="107"/>
      <c r="U5" s="107"/>
    </row>
    <row r="6" spans="1:21" ht="24.9" customHeight="1">
      <c r="A6" s="139">
        <v>2</v>
      </c>
      <c r="B6" s="15" t="s">
        <v>560</v>
      </c>
      <c r="C6" s="56" t="s">
        <v>561</v>
      </c>
      <c r="D6" s="15" t="s">
        <v>50</v>
      </c>
      <c r="E6" s="15" t="s">
        <v>514</v>
      </c>
      <c r="F6" s="15" t="s">
        <v>56</v>
      </c>
      <c r="G6" s="15" t="s">
        <v>9</v>
      </c>
      <c r="H6" s="3" t="s">
        <v>61</v>
      </c>
      <c r="I6" s="5">
        <v>4</v>
      </c>
      <c r="J6" s="35" t="s">
        <v>562</v>
      </c>
      <c r="K6" s="35" t="s">
        <v>563</v>
      </c>
      <c r="L6" s="35" t="s">
        <v>564</v>
      </c>
      <c r="M6" s="35" t="s">
        <v>565</v>
      </c>
      <c r="N6" s="4">
        <v>43070</v>
      </c>
      <c r="O6" s="4">
        <v>43159</v>
      </c>
      <c r="P6" s="4">
        <v>43159</v>
      </c>
      <c r="Q6" s="61"/>
      <c r="R6" s="4">
        <v>43098</v>
      </c>
      <c r="S6" s="4">
        <v>43205</v>
      </c>
      <c r="T6" s="107"/>
      <c r="U6" s="107"/>
    </row>
    <row r="7" spans="1:21" ht="24.9" customHeight="1">
      <c r="A7" s="139">
        <v>3</v>
      </c>
      <c r="B7" s="344" t="s">
        <v>387</v>
      </c>
      <c r="C7" s="344" t="s">
        <v>388</v>
      </c>
      <c r="D7" s="344" t="s">
        <v>0</v>
      </c>
      <c r="E7" s="344" t="s">
        <v>282</v>
      </c>
      <c r="F7" s="344" t="s">
        <v>389</v>
      </c>
      <c r="G7" s="344" t="s">
        <v>229</v>
      </c>
      <c r="H7" s="344" t="s">
        <v>364</v>
      </c>
      <c r="I7" s="344">
        <v>8</v>
      </c>
      <c r="J7" s="344" t="s">
        <v>1500</v>
      </c>
      <c r="K7" s="344" t="s">
        <v>388</v>
      </c>
      <c r="L7" s="344" t="s">
        <v>373</v>
      </c>
      <c r="M7" s="287" t="s">
        <v>391</v>
      </c>
      <c r="N7" s="4">
        <v>43070</v>
      </c>
      <c r="O7" s="4">
        <v>43070</v>
      </c>
      <c r="P7" s="4">
        <v>43070</v>
      </c>
      <c r="Q7" s="61"/>
      <c r="R7" s="4">
        <v>43160</v>
      </c>
      <c r="S7" s="4">
        <v>43160</v>
      </c>
      <c r="T7" s="4"/>
      <c r="U7" s="4"/>
    </row>
    <row r="8" spans="1:21" ht="24.9" customHeight="1">
      <c r="A8" s="139">
        <v>4</v>
      </c>
      <c r="B8" s="344" t="s">
        <v>387</v>
      </c>
      <c r="C8" s="344" t="s">
        <v>398</v>
      </c>
      <c r="D8" s="344" t="s">
        <v>0</v>
      </c>
      <c r="E8" s="344" t="s">
        <v>282</v>
      </c>
      <c r="F8" s="344" t="s">
        <v>393</v>
      </c>
      <c r="G8" s="344" t="s">
        <v>399</v>
      </c>
      <c r="H8" s="344" t="s">
        <v>364</v>
      </c>
      <c r="I8" s="344">
        <v>8</v>
      </c>
      <c r="J8" s="344" t="s">
        <v>828</v>
      </c>
      <c r="K8" s="344" t="s">
        <v>398</v>
      </c>
      <c r="L8" s="344" t="s">
        <v>373</v>
      </c>
      <c r="M8" s="287" t="s">
        <v>391</v>
      </c>
      <c r="N8" s="4">
        <v>43070</v>
      </c>
      <c r="O8" s="4">
        <v>43070</v>
      </c>
      <c r="P8" s="4">
        <v>43070</v>
      </c>
      <c r="Q8" s="61"/>
      <c r="R8" s="4">
        <v>43160</v>
      </c>
      <c r="S8" s="4">
        <v>43160</v>
      </c>
      <c r="T8" s="4"/>
      <c r="U8" s="4"/>
    </row>
    <row r="9" spans="1:21" ht="24.9" customHeight="1">
      <c r="A9" s="139">
        <v>5</v>
      </c>
      <c r="B9" s="344" t="s">
        <v>387</v>
      </c>
      <c r="C9" s="344" t="s">
        <v>403</v>
      </c>
      <c r="D9" s="344" t="s">
        <v>0</v>
      </c>
      <c r="E9" s="344" t="s">
        <v>282</v>
      </c>
      <c r="F9" s="344" t="s">
        <v>404</v>
      </c>
      <c r="G9" s="344" t="s">
        <v>397</v>
      </c>
      <c r="H9" s="344" t="s">
        <v>364</v>
      </c>
      <c r="I9" s="344">
        <v>8</v>
      </c>
      <c r="J9" s="344" t="s">
        <v>831</v>
      </c>
      <c r="K9" s="344" t="s">
        <v>403</v>
      </c>
      <c r="L9" s="344" t="s">
        <v>373</v>
      </c>
      <c r="M9" s="287" t="s">
        <v>391</v>
      </c>
      <c r="N9" s="4">
        <v>43070</v>
      </c>
      <c r="O9" s="4">
        <v>43070</v>
      </c>
      <c r="P9" s="4">
        <v>43070</v>
      </c>
      <c r="Q9" s="61"/>
      <c r="R9" s="4">
        <v>43160</v>
      </c>
      <c r="S9" s="4">
        <v>43160</v>
      </c>
      <c r="T9" s="4"/>
      <c r="U9" s="4"/>
    </row>
    <row r="10" spans="1:21" ht="24.9" customHeight="1">
      <c r="A10" s="139">
        <v>6</v>
      </c>
      <c r="B10" s="344" t="s">
        <v>387</v>
      </c>
      <c r="C10" s="344" t="s">
        <v>405</v>
      </c>
      <c r="D10" s="344" t="s">
        <v>0</v>
      </c>
      <c r="E10" s="344" t="s">
        <v>282</v>
      </c>
      <c r="F10" s="344" t="s">
        <v>404</v>
      </c>
      <c r="G10" s="344" t="s">
        <v>399</v>
      </c>
      <c r="H10" s="344" t="s">
        <v>364</v>
      </c>
      <c r="I10" s="344">
        <v>8</v>
      </c>
      <c r="J10" s="344" t="s">
        <v>832</v>
      </c>
      <c r="K10" s="344" t="s">
        <v>405</v>
      </c>
      <c r="L10" s="344" t="s">
        <v>373</v>
      </c>
      <c r="M10" s="287" t="s">
        <v>391</v>
      </c>
      <c r="N10" s="4">
        <v>43070</v>
      </c>
      <c r="O10" s="4">
        <v>43070</v>
      </c>
      <c r="P10" s="4">
        <v>43070</v>
      </c>
      <c r="Q10" s="54"/>
      <c r="R10" s="4">
        <v>43160</v>
      </c>
      <c r="S10" s="4">
        <v>43160</v>
      </c>
      <c r="T10" s="4"/>
      <c r="U10" s="4"/>
    </row>
    <row r="11" spans="1:21" ht="24.9" customHeight="1">
      <c r="A11" s="139">
        <v>7</v>
      </c>
      <c r="B11" s="35" t="s">
        <v>239</v>
      </c>
      <c r="C11" s="56" t="s">
        <v>476</v>
      </c>
      <c r="D11" s="344" t="s">
        <v>0</v>
      </c>
      <c r="E11" s="15" t="s">
        <v>412</v>
      </c>
      <c r="F11" s="15" t="s">
        <v>477</v>
      </c>
      <c r="G11" s="15" t="s">
        <v>229</v>
      </c>
      <c r="H11" s="344" t="s">
        <v>364</v>
      </c>
      <c r="I11" s="344">
        <v>7</v>
      </c>
      <c r="J11" s="287" t="s">
        <v>478</v>
      </c>
      <c r="K11" s="56" t="s">
        <v>476</v>
      </c>
      <c r="L11" s="344" t="s">
        <v>366</v>
      </c>
      <c r="M11" s="286" t="s">
        <v>479</v>
      </c>
      <c r="N11" s="4">
        <v>43090</v>
      </c>
      <c r="O11" s="4">
        <v>42840</v>
      </c>
      <c r="P11" s="4"/>
      <c r="Q11" s="311"/>
      <c r="R11" s="4">
        <v>43139</v>
      </c>
      <c r="S11" s="4">
        <v>43235</v>
      </c>
      <c r="T11" s="3"/>
      <c r="U11" s="309" t="s">
        <v>1207</v>
      </c>
    </row>
    <row r="12" spans="1:21" ht="24.9" customHeight="1">
      <c r="A12" s="139">
        <v>8</v>
      </c>
      <c r="B12" s="35" t="s">
        <v>239</v>
      </c>
      <c r="C12" s="56" t="s">
        <v>476</v>
      </c>
      <c r="D12" s="344" t="s">
        <v>0</v>
      </c>
      <c r="E12" s="344" t="s">
        <v>282</v>
      </c>
      <c r="F12" s="15" t="s">
        <v>480</v>
      </c>
      <c r="G12" s="15" t="s">
        <v>229</v>
      </c>
      <c r="H12" s="344" t="s">
        <v>364</v>
      </c>
      <c r="I12" s="344">
        <v>7</v>
      </c>
      <c r="J12" s="287" t="s">
        <v>478</v>
      </c>
      <c r="K12" s="56" t="s">
        <v>476</v>
      </c>
      <c r="L12" s="344" t="s">
        <v>366</v>
      </c>
      <c r="M12" s="286" t="s">
        <v>479</v>
      </c>
      <c r="N12" s="4">
        <v>43090</v>
      </c>
      <c r="O12" s="4">
        <v>42840</v>
      </c>
      <c r="P12" s="4"/>
      <c r="Q12" s="61"/>
      <c r="R12" s="4">
        <v>43139</v>
      </c>
      <c r="S12" s="4">
        <v>43235</v>
      </c>
      <c r="T12" s="3"/>
      <c r="U12" s="309" t="s">
        <v>1207</v>
      </c>
    </row>
    <row r="13" spans="1:21" ht="24.9" customHeight="1">
      <c r="A13" s="139">
        <v>9</v>
      </c>
      <c r="B13" s="35" t="s">
        <v>481</v>
      </c>
      <c r="C13" s="35" t="s">
        <v>482</v>
      </c>
      <c r="D13" s="344" t="s">
        <v>0</v>
      </c>
      <c r="E13" s="344" t="s">
        <v>282</v>
      </c>
      <c r="F13" s="345" t="s">
        <v>834</v>
      </c>
      <c r="G13" s="15" t="s">
        <v>322</v>
      </c>
      <c r="H13" s="344" t="s">
        <v>364</v>
      </c>
      <c r="I13" s="5"/>
      <c r="J13" s="287" t="s">
        <v>483</v>
      </c>
      <c r="K13" s="35" t="s">
        <v>482</v>
      </c>
      <c r="L13" s="344" t="s">
        <v>1206</v>
      </c>
      <c r="M13" s="287" t="s">
        <v>485</v>
      </c>
      <c r="N13" s="4">
        <v>43105</v>
      </c>
      <c r="O13" s="4">
        <v>43156</v>
      </c>
      <c r="P13" s="4"/>
      <c r="Q13" s="61"/>
      <c r="R13" s="4">
        <v>43159</v>
      </c>
      <c r="S13" s="4">
        <v>43159</v>
      </c>
      <c r="T13" s="3"/>
      <c r="U13" s="309" t="s">
        <v>1213</v>
      </c>
    </row>
    <row r="14" spans="1:21" ht="24.9" customHeight="1">
      <c r="A14" s="139">
        <v>10</v>
      </c>
      <c r="B14" s="35" t="s">
        <v>481</v>
      </c>
      <c r="C14" s="35" t="s">
        <v>482</v>
      </c>
      <c r="D14" s="344" t="s">
        <v>0</v>
      </c>
      <c r="E14" s="344" t="s">
        <v>282</v>
      </c>
      <c r="F14" s="345" t="s">
        <v>834</v>
      </c>
      <c r="G14" s="15" t="s">
        <v>237</v>
      </c>
      <c r="H14" s="344" t="s">
        <v>364</v>
      </c>
      <c r="I14" s="5"/>
      <c r="J14" s="287" t="s">
        <v>483</v>
      </c>
      <c r="K14" s="35" t="s">
        <v>482</v>
      </c>
      <c r="L14" s="344" t="s">
        <v>1206</v>
      </c>
      <c r="M14" s="287" t="s">
        <v>485</v>
      </c>
      <c r="N14" s="4">
        <v>43105</v>
      </c>
      <c r="O14" s="4">
        <v>43156</v>
      </c>
      <c r="P14" s="4"/>
      <c r="Q14" s="61"/>
      <c r="R14" s="4">
        <v>43159</v>
      </c>
      <c r="S14" s="4">
        <v>43159</v>
      </c>
      <c r="T14" s="3"/>
      <c r="U14" s="309" t="s">
        <v>1213</v>
      </c>
    </row>
  </sheetData>
  <mergeCells count="8">
    <mergeCell ref="J2:M2"/>
    <mergeCell ref="N2:Q2"/>
    <mergeCell ref="R2:U2"/>
    <mergeCell ref="A2:A3"/>
    <mergeCell ref="D2:D3"/>
    <mergeCell ref="E2:E3"/>
    <mergeCell ref="F2:F3"/>
    <mergeCell ref="G2:G3"/>
  </mergeCells>
  <phoneticPr fontId="52" type="noConversion"/>
  <conditionalFormatting sqref="H1">
    <cfRule type="expression" dxfId="436" priority="53">
      <formula>$B1="del"</formula>
    </cfRule>
  </conditionalFormatting>
  <conditionalFormatting sqref="I1">
    <cfRule type="expression" dxfId="435" priority="52">
      <formula>$B1="del"</formula>
    </cfRule>
  </conditionalFormatting>
  <conditionalFormatting sqref="G1">
    <cfRule type="expression" dxfId="434" priority="51">
      <formula>$B1="del"</formula>
    </cfRule>
  </conditionalFormatting>
  <conditionalFormatting sqref="J1">
    <cfRule type="expression" dxfId="433" priority="50">
      <formula>$B1="del"</formula>
    </cfRule>
  </conditionalFormatting>
  <conditionalFormatting sqref="K1">
    <cfRule type="expression" dxfId="432" priority="49">
      <formula>$B1="del"</formula>
    </cfRule>
  </conditionalFormatting>
  <conditionalFormatting sqref="J5:M6 B5:G6">
    <cfRule type="expression" dxfId="431" priority="48">
      <formula>$B5="del"</formula>
    </cfRule>
  </conditionalFormatting>
  <conditionalFormatting sqref="I5:I6">
    <cfRule type="cellIs" dxfId="430" priority="45" stopIfTrue="1" operator="equal">
      <formula>"Y"</formula>
    </cfRule>
    <cfRule type="cellIs" dxfId="429" priority="46" stopIfTrue="1" operator="equal">
      <formula>"N"</formula>
    </cfRule>
    <cfRule type="cellIs" dxfId="428" priority="47" stopIfTrue="1" operator="equal">
      <formula>"NA"</formula>
    </cfRule>
  </conditionalFormatting>
  <conditionalFormatting sqref="N5:Q6">
    <cfRule type="cellIs" dxfId="427" priority="42" stopIfTrue="1" operator="equal">
      <formula>"Y"</formula>
    </cfRule>
    <cfRule type="cellIs" dxfId="426" priority="43" stopIfTrue="1" operator="equal">
      <formula>"N"</formula>
    </cfRule>
    <cfRule type="cellIs" dxfId="425" priority="44" stopIfTrue="1" operator="equal">
      <formula>"NA"</formula>
    </cfRule>
  </conditionalFormatting>
  <conditionalFormatting sqref="T5:U6">
    <cfRule type="expression" dxfId="424" priority="38">
      <formula>AND($Y5&gt;0)</formula>
    </cfRule>
    <cfRule type="expression" dxfId="423" priority="39">
      <formula>AND($Y5="",$X5&lt;&gt;"",$X5&gt;$T$1,$X5&lt;=$U$1)</formula>
    </cfRule>
    <cfRule type="expression" dxfId="422" priority="40">
      <formula>AND($Y5="",$X5&lt;&gt;"",$X5&gt;$S$1,$X5&lt;=$U$1)</formula>
    </cfRule>
    <cfRule type="expression" dxfId="421" priority="41">
      <formula>AND($Y5="",$X5&lt;&gt;"",$X5&lt;=$S$1)</formula>
    </cfRule>
  </conditionalFormatting>
  <conditionalFormatting sqref="N5:Q10">
    <cfRule type="expression" dxfId="420" priority="34">
      <formula>AND($U5="",$T5&gt;$T$1,$T5&lt;$U$1)</formula>
    </cfRule>
    <cfRule type="expression" dxfId="419" priority="35">
      <formula>AND($U5="",$T5&lt;$S$1)</formula>
    </cfRule>
    <cfRule type="expression" dxfId="418" priority="36">
      <formula>AND($U5&gt;0)</formula>
    </cfRule>
    <cfRule type="expression" dxfId="417" priority="37">
      <formula>AND($U5="",$T5&lt;&gt;"",$T5&gt;$S$1,$T5&lt;=$T$1)</formula>
    </cfRule>
  </conditionalFormatting>
  <conditionalFormatting sqref="R5:U14">
    <cfRule type="expression" dxfId="416" priority="30">
      <formula>AND($Y5="",$X5&gt;$T$1,$X5&lt;$U$1)</formula>
    </cfRule>
    <cfRule type="expression" dxfId="415" priority="31">
      <formula>AND($Y5="",$X5&gt;$S$1,$X5&lt;=$T$1)</formula>
    </cfRule>
    <cfRule type="expression" dxfId="414" priority="32">
      <formula>AND($Y5="",$X5&lt;$S$1)</formula>
    </cfRule>
    <cfRule type="expression" dxfId="413" priority="33">
      <formula>AND($Y5&lt;&gt;"")</formula>
    </cfRule>
  </conditionalFormatting>
  <conditionalFormatting sqref="M13:M14 E11:G11 F12:G12 B11:C12 C13:C14 G13:G14 J7:K14 D7:D14">
    <cfRule type="expression" dxfId="412" priority="29">
      <formula>$B7="del"</formula>
    </cfRule>
  </conditionalFormatting>
  <conditionalFormatting sqref="I7">
    <cfRule type="cellIs" dxfId="411" priority="26" stopIfTrue="1" operator="equal">
      <formula>"Y"</formula>
    </cfRule>
    <cfRule type="cellIs" dxfId="410" priority="27" stopIfTrue="1" operator="equal">
      <formula>"N"</formula>
    </cfRule>
    <cfRule type="cellIs" dxfId="409" priority="28" stopIfTrue="1" operator="equal">
      <formula>"NA"</formula>
    </cfRule>
  </conditionalFormatting>
  <conditionalFormatting sqref="U13:U14 U9 U7">
    <cfRule type="cellIs" dxfId="408" priority="23" stopIfTrue="1" operator="equal">
      <formula>"R"</formula>
    </cfRule>
    <cfRule type="cellIs" dxfId="407" priority="24" stopIfTrue="1" operator="equal">
      <formula>"Y"</formula>
    </cfRule>
    <cfRule type="cellIs" dxfId="406" priority="25" stopIfTrue="1" operator="equal">
      <formula>"G"</formula>
    </cfRule>
  </conditionalFormatting>
  <conditionalFormatting sqref="R11:R14 S11:S12 I11:I14 N10 N7:N8 P7:Q10">
    <cfRule type="cellIs" dxfId="405" priority="20" stopIfTrue="1" operator="equal">
      <formula>"Y"</formula>
    </cfRule>
    <cfRule type="cellIs" dxfId="404" priority="21" stopIfTrue="1" operator="equal">
      <formula>"N"</formula>
    </cfRule>
    <cfRule type="cellIs" dxfId="403" priority="22" stopIfTrue="1" operator="equal">
      <formula>"NA"</formula>
    </cfRule>
  </conditionalFormatting>
  <conditionalFormatting sqref="O10 O7:O8">
    <cfRule type="cellIs" dxfId="402" priority="17" stopIfTrue="1" operator="equal">
      <formula>"Y"</formula>
    </cfRule>
    <cfRule type="cellIs" dxfId="401" priority="18" stopIfTrue="1" operator="equal">
      <formula>"N"</formula>
    </cfRule>
    <cfRule type="cellIs" dxfId="400" priority="19" stopIfTrue="1" operator="equal">
      <formula>"NA"</formula>
    </cfRule>
  </conditionalFormatting>
  <conditionalFormatting sqref="S7:S10">
    <cfRule type="cellIs" dxfId="399" priority="14" stopIfTrue="1" operator="equal">
      <formula>"Y"</formula>
    </cfRule>
    <cfRule type="cellIs" dxfId="398" priority="15" stopIfTrue="1" operator="equal">
      <formula>"N"</formula>
    </cfRule>
    <cfRule type="cellIs" dxfId="397" priority="16" stopIfTrue="1" operator="equal">
      <formula>"NA"</formula>
    </cfRule>
  </conditionalFormatting>
  <conditionalFormatting sqref="P7:P10">
    <cfRule type="cellIs" dxfId="396" priority="11" stopIfTrue="1" operator="equal">
      <formula>"Y"</formula>
    </cfRule>
    <cfRule type="cellIs" dxfId="395" priority="12" stopIfTrue="1" operator="equal">
      <formula>"N"</formula>
    </cfRule>
    <cfRule type="cellIs" dxfId="394" priority="13" stopIfTrue="1" operator="equal">
      <formula>"NA"</formula>
    </cfRule>
  </conditionalFormatting>
  <conditionalFormatting sqref="I8:I10">
    <cfRule type="cellIs" dxfId="393" priority="8" stopIfTrue="1" operator="equal">
      <formula>"Y"</formula>
    </cfRule>
    <cfRule type="cellIs" dxfId="392" priority="9" stopIfTrue="1" operator="equal">
      <formula>"N"</formula>
    </cfRule>
    <cfRule type="cellIs" dxfId="391" priority="10" stopIfTrue="1" operator="equal">
      <formula>"NA"</formula>
    </cfRule>
  </conditionalFormatting>
  <conditionalFormatting sqref="N9">
    <cfRule type="cellIs" dxfId="390" priority="5" stopIfTrue="1" operator="equal">
      <formula>"Y"</formula>
    </cfRule>
    <cfRule type="cellIs" dxfId="389" priority="6" stopIfTrue="1" operator="equal">
      <formula>"N"</formula>
    </cfRule>
    <cfRule type="cellIs" dxfId="388" priority="7" stopIfTrue="1" operator="equal">
      <formula>"NA"</formula>
    </cfRule>
  </conditionalFormatting>
  <conditionalFormatting sqref="O9">
    <cfRule type="cellIs" dxfId="387" priority="2" stopIfTrue="1" operator="equal">
      <formula>"Y"</formula>
    </cfRule>
    <cfRule type="cellIs" dxfId="386" priority="3" stopIfTrue="1" operator="equal">
      <formula>"N"</formula>
    </cfRule>
    <cfRule type="cellIs" dxfId="385" priority="4" stopIfTrue="1" operator="equal">
      <formula>"NA"</formula>
    </cfRule>
  </conditionalFormatting>
  <conditionalFormatting sqref="B13:B14">
    <cfRule type="expression" dxfId="384" priority="1">
      <formula>$B13="del"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Freeze_Panes">
                <anchor moveWithCells="1" sizeWithCells="1">
                  <from>
                    <xdr:col>0</xdr:col>
                    <xdr:colOff>190500</xdr:colOff>
                    <xdr:row>0</xdr:row>
                    <xdr:rowOff>83820</xdr:rowOff>
                  </from>
                  <to>
                    <xdr:col>2</xdr:col>
                    <xdr:colOff>106680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UnFreeze_Panes">
                <anchor moveWithCells="1" sizeWithCells="1">
                  <from>
                    <xdr:col>0</xdr:col>
                    <xdr:colOff>190500</xdr:colOff>
                    <xdr:row>1</xdr:row>
                    <xdr:rowOff>22860</xdr:rowOff>
                  </from>
                  <to>
                    <xdr:col>2</xdr:col>
                    <xdr:colOff>106680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utton 3">
              <controlPr defaultSize="0" print="0" autoFill="0" autoPict="0" macro="[0]!Clear_Filter">
                <anchor moveWithCells="1" sizeWithCells="1">
                  <from>
                    <xdr:col>2</xdr:col>
                    <xdr:colOff>114300</xdr:colOff>
                    <xdr:row>0</xdr:row>
                    <xdr:rowOff>83820</xdr:rowOff>
                  </from>
                  <to>
                    <xdr:col>2</xdr:col>
                    <xdr:colOff>975360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Option Button 4">
              <controlPr defaultSize="0" autoFill="0" autoLine="0" autoPict="0">
                <anchor moveWithCells="1">
                  <from>
                    <xdr:col>16</xdr:col>
                    <xdr:colOff>121920</xdr:colOff>
                    <xdr:row>0</xdr:row>
                    <xdr:rowOff>60960</xdr:rowOff>
                  </from>
                  <to>
                    <xdr:col>16</xdr:col>
                    <xdr:colOff>838200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7" name="Option Button 5">
              <controlPr defaultSize="0" autoFill="0" autoLine="0" autoPict="0">
                <anchor moveWithCells="1">
                  <from>
                    <xdr:col>16</xdr:col>
                    <xdr:colOff>746760</xdr:colOff>
                    <xdr:row>0</xdr:row>
                    <xdr:rowOff>60960</xdr:rowOff>
                  </from>
                  <to>
                    <xdr:col>17</xdr:col>
                    <xdr:colOff>609600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8" name="Button 6">
              <controlPr defaultSize="0" print="0" autoFill="0" autoPict="0" macro="[0]!Filter_Overdue">
                <anchor moveWithCells="1" sizeWithCells="1">
                  <from>
                    <xdr:col>18</xdr:col>
                    <xdr:colOff>38100</xdr:colOff>
                    <xdr:row>0</xdr:row>
                    <xdr:rowOff>99060</xdr:rowOff>
                  </from>
                  <to>
                    <xdr:col>19</xdr:col>
                    <xdr:colOff>160020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9" name="Button 7">
              <controlPr defaultSize="0" print="0" autoFill="0" autoPict="0" macro="[0]!Filter_Yellow">
                <anchor moveWithCells="1" sizeWithCells="1">
                  <from>
                    <xdr:col>19</xdr:col>
                    <xdr:colOff>236220</xdr:colOff>
                    <xdr:row>0</xdr:row>
                    <xdr:rowOff>99060</xdr:rowOff>
                  </from>
                  <to>
                    <xdr:col>20</xdr:col>
                    <xdr:colOff>746760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0" name="Button 8">
              <controlPr defaultSize="0" print="0" autoFill="0" autoPict="0" macro="[0]!Filter_Blue">
                <anchor moveWithCells="1" sizeWithCells="1">
                  <from>
                    <xdr:col>20</xdr:col>
                    <xdr:colOff>792480</xdr:colOff>
                    <xdr:row>0</xdr:row>
                    <xdr:rowOff>99060</xdr:rowOff>
                  </from>
                  <to>
                    <xdr:col>22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C1:R521"/>
  <sheetViews>
    <sheetView showGridLines="0" showZeros="0" zoomScaleNormal="100" workbookViewId="0">
      <selection activeCell="F7" sqref="F7"/>
    </sheetView>
  </sheetViews>
  <sheetFormatPr defaultRowHeight="13.2"/>
  <cols>
    <col min="1" max="2" width="0.88671875" customWidth="1"/>
    <col min="3" max="3" width="9" bestFit="1" customWidth="1"/>
    <col min="4" max="4" width="9.33203125" customWidth="1"/>
    <col min="5" max="5" width="14.6640625" customWidth="1"/>
    <col min="6" max="6" width="26" customWidth="1"/>
    <col min="7" max="7" width="16.5546875" customWidth="1"/>
    <col min="8" max="8" width="10.6640625" bestFit="1" customWidth="1"/>
    <col min="9" max="9" width="9.44140625" bestFit="1" customWidth="1"/>
    <col min="10" max="10" width="10" bestFit="1" customWidth="1"/>
    <col min="11" max="11" width="15.88671875" bestFit="1" customWidth="1"/>
    <col min="12" max="12" width="12" bestFit="1" customWidth="1"/>
    <col min="13" max="13" width="12.44140625" bestFit="1" customWidth="1"/>
    <col min="14" max="14" width="11.88671875" bestFit="1" customWidth="1"/>
    <col min="15" max="15" width="15.88671875" bestFit="1" customWidth="1"/>
    <col min="16" max="16" width="11.109375" bestFit="1" customWidth="1"/>
    <col min="17" max="17" width="26.5546875" bestFit="1" customWidth="1"/>
    <col min="18" max="18" width="54" customWidth="1"/>
  </cols>
  <sheetData>
    <row r="1" spans="3:18" s="164" customFormat="1" ht="10.199999999999999">
      <c r="M1" s="176"/>
      <c r="N1" s="173"/>
      <c r="O1" s="173"/>
      <c r="P1" s="164">
        <v>1</v>
      </c>
    </row>
    <row r="2" spans="3:18" s="164" customFormat="1" ht="10.199999999999999">
      <c r="C2" s="175" t="str">
        <f>'Data Dic'!I6</f>
        <v>CD539MCA PV weekly follow up</v>
      </c>
    </row>
    <row r="3" spans="3:18">
      <c r="C3" s="170" t="str">
        <f>TEXT(D3,"d-m-yyyy")</f>
        <v>16-3-2018</v>
      </c>
      <c r="D3" s="171">
        <f>'Tracking List'!$S$1</f>
        <v>43175</v>
      </c>
      <c r="E3" s="172">
        <f>'Tracking List'!$T$1</f>
        <v>43182</v>
      </c>
      <c r="F3" s="174">
        <f>'Tracking List'!$U$1</f>
        <v>43189</v>
      </c>
      <c r="K3" s="176"/>
      <c r="L3" s="173"/>
      <c r="M3" s="173"/>
      <c r="N3" s="164">
        <v>21</v>
      </c>
      <c r="O3" s="164">
        <v>25</v>
      </c>
    </row>
    <row r="4" spans="3:18" s="163" customFormat="1" ht="10.8" thickBot="1">
      <c r="D4" s="163">
        <v>4</v>
      </c>
      <c r="E4" s="163">
        <v>2</v>
      </c>
      <c r="F4" s="163">
        <v>3</v>
      </c>
      <c r="G4" s="163">
        <v>15</v>
      </c>
      <c r="H4" s="163">
        <v>5</v>
      </c>
      <c r="I4" s="163">
        <v>6</v>
      </c>
      <c r="J4" s="163">
        <v>7</v>
      </c>
      <c r="K4" s="163">
        <v>8</v>
      </c>
      <c r="L4" s="163">
        <v>9</v>
      </c>
      <c r="M4" s="163">
        <v>17</v>
      </c>
      <c r="N4" s="163">
        <v>20</v>
      </c>
      <c r="O4" s="163">
        <v>24</v>
      </c>
      <c r="P4" s="163">
        <v>27</v>
      </c>
      <c r="R4" s="163">
        <v>28</v>
      </c>
    </row>
    <row r="5" spans="3:18" ht="30.6">
      <c r="C5" s="140" t="s">
        <v>169</v>
      </c>
      <c r="D5" s="141" t="s">
        <v>184</v>
      </c>
      <c r="E5" s="141" t="s">
        <v>170</v>
      </c>
      <c r="F5" s="141" t="s">
        <v>174</v>
      </c>
      <c r="G5" s="141" t="s">
        <v>178</v>
      </c>
      <c r="H5" s="141" t="s">
        <v>175</v>
      </c>
      <c r="I5" s="141" t="s">
        <v>176</v>
      </c>
      <c r="J5" s="141" t="s">
        <v>177</v>
      </c>
      <c r="K5" s="141" t="s">
        <v>179</v>
      </c>
      <c r="L5" s="141" t="s">
        <v>180</v>
      </c>
      <c r="M5" s="141" t="s">
        <v>171</v>
      </c>
      <c r="N5" s="142" t="s">
        <v>181</v>
      </c>
      <c r="O5" s="143" t="s">
        <v>182</v>
      </c>
      <c r="P5" s="144" t="s">
        <v>183</v>
      </c>
      <c r="Q5" s="145" t="s">
        <v>172</v>
      </c>
      <c r="R5" s="145" t="s">
        <v>173</v>
      </c>
    </row>
    <row r="6" spans="3:18">
      <c r="C6" s="146" t="s">
        <v>1155</v>
      </c>
      <c r="D6" s="147" t="str">
        <f>IF($C6="","",VLOOKUP($C6,'Tracking List'!$A$5:$AL$883,D$4,FALSE))</f>
        <v>PT</v>
      </c>
      <c r="E6" s="147" t="str">
        <f>IF($C6="","",VLOOKUP($C6,'Tracking List'!$A$5:$AL$883,E$4,FALSE))</f>
        <v>PT47</v>
      </c>
      <c r="F6" s="147" t="str">
        <f>IF($C6="","",VLOOKUP($C6,'Tracking List'!$A$5:$AL$883,F$4,FALSE))</f>
        <v>中间传动轴2.0L</v>
      </c>
      <c r="G6" s="147" t="str">
        <f>IF($C6="","",VLOOKUP($C6,'Tracking List'!$A$5:$AL$883,G$4,FALSE))</f>
        <v>中间传动轴2.0L</v>
      </c>
      <c r="H6" s="147" t="str">
        <f>IF($C6="","",VLOOKUP($C6,'Tracking List'!$A$5:$AL$883,H$4,FALSE))</f>
        <v>K2GP</v>
      </c>
      <c r="I6" s="147" t="str">
        <f>IF($C6="","",VLOOKUP($C6,'Tracking List'!$A$5:$AL$883,I$4,FALSE))</f>
        <v>4K145</v>
      </c>
      <c r="J6" s="147" t="str">
        <f>IF($C6="","",VLOOKUP($C6,'Tracking List'!$A$5:$AL$883,J$4,FALSE))</f>
        <v>AA</v>
      </c>
      <c r="K6" s="147" t="str">
        <f>IF($C6="","",VLOOKUP($C6,'Tracking List'!$A$5:$AL$883,K$4,FALSE))</f>
        <v>Y</v>
      </c>
      <c r="L6" s="168">
        <f>IF($C6="","",VLOOKUP($C6,'Tracking List'!$A$5:$AL$883,L$4,FALSE))</f>
        <v>7</v>
      </c>
      <c r="M6" s="147" t="str">
        <f>IF($C6="","",VLOOKUP($C6,'Tracking List'!$A$5:$AL$883,M$4,FALSE))</f>
        <v>肖平/pxiao4</v>
      </c>
      <c r="N6" s="148">
        <f>IF($C6="","",IF(VLOOKUP($C6,'Tracking List'!$A$5:$AL$883,N$3,FALSE)&gt;0,"Y",VLOOKUP($C6,'Tracking List'!$A$5:$AL$883,N$4,FALSE)))</f>
        <v>43172</v>
      </c>
      <c r="O6" s="148">
        <f>IF($C6="","",IF(VLOOKUP($C6,'Tracking List'!$A$5:$AL$883,O$3,FALSE)&gt;0,"Y",VLOOKUP($C6,'Tracking List'!$A$5:$AL$883,O$4,FALSE)))</f>
        <v>43220</v>
      </c>
      <c r="P6" s="147" t="str">
        <f>IF($C6="","",IF(VLOOKUP($C6,'Tracking List'!$A$5:$AL$883,P$4,FALSE)&gt;0,"Y",""))</f>
        <v/>
      </c>
      <c r="Q6" s="149"/>
      <c r="R6" s="150">
        <f>IF($C6="","",VLOOKUP($C6,'Tracking List'!$A$5:$AL$883,R$4,FALSE))</f>
        <v>0</v>
      </c>
    </row>
    <row r="7" spans="3:18">
      <c r="C7" s="146" t="s">
        <v>1156</v>
      </c>
      <c r="D7" s="147" t="str">
        <f>IF($C7="","",VLOOKUP($C7,'Tracking List'!$A$5:$AL$883,D$4,FALSE))</f>
        <v>PT</v>
      </c>
      <c r="E7" s="147" t="str">
        <f>IF($C7="","",VLOOKUP($C7,'Tracking List'!$A$5:$AL$883,E$4,FALSE))</f>
        <v>PT47</v>
      </c>
      <c r="F7" s="147" t="str">
        <f>IF($C7="","",VLOOKUP($C7,'Tracking List'!$A$5:$AL$883,F$4,FALSE))</f>
        <v>中间传动轴2.7L</v>
      </c>
      <c r="G7" s="147" t="str">
        <f>IF($C7="","",VLOOKUP($C7,'Tracking List'!$A$5:$AL$883,G$4,FALSE))</f>
        <v>中间传动轴2.7L</v>
      </c>
      <c r="H7" s="147" t="str">
        <f>IF($C7="","",VLOOKUP($C7,'Tracking List'!$A$5:$AL$883,H$4,FALSE))</f>
        <v>K2GP</v>
      </c>
      <c r="I7" s="147" t="str">
        <f>IF($C7="","",VLOOKUP($C7,'Tracking List'!$A$5:$AL$883,I$4,FALSE))</f>
        <v>4K357</v>
      </c>
      <c r="J7" s="147" t="str">
        <f>IF($C7="","",VLOOKUP($C7,'Tracking List'!$A$5:$AL$883,J$4,FALSE))</f>
        <v>GA</v>
      </c>
      <c r="K7" s="147" t="str">
        <f>IF($C7="","",VLOOKUP($C7,'Tracking List'!$A$5:$AL$883,K$4,FALSE))</f>
        <v>Y</v>
      </c>
      <c r="L7" s="168">
        <f>IF($C7="","",VLOOKUP($C7,'Tracking List'!$A$5:$AL$883,L$4,FALSE))</f>
        <v>7</v>
      </c>
      <c r="M7" s="147" t="str">
        <f>IF($C7="","",VLOOKUP($C7,'Tracking List'!$A$5:$AL$883,M$4,FALSE))</f>
        <v>肖平/pxiao4</v>
      </c>
      <c r="N7" s="148">
        <f>IF($C7="","",IF(VLOOKUP($C7,'Tracking List'!$A$5:$AL$883,N$3,FALSE)&gt;0,"Y",VLOOKUP($C7,'Tracking List'!$A$5:$AL$883,N$4,FALSE)))</f>
        <v>43172</v>
      </c>
      <c r="O7" s="148">
        <f>IF($C7="","",IF(VLOOKUP($C7,'Tracking List'!$A$5:$AL$883,O$3,FALSE)&gt;0,"Y",VLOOKUP($C7,'Tracking List'!$A$5:$AL$883,O$4,FALSE)))</f>
        <v>43220</v>
      </c>
      <c r="P7" s="147" t="str">
        <f>IF($C7="","",IF(VLOOKUP($C7,'Tracking List'!$A$5:$AL$883,P$4,FALSE)&gt;0,"Y",""))</f>
        <v/>
      </c>
      <c r="Q7" s="149"/>
      <c r="R7" s="150">
        <f>IF($C7="","",VLOOKUP($C7,'Tracking List'!$A$5:$AL$883,R$4,FALSE))</f>
        <v>0</v>
      </c>
    </row>
    <row r="8" spans="3:18">
      <c r="C8" s="146" t="s">
        <v>1159</v>
      </c>
      <c r="D8" s="147" t="str">
        <f>IF($C8="","",VLOOKUP($C8,'Tracking List'!$A$5:$AL$883,D$4,FALSE))</f>
        <v>PT</v>
      </c>
      <c r="E8" s="147" t="str">
        <f>IF($C8="","",VLOOKUP($C8,'Tracking List'!$A$5:$AL$883,E$4,FALSE))</f>
        <v>PT16</v>
      </c>
      <c r="F8" s="147" t="str">
        <f>IF($C8="","",VLOOKUP($C8,'Tracking List'!$A$5:$AL$883,F$4,FALSE))</f>
        <v>冷却水管</v>
      </c>
      <c r="G8" s="147" t="str">
        <f>IF($C8="","",VLOOKUP($C8,'Tracking List'!$A$5:$AL$883,G$4,FALSE))</f>
        <v>冷却水管</v>
      </c>
      <c r="H8" s="147" t="str">
        <f>IF($C8="","",VLOOKUP($C8,'Tracking List'!$A$5:$AL$883,H$4,FALSE))</f>
        <v>K2G3</v>
      </c>
      <c r="I8" s="147" t="str">
        <f>IF($C8="","",VLOOKUP($C8,'Tracking List'!$A$5:$AL$883,I$4,FALSE))</f>
        <v>18C266</v>
      </c>
      <c r="J8" s="147" t="str">
        <f>IF($C8="","",VLOOKUP($C8,'Tracking List'!$A$5:$AL$883,J$4,FALSE))</f>
        <v>BBD</v>
      </c>
      <c r="K8" s="147" t="str">
        <f>IF($C8="","",VLOOKUP($C8,'Tracking List'!$A$5:$AL$883,K$4,FALSE))</f>
        <v>Y</v>
      </c>
      <c r="L8" s="168">
        <f>IF($C8="","",VLOOKUP($C8,'Tracking List'!$A$5:$AL$883,L$4,FALSE))</f>
        <v>16</v>
      </c>
      <c r="M8" s="147" t="str">
        <f>IF($C8="","",VLOOKUP($C8,'Tracking List'!$A$5:$AL$883,M$4,FALSE))</f>
        <v>刘委/wliu42</v>
      </c>
      <c r="N8" s="148">
        <f>IF($C8="","",IF(VLOOKUP($C8,'Tracking List'!$A$5:$AL$883,N$3,FALSE)&gt;0,"Y",VLOOKUP($C8,'Tracking List'!$A$5:$AL$883,N$4,FALSE)))</f>
        <v>43171</v>
      </c>
      <c r="O8" s="148">
        <f>IF($C8="","",IF(VLOOKUP($C8,'Tracking List'!$A$5:$AL$883,O$3,FALSE)&gt;0,"Y",VLOOKUP($C8,'Tracking List'!$A$5:$AL$883,O$4,FALSE)))</f>
        <v>43277</v>
      </c>
      <c r="P8" s="147" t="str">
        <f>IF($C8="","",IF(VLOOKUP($C8,'Tracking List'!$A$5:$AL$883,P$4,FALSE)&gt;0,"Y",""))</f>
        <v>Y</v>
      </c>
      <c r="Q8" s="149"/>
      <c r="R8" s="150">
        <f>IF($C8="","",VLOOKUP($C8,'Tracking List'!$A$5:$AL$883,R$4,FALSE))</f>
        <v>0</v>
      </c>
    </row>
    <row r="9" spans="3:18">
      <c r="C9" s="146" t="s">
        <v>1160</v>
      </c>
      <c r="D9" s="147" t="str">
        <f>IF($C9="","",VLOOKUP($C9,'Tracking List'!$A$5:$AL$883,D$4,FALSE))</f>
        <v>PT</v>
      </c>
      <c r="E9" s="147" t="str">
        <f>IF($C9="","",VLOOKUP($C9,'Tracking List'!$A$5:$AL$883,E$4,FALSE))</f>
        <v>PT16</v>
      </c>
      <c r="F9" s="147" t="str">
        <f>IF($C9="","",VLOOKUP($C9,'Tracking List'!$A$5:$AL$883,F$4,FALSE))</f>
        <v>冷却水管</v>
      </c>
      <c r="G9" s="147" t="str">
        <f>IF($C9="","",VLOOKUP($C9,'Tracking List'!$A$5:$AL$883,G$4,FALSE))</f>
        <v>冷却水管</v>
      </c>
      <c r="H9" s="147" t="str">
        <f>IF($C9="","",VLOOKUP($C9,'Tracking List'!$A$5:$AL$883,H$4,FALSE))</f>
        <v>K2G3</v>
      </c>
      <c r="I9" s="147" t="str">
        <f>IF($C9="","",VLOOKUP($C9,'Tracking List'!$A$5:$AL$883,I$4,FALSE))</f>
        <v>18C266</v>
      </c>
      <c r="J9" s="147" t="str">
        <f>IF($C9="","",VLOOKUP($C9,'Tracking List'!$A$5:$AL$883,J$4,FALSE))</f>
        <v>BAD</v>
      </c>
      <c r="K9" s="147" t="str">
        <f>IF($C9="","",VLOOKUP($C9,'Tracking List'!$A$5:$AL$883,K$4,FALSE))</f>
        <v>Y</v>
      </c>
      <c r="L9" s="168">
        <f>IF($C9="","",VLOOKUP($C9,'Tracking List'!$A$5:$AL$883,L$4,FALSE))</f>
        <v>16</v>
      </c>
      <c r="M9" s="147" t="str">
        <f>IF($C9="","",VLOOKUP($C9,'Tracking List'!$A$5:$AL$883,M$4,FALSE))</f>
        <v>刘委/wliu42</v>
      </c>
      <c r="N9" s="148">
        <f>IF($C9="","",IF(VLOOKUP($C9,'Tracking List'!$A$5:$AL$883,N$3,FALSE)&gt;0,"Y",VLOOKUP($C9,'Tracking List'!$A$5:$AL$883,N$4,FALSE)))</f>
        <v>43171</v>
      </c>
      <c r="O9" s="148">
        <f>IF($C9="","",IF(VLOOKUP($C9,'Tracking List'!$A$5:$AL$883,O$3,FALSE)&gt;0,"Y",VLOOKUP($C9,'Tracking List'!$A$5:$AL$883,O$4,FALSE)))</f>
        <v>43277</v>
      </c>
      <c r="P9" s="147" t="str">
        <f>IF($C9="","",IF(VLOOKUP($C9,'Tracking List'!$A$5:$AL$883,P$4,FALSE)&gt;0,"Y",""))</f>
        <v>Y</v>
      </c>
      <c r="Q9" s="149"/>
      <c r="R9" s="150">
        <f>IF($C9="","",VLOOKUP($C9,'Tracking List'!$A$5:$AL$883,R$4,FALSE))</f>
        <v>0</v>
      </c>
    </row>
    <row r="10" spans="3:18">
      <c r="C10" s="146" t="s">
        <v>1161</v>
      </c>
      <c r="D10" s="147" t="str">
        <f>IF($C10="","",VLOOKUP($C10,'Tracking List'!$A$5:$AL$883,D$4,FALSE))</f>
        <v>PT</v>
      </c>
      <c r="E10" s="147" t="str">
        <f>IF($C10="","",VLOOKUP($C10,'Tracking List'!$A$5:$AL$883,E$4,FALSE))</f>
        <v>PT16</v>
      </c>
      <c r="F10" s="147" t="str">
        <f>IF($C10="","",VLOOKUP($C10,'Tracking List'!$A$5:$AL$883,F$4,FALSE))</f>
        <v>冷却水管</v>
      </c>
      <c r="G10" s="147" t="str">
        <f>IF($C10="","",VLOOKUP($C10,'Tracking List'!$A$5:$AL$883,G$4,FALSE))</f>
        <v>冷却水管</v>
      </c>
      <c r="H10" s="147" t="str">
        <f>IF($C10="","",VLOOKUP($C10,'Tracking List'!$A$5:$AL$883,H$4,FALSE))</f>
        <v>K2G3</v>
      </c>
      <c r="I10" s="147" t="str">
        <f>IF($C10="","",VLOOKUP($C10,'Tracking List'!$A$5:$AL$883,I$4,FALSE))</f>
        <v>7G071</v>
      </c>
      <c r="J10" s="147" t="str">
        <f>IF($C10="","",VLOOKUP($C10,'Tracking List'!$A$5:$AL$883,J$4,FALSE))</f>
        <v>BAC</v>
      </c>
      <c r="K10" s="147" t="str">
        <f>IF($C10="","",VLOOKUP($C10,'Tracking List'!$A$5:$AL$883,K$4,FALSE))</f>
        <v>Y</v>
      </c>
      <c r="L10" s="168">
        <f>IF($C10="","",VLOOKUP($C10,'Tracking List'!$A$5:$AL$883,L$4,FALSE))</f>
        <v>16</v>
      </c>
      <c r="M10" s="147" t="str">
        <f>IF($C10="","",VLOOKUP($C10,'Tracking List'!$A$5:$AL$883,M$4,FALSE))</f>
        <v>刘委/wliu42</v>
      </c>
      <c r="N10" s="148">
        <f>IF($C10="","",IF(VLOOKUP($C10,'Tracking List'!$A$5:$AL$883,N$3,FALSE)&gt;0,"Y",VLOOKUP($C10,'Tracking List'!$A$5:$AL$883,N$4,FALSE)))</f>
        <v>43171</v>
      </c>
      <c r="O10" s="148">
        <f>IF($C10="","",IF(VLOOKUP($C10,'Tracking List'!$A$5:$AL$883,O$3,FALSE)&gt;0,"Y",VLOOKUP($C10,'Tracking List'!$A$5:$AL$883,O$4,FALSE)))</f>
        <v>43277</v>
      </c>
      <c r="P10" s="147" t="str">
        <f>IF($C10="","",IF(VLOOKUP($C10,'Tracking List'!$A$5:$AL$883,P$4,FALSE)&gt;0,"Y",""))</f>
        <v>Y</v>
      </c>
      <c r="Q10" s="149"/>
      <c r="R10" s="150">
        <f>IF($C10="","",VLOOKUP($C10,'Tracking List'!$A$5:$AL$883,R$4,FALSE))</f>
        <v>0</v>
      </c>
    </row>
    <row r="11" spans="3:18">
      <c r="C11" s="146" t="s">
        <v>1162</v>
      </c>
      <c r="D11" s="147" t="str">
        <f>IF($C11="","",VLOOKUP($C11,'Tracking List'!$A$5:$AL$883,D$4,FALSE))</f>
        <v>PT</v>
      </c>
      <c r="E11" s="147" t="str">
        <f>IF($C11="","",VLOOKUP($C11,'Tracking List'!$A$5:$AL$883,E$4,FALSE))</f>
        <v>PT16</v>
      </c>
      <c r="F11" s="147" t="str">
        <f>IF($C11="","",VLOOKUP($C11,'Tracking List'!$A$5:$AL$883,F$4,FALSE))</f>
        <v>冷却水管</v>
      </c>
      <c r="G11" s="147" t="str">
        <f>IF($C11="","",VLOOKUP($C11,'Tracking List'!$A$5:$AL$883,G$4,FALSE))</f>
        <v>冷却水管</v>
      </c>
      <c r="H11" s="147" t="str">
        <f>IF($C11="","",VLOOKUP($C11,'Tracking List'!$A$5:$AL$883,H$4,FALSE))</f>
        <v>K2G3</v>
      </c>
      <c r="I11" s="147" t="str">
        <f>IF($C11="","",VLOOKUP($C11,'Tracking List'!$A$5:$AL$883,I$4,FALSE))</f>
        <v>7F120</v>
      </c>
      <c r="J11" s="147" t="str">
        <f>IF($C11="","",VLOOKUP($C11,'Tracking List'!$A$5:$AL$883,J$4,FALSE))</f>
        <v>BC</v>
      </c>
      <c r="K11" s="147" t="str">
        <f>IF($C11="","",VLOOKUP($C11,'Tracking List'!$A$5:$AL$883,K$4,FALSE))</f>
        <v>Y</v>
      </c>
      <c r="L11" s="168">
        <f>IF($C11="","",VLOOKUP($C11,'Tracking List'!$A$5:$AL$883,L$4,FALSE))</f>
        <v>16</v>
      </c>
      <c r="M11" s="147" t="str">
        <f>IF($C11="","",VLOOKUP($C11,'Tracking List'!$A$5:$AL$883,M$4,FALSE))</f>
        <v>刘委/wliu42</v>
      </c>
      <c r="N11" s="148">
        <f>IF($C11="","",IF(VLOOKUP($C11,'Tracking List'!$A$5:$AL$883,N$3,FALSE)&gt;0,"Y",VLOOKUP($C11,'Tracking List'!$A$5:$AL$883,N$4,FALSE)))</f>
        <v>43171</v>
      </c>
      <c r="O11" s="148">
        <f>IF($C11="","",IF(VLOOKUP($C11,'Tracking List'!$A$5:$AL$883,O$3,FALSE)&gt;0,"Y",VLOOKUP($C11,'Tracking List'!$A$5:$AL$883,O$4,FALSE)))</f>
        <v>43277</v>
      </c>
      <c r="P11" s="147" t="str">
        <f>IF($C11="","",IF(VLOOKUP($C11,'Tracking List'!$A$5:$AL$883,P$4,FALSE)&gt;0,"Y",""))</f>
        <v>Y</v>
      </c>
      <c r="Q11" s="149"/>
      <c r="R11" s="150">
        <f>IF($C11="","",VLOOKUP($C11,'Tracking List'!$A$5:$AL$883,R$4,FALSE))</f>
        <v>0</v>
      </c>
    </row>
    <row r="12" spans="3:18">
      <c r="C12" s="146" t="s">
        <v>1163</v>
      </c>
      <c r="D12" s="147" t="str">
        <f>IF($C12="","",VLOOKUP($C12,'Tracking List'!$A$5:$AL$883,D$4,FALSE))</f>
        <v>PT</v>
      </c>
      <c r="E12" s="147" t="str">
        <f>IF($C12="","",VLOOKUP($C12,'Tracking List'!$A$5:$AL$883,E$4,FALSE))</f>
        <v>PT16</v>
      </c>
      <c r="F12" s="147" t="str">
        <f>IF($C12="","",VLOOKUP($C12,'Tracking List'!$A$5:$AL$883,F$4,FALSE))</f>
        <v>冷却水管</v>
      </c>
      <c r="G12" s="147" t="str">
        <f>IF($C12="","",VLOOKUP($C12,'Tracking List'!$A$5:$AL$883,G$4,FALSE))</f>
        <v>冷却水管</v>
      </c>
      <c r="H12" s="147" t="str">
        <f>IF($C12="","",VLOOKUP($C12,'Tracking List'!$A$5:$AL$883,H$4,FALSE))</f>
        <v>K2G3</v>
      </c>
      <c r="I12" s="147" t="str">
        <f>IF($C12="","",VLOOKUP($C12,'Tracking List'!$A$5:$AL$883,I$4,FALSE))</f>
        <v>8B273</v>
      </c>
      <c r="J12" s="147" t="str">
        <f>IF($C12="","",VLOOKUP($C12,'Tracking List'!$A$5:$AL$883,J$4,FALSE))</f>
        <v>BAB</v>
      </c>
      <c r="K12" s="147" t="str">
        <f>IF($C12="","",VLOOKUP($C12,'Tracking List'!$A$5:$AL$883,K$4,FALSE))</f>
        <v>Y</v>
      </c>
      <c r="L12" s="168">
        <f>IF($C12="","",VLOOKUP($C12,'Tracking List'!$A$5:$AL$883,L$4,FALSE))</f>
        <v>16</v>
      </c>
      <c r="M12" s="147" t="str">
        <f>IF($C12="","",VLOOKUP($C12,'Tracking List'!$A$5:$AL$883,M$4,FALSE))</f>
        <v>刘委/wliu42</v>
      </c>
      <c r="N12" s="148">
        <f>IF($C12="","",IF(VLOOKUP($C12,'Tracking List'!$A$5:$AL$883,N$3,FALSE)&gt;0,"Y",VLOOKUP($C12,'Tracking List'!$A$5:$AL$883,N$4,FALSE)))</f>
        <v>43171</v>
      </c>
      <c r="O12" s="148">
        <f>IF($C12="","",IF(VLOOKUP($C12,'Tracking List'!$A$5:$AL$883,O$3,FALSE)&gt;0,"Y",VLOOKUP($C12,'Tracking List'!$A$5:$AL$883,O$4,FALSE)))</f>
        <v>43277</v>
      </c>
      <c r="P12" s="147" t="str">
        <f>IF($C12="","",IF(VLOOKUP($C12,'Tracking List'!$A$5:$AL$883,P$4,FALSE)&gt;0,"Y",""))</f>
        <v>Y</v>
      </c>
      <c r="Q12" s="149"/>
      <c r="R12" s="150">
        <f>IF($C12="","",VLOOKUP($C12,'Tracking List'!$A$5:$AL$883,R$4,FALSE))</f>
        <v>0</v>
      </c>
    </row>
    <row r="13" spans="3:18">
      <c r="C13" s="146" t="s">
        <v>1164</v>
      </c>
      <c r="D13" s="147" t="str">
        <f>IF($C13="","",VLOOKUP($C13,'Tracking List'!$A$5:$AL$883,D$4,FALSE))</f>
        <v>PT</v>
      </c>
      <c r="E13" s="147" t="str">
        <f>IF($C13="","",VLOOKUP($C13,'Tracking List'!$A$5:$AL$883,E$4,FALSE))</f>
        <v>PT16</v>
      </c>
      <c r="F13" s="147" t="str">
        <f>IF($C13="","",VLOOKUP($C13,'Tracking List'!$A$5:$AL$883,F$4,FALSE))</f>
        <v>冷却水管</v>
      </c>
      <c r="G13" s="147" t="str">
        <f>IF($C13="","",VLOOKUP($C13,'Tracking List'!$A$5:$AL$883,G$4,FALSE))</f>
        <v>冷却水管</v>
      </c>
      <c r="H13" s="147" t="str">
        <f>IF($C13="","",VLOOKUP($C13,'Tracking List'!$A$5:$AL$883,H$4,FALSE))</f>
        <v>K2G3</v>
      </c>
      <c r="I13" s="147" t="str">
        <f>IF($C13="","",VLOOKUP($C13,'Tracking List'!$A$5:$AL$883,I$4,FALSE))</f>
        <v>8B274</v>
      </c>
      <c r="J13" s="147" t="str">
        <f>IF($C13="","",VLOOKUP($C13,'Tracking List'!$A$5:$AL$883,J$4,FALSE))</f>
        <v>BC</v>
      </c>
      <c r="K13" s="147" t="str">
        <f>IF($C13="","",VLOOKUP($C13,'Tracking List'!$A$5:$AL$883,K$4,FALSE))</f>
        <v>Y</v>
      </c>
      <c r="L13" s="168">
        <f>IF($C13="","",VLOOKUP($C13,'Tracking List'!$A$5:$AL$883,L$4,FALSE))</f>
        <v>16</v>
      </c>
      <c r="M13" s="147" t="str">
        <f>IF($C13="","",VLOOKUP($C13,'Tracking List'!$A$5:$AL$883,M$4,FALSE))</f>
        <v>刘委/wliu42</v>
      </c>
      <c r="N13" s="148">
        <f>IF($C13="","",IF(VLOOKUP($C13,'Tracking List'!$A$5:$AL$883,N$3,FALSE)&gt;0,"Y",VLOOKUP($C13,'Tracking List'!$A$5:$AL$883,N$4,FALSE)))</f>
        <v>43171</v>
      </c>
      <c r="O13" s="148">
        <f>IF($C13="","",IF(VLOOKUP($C13,'Tracking List'!$A$5:$AL$883,O$3,FALSE)&gt;0,"Y",VLOOKUP($C13,'Tracking List'!$A$5:$AL$883,O$4,FALSE)))</f>
        <v>43277</v>
      </c>
      <c r="P13" s="147" t="str">
        <f>IF($C13="","",IF(VLOOKUP($C13,'Tracking List'!$A$5:$AL$883,P$4,FALSE)&gt;0,"Y",""))</f>
        <v>Y</v>
      </c>
      <c r="Q13" s="149"/>
      <c r="R13" s="150">
        <f>IF($C13="","",VLOOKUP($C13,'Tracking List'!$A$5:$AL$883,R$4,FALSE))</f>
        <v>0</v>
      </c>
    </row>
    <row r="14" spans="3:18">
      <c r="C14" s="146" t="s">
        <v>1165</v>
      </c>
      <c r="D14" s="147" t="str">
        <f>IF($C14="","",VLOOKUP($C14,'Tracking List'!$A$5:$AL$883,D$4,FALSE))</f>
        <v>PT</v>
      </c>
      <c r="E14" s="147" t="str">
        <f>IF($C14="","",VLOOKUP($C14,'Tracking List'!$A$5:$AL$883,E$4,FALSE))</f>
        <v>PT16</v>
      </c>
      <c r="F14" s="147" t="str">
        <f>IF($C14="","",VLOOKUP($C14,'Tracking List'!$A$5:$AL$883,F$4,FALSE))</f>
        <v>冷却水管</v>
      </c>
      <c r="G14" s="147" t="str">
        <f>IF($C14="","",VLOOKUP($C14,'Tracking List'!$A$5:$AL$883,G$4,FALSE))</f>
        <v>冷却水管</v>
      </c>
      <c r="H14" s="147" t="str">
        <f>IF($C14="","",VLOOKUP($C14,'Tracking List'!$A$5:$AL$883,H$4,FALSE))</f>
        <v>K2G3</v>
      </c>
      <c r="I14" s="147" t="str">
        <f>IF($C14="","",VLOOKUP($C14,'Tracking List'!$A$5:$AL$883,I$4,FALSE))</f>
        <v>8W005</v>
      </c>
      <c r="J14" s="147" t="str">
        <f>IF($C14="","",VLOOKUP($C14,'Tracking List'!$A$5:$AL$883,J$4,FALSE))</f>
        <v>DB</v>
      </c>
      <c r="K14" s="147" t="str">
        <f>IF($C14="","",VLOOKUP($C14,'Tracking List'!$A$5:$AL$883,K$4,FALSE))</f>
        <v>Y</v>
      </c>
      <c r="L14" s="168">
        <f>IF($C14="","",VLOOKUP($C14,'Tracking List'!$A$5:$AL$883,L$4,FALSE))</f>
        <v>16</v>
      </c>
      <c r="M14" s="147" t="str">
        <f>IF($C14="","",VLOOKUP($C14,'Tracking List'!$A$5:$AL$883,M$4,FALSE))</f>
        <v>刘委/wliu42</v>
      </c>
      <c r="N14" s="148">
        <f>IF($C14="","",IF(VLOOKUP($C14,'Tracking List'!$A$5:$AL$883,N$3,FALSE)&gt;0,"Y",VLOOKUP($C14,'Tracking List'!$A$5:$AL$883,N$4,FALSE)))</f>
        <v>43171</v>
      </c>
      <c r="O14" s="148">
        <f>IF($C14="","",IF(VLOOKUP($C14,'Tracking List'!$A$5:$AL$883,O$3,FALSE)&gt;0,"Y",VLOOKUP($C14,'Tracking List'!$A$5:$AL$883,O$4,FALSE)))</f>
        <v>43277</v>
      </c>
      <c r="P14" s="147" t="str">
        <f>IF($C14="","",IF(VLOOKUP($C14,'Tracking List'!$A$5:$AL$883,P$4,FALSE)&gt;0,"Y",""))</f>
        <v>Y</v>
      </c>
      <c r="Q14" s="149"/>
      <c r="R14" s="150">
        <f>IF($C14="","",VLOOKUP($C14,'Tracking List'!$A$5:$AL$883,R$4,FALSE))</f>
        <v>0</v>
      </c>
    </row>
    <row r="15" spans="3:18">
      <c r="C15" s="146" t="s">
        <v>1166</v>
      </c>
      <c r="D15" s="147" t="str">
        <f>IF($C15="","",VLOOKUP($C15,'Tracking List'!$A$5:$AL$883,D$4,FALSE))</f>
        <v>PT</v>
      </c>
      <c r="E15" s="147" t="str">
        <f>IF($C15="","",VLOOKUP($C15,'Tracking List'!$A$5:$AL$883,E$4,FALSE))</f>
        <v>PT16</v>
      </c>
      <c r="F15" s="147" t="str">
        <f>IF($C15="","",VLOOKUP($C15,'Tracking List'!$A$5:$AL$883,F$4,FALSE))</f>
        <v>冷却水管</v>
      </c>
      <c r="G15" s="147" t="str">
        <f>IF($C15="","",VLOOKUP($C15,'Tracking List'!$A$5:$AL$883,G$4,FALSE))</f>
        <v>冷却水管</v>
      </c>
      <c r="H15" s="147" t="str">
        <f>IF($C15="","",VLOOKUP($C15,'Tracking List'!$A$5:$AL$883,H$4,FALSE))</f>
        <v>K2G3</v>
      </c>
      <c r="I15" s="147" t="str">
        <f>IF($C15="","",VLOOKUP($C15,'Tracking List'!$A$5:$AL$883,I$4,FALSE))</f>
        <v>8C351</v>
      </c>
      <c r="J15" s="147" t="str">
        <f>IF($C15="","",VLOOKUP($C15,'Tracking List'!$A$5:$AL$883,J$4,FALSE))</f>
        <v>BB</v>
      </c>
      <c r="K15" s="147" t="str">
        <f>IF($C15="","",VLOOKUP($C15,'Tracking List'!$A$5:$AL$883,K$4,FALSE))</f>
        <v>Y</v>
      </c>
      <c r="L15" s="168">
        <f>IF($C15="","",VLOOKUP($C15,'Tracking List'!$A$5:$AL$883,L$4,FALSE))</f>
        <v>16</v>
      </c>
      <c r="M15" s="147" t="str">
        <f>IF($C15="","",VLOOKUP($C15,'Tracking List'!$A$5:$AL$883,M$4,FALSE))</f>
        <v>刘委/wliu42</v>
      </c>
      <c r="N15" s="148">
        <f>IF($C15="","",IF(VLOOKUP($C15,'Tracking List'!$A$5:$AL$883,N$3,FALSE)&gt;0,"Y",VLOOKUP($C15,'Tracking List'!$A$5:$AL$883,N$4,FALSE)))</f>
        <v>43171</v>
      </c>
      <c r="O15" s="148">
        <f>IF($C15="","",IF(VLOOKUP($C15,'Tracking List'!$A$5:$AL$883,O$3,FALSE)&gt;0,"Y",VLOOKUP($C15,'Tracking List'!$A$5:$AL$883,O$4,FALSE)))</f>
        <v>43277</v>
      </c>
      <c r="P15" s="147" t="str">
        <f>IF($C15="","",IF(VLOOKUP($C15,'Tracking List'!$A$5:$AL$883,P$4,FALSE)&gt;0,"Y",""))</f>
        <v>Y</v>
      </c>
      <c r="Q15" s="149"/>
      <c r="R15" s="150">
        <f>IF($C15="","",VLOOKUP($C15,'Tracking List'!$A$5:$AL$883,R$4,FALSE))</f>
        <v>0</v>
      </c>
    </row>
    <row r="16" spans="3:18">
      <c r="C16" s="146" t="s">
        <v>1167</v>
      </c>
      <c r="D16" s="147" t="str">
        <f>IF($C16="","",VLOOKUP($C16,'Tracking List'!$A$5:$AL$883,D$4,FALSE))</f>
        <v>PT</v>
      </c>
      <c r="E16" s="147" t="str">
        <f>IF($C16="","",VLOOKUP($C16,'Tracking List'!$A$5:$AL$883,E$4,FALSE))</f>
        <v>PT16</v>
      </c>
      <c r="F16" s="147" t="str">
        <f>IF($C16="","",VLOOKUP($C16,'Tracking List'!$A$5:$AL$883,F$4,FALSE))</f>
        <v>冷却水管</v>
      </c>
      <c r="G16" s="147" t="str">
        <f>IF($C16="","",VLOOKUP($C16,'Tracking List'!$A$5:$AL$883,G$4,FALSE))</f>
        <v>冷却水管</v>
      </c>
      <c r="H16" s="147" t="str">
        <f>IF($C16="","",VLOOKUP($C16,'Tracking List'!$A$5:$AL$883,H$4,FALSE))</f>
        <v>K2G3</v>
      </c>
      <c r="I16" s="147" t="str">
        <f>IF($C16="","",VLOOKUP($C16,'Tracking List'!$A$5:$AL$883,I$4,FALSE))</f>
        <v>18D481</v>
      </c>
      <c r="J16" s="147" t="str">
        <f>IF($C16="","",VLOOKUP($C16,'Tracking List'!$A$5:$AL$883,J$4,FALSE))</f>
        <v>BB</v>
      </c>
      <c r="K16" s="147" t="str">
        <f>IF($C16="","",VLOOKUP($C16,'Tracking List'!$A$5:$AL$883,K$4,FALSE))</f>
        <v>Y</v>
      </c>
      <c r="L16" s="168">
        <f>IF($C16="","",VLOOKUP($C16,'Tracking List'!$A$5:$AL$883,L$4,FALSE))</f>
        <v>16</v>
      </c>
      <c r="M16" s="147" t="str">
        <f>IF($C16="","",VLOOKUP($C16,'Tracking List'!$A$5:$AL$883,M$4,FALSE))</f>
        <v>刘委/wliu42</v>
      </c>
      <c r="N16" s="148">
        <f>IF($C16="","",IF(VLOOKUP($C16,'Tracking List'!$A$5:$AL$883,N$3,FALSE)&gt;0,"Y",VLOOKUP($C16,'Tracking List'!$A$5:$AL$883,N$4,FALSE)))</f>
        <v>43171</v>
      </c>
      <c r="O16" s="148">
        <f>IF($C16="","",IF(VLOOKUP($C16,'Tracking List'!$A$5:$AL$883,O$3,FALSE)&gt;0,"Y",VLOOKUP($C16,'Tracking List'!$A$5:$AL$883,O$4,FALSE)))</f>
        <v>43277</v>
      </c>
      <c r="P16" s="147" t="str">
        <f>IF($C16="","",IF(VLOOKUP($C16,'Tracking List'!$A$5:$AL$883,P$4,FALSE)&gt;0,"Y",""))</f>
        <v>Y</v>
      </c>
      <c r="Q16" s="149"/>
      <c r="R16" s="150">
        <f>IF($C16="","",VLOOKUP($C16,'Tracking List'!$A$5:$AL$883,R$4,FALSE))</f>
        <v>0</v>
      </c>
    </row>
    <row r="17" spans="3:18">
      <c r="C17" s="146" t="s">
        <v>1168</v>
      </c>
      <c r="D17" s="147" t="str">
        <f>IF($C17="","",VLOOKUP($C17,'Tracking List'!$A$5:$AL$883,D$4,FALSE))</f>
        <v>PT</v>
      </c>
      <c r="E17" s="147" t="str">
        <f>IF($C17="","",VLOOKUP($C17,'Tracking List'!$A$5:$AL$883,E$4,FALSE))</f>
        <v>PT16</v>
      </c>
      <c r="F17" s="147" t="str">
        <f>IF($C17="","",VLOOKUP($C17,'Tracking List'!$A$5:$AL$883,F$4,FALSE))</f>
        <v>冷却水管</v>
      </c>
      <c r="G17" s="147" t="str">
        <f>IF($C17="","",VLOOKUP($C17,'Tracking List'!$A$5:$AL$883,G$4,FALSE))</f>
        <v>冷却水管</v>
      </c>
      <c r="H17" s="147" t="str">
        <f>IF($C17="","",VLOOKUP($C17,'Tracking List'!$A$5:$AL$883,H$4,FALSE))</f>
        <v>K2G3</v>
      </c>
      <c r="I17" s="147" t="str">
        <f>IF($C17="","",VLOOKUP($C17,'Tracking List'!$A$5:$AL$883,I$4,FALSE))</f>
        <v>8B550</v>
      </c>
      <c r="J17" s="147" t="str">
        <f>IF($C17="","",VLOOKUP($C17,'Tracking List'!$A$5:$AL$883,J$4,FALSE))</f>
        <v>BC</v>
      </c>
      <c r="K17" s="147" t="str">
        <f>IF($C17="","",VLOOKUP($C17,'Tracking List'!$A$5:$AL$883,K$4,FALSE))</f>
        <v>Y</v>
      </c>
      <c r="L17" s="168">
        <f>IF($C17="","",VLOOKUP($C17,'Tracking List'!$A$5:$AL$883,L$4,FALSE))</f>
        <v>16</v>
      </c>
      <c r="M17" s="147" t="str">
        <f>IF($C17="","",VLOOKUP($C17,'Tracking List'!$A$5:$AL$883,M$4,FALSE))</f>
        <v>刘委/wliu42</v>
      </c>
      <c r="N17" s="148">
        <f>IF($C17="","",IF(VLOOKUP($C17,'Tracking List'!$A$5:$AL$883,N$3,FALSE)&gt;0,"Y",VLOOKUP($C17,'Tracking List'!$A$5:$AL$883,N$4,FALSE)))</f>
        <v>43171</v>
      </c>
      <c r="O17" s="148">
        <f>IF($C17="","",IF(VLOOKUP($C17,'Tracking List'!$A$5:$AL$883,O$3,FALSE)&gt;0,"Y",VLOOKUP($C17,'Tracking List'!$A$5:$AL$883,O$4,FALSE)))</f>
        <v>43277</v>
      </c>
      <c r="P17" s="147" t="str">
        <f>IF($C17="","",IF(VLOOKUP($C17,'Tracking List'!$A$5:$AL$883,P$4,FALSE)&gt;0,"Y",""))</f>
        <v>Y</v>
      </c>
      <c r="Q17" s="149"/>
      <c r="R17" s="150">
        <f>IF($C17="","",VLOOKUP($C17,'Tracking List'!$A$5:$AL$883,R$4,FALSE))</f>
        <v>0</v>
      </c>
    </row>
    <row r="18" spans="3:18">
      <c r="C18" s="146" t="s">
        <v>1169</v>
      </c>
      <c r="D18" s="147" t="str">
        <f>IF($C18="","",VLOOKUP($C18,'Tracking List'!$A$5:$AL$883,D$4,FALSE))</f>
        <v>PT</v>
      </c>
      <c r="E18" s="147" t="str">
        <f>IF($C18="","",VLOOKUP($C18,'Tracking List'!$A$5:$AL$883,E$4,FALSE))</f>
        <v>PT16</v>
      </c>
      <c r="F18" s="147" t="str">
        <f>IF($C18="","",VLOOKUP($C18,'Tracking List'!$A$5:$AL$883,F$4,FALSE))</f>
        <v>冷却水管</v>
      </c>
      <c r="G18" s="147" t="str">
        <f>IF($C18="","",VLOOKUP($C18,'Tracking List'!$A$5:$AL$883,G$4,FALSE))</f>
        <v>冷却水管</v>
      </c>
      <c r="H18" s="147" t="str">
        <f>IF($C18="","",VLOOKUP($C18,'Tracking List'!$A$5:$AL$883,H$4,FALSE))</f>
        <v>K2G3</v>
      </c>
      <c r="I18" s="147" t="str">
        <f>IF($C18="","",VLOOKUP($C18,'Tracking List'!$A$5:$AL$883,I$4,FALSE))</f>
        <v>18C266</v>
      </c>
      <c r="J18" s="147" t="str">
        <f>IF($C18="","",VLOOKUP($C18,'Tracking List'!$A$5:$AL$883,J$4,FALSE))</f>
        <v>DBB</v>
      </c>
      <c r="K18" s="147" t="str">
        <f>IF($C18="","",VLOOKUP($C18,'Tracking List'!$A$5:$AL$883,K$4,FALSE))</f>
        <v>Y</v>
      </c>
      <c r="L18" s="168">
        <f>IF($C18="","",VLOOKUP($C18,'Tracking List'!$A$5:$AL$883,L$4,FALSE))</f>
        <v>16</v>
      </c>
      <c r="M18" s="147" t="str">
        <f>IF($C18="","",VLOOKUP($C18,'Tracking List'!$A$5:$AL$883,M$4,FALSE))</f>
        <v>刘委/wliu42</v>
      </c>
      <c r="N18" s="148">
        <f>IF($C18="","",IF(VLOOKUP($C18,'Tracking List'!$A$5:$AL$883,N$3,FALSE)&gt;0,"Y",VLOOKUP($C18,'Tracking List'!$A$5:$AL$883,N$4,FALSE)))</f>
        <v>43171</v>
      </c>
      <c r="O18" s="148">
        <f>IF($C18="","",IF(VLOOKUP($C18,'Tracking List'!$A$5:$AL$883,O$3,FALSE)&gt;0,"Y",VLOOKUP($C18,'Tracking List'!$A$5:$AL$883,O$4,FALSE)))</f>
        <v>43277</v>
      </c>
      <c r="P18" s="147" t="str">
        <f>IF($C18="","",IF(VLOOKUP($C18,'Tracking List'!$A$5:$AL$883,P$4,FALSE)&gt;0,"Y",""))</f>
        <v>Y</v>
      </c>
      <c r="Q18" s="149"/>
      <c r="R18" s="150">
        <f>IF($C18="","",VLOOKUP($C18,'Tracking List'!$A$5:$AL$883,R$4,FALSE))</f>
        <v>0</v>
      </c>
    </row>
    <row r="19" spans="3:18">
      <c r="C19" s="146" t="s">
        <v>1170</v>
      </c>
      <c r="D19" s="147" t="str">
        <f>IF($C19="","",VLOOKUP($C19,'Tracking List'!$A$5:$AL$883,D$4,FALSE))</f>
        <v>PT</v>
      </c>
      <c r="E19" s="147" t="str">
        <f>IF($C19="","",VLOOKUP($C19,'Tracking List'!$A$5:$AL$883,E$4,FALSE))</f>
        <v>PT16</v>
      </c>
      <c r="F19" s="147" t="str">
        <f>IF($C19="","",VLOOKUP($C19,'Tracking List'!$A$5:$AL$883,F$4,FALSE))</f>
        <v>冷却水管</v>
      </c>
      <c r="G19" s="147" t="str">
        <f>IF($C19="","",VLOOKUP($C19,'Tracking List'!$A$5:$AL$883,G$4,FALSE))</f>
        <v>冷却水管</v>
      </c>
      <c r="H19" s="147" t="str">
        <f>IF($C19="","",VLOOKUP($C19,'Tracking List'!$A$5:$AL$883,H$4,FALSE))</f>
        <v>K2G3</v>
      </c>
      <c r="I19" s="147" t="str">
        <f>IF($C19="","",VLOOKUP($C19,'Tracking List'!$A$5:$AL$883,I$4,FALSE))</f>
        <v>8B550</v>
      </c>
      <c r="J19" s="147" t="str">
        <f>IF($C19="","",VLOOKUP($C19,'Tracking List'!$A$5:$AL$883,J$4,FALSE))</f>
        <v>DA</v>
      </c>
      <c r="K19" s="147" t="str">
        <f>IF($C19="","",VLOOKUP($C19,'Tracking List'!$A$5:$AL$883,K$4,FALSE))</f>
        <v>Y</v>
      </c>
      <c r="L19" s="168">
        <f>IF($C19="","",VLOOKUP($C19,'Tracking List'!$A$5:$AL$883,L$4,FALSE))</f>
        <v>16</v>
      </c>
      <c r="M19" s="147" t="str">
        <f>IF($C19="","",VLOOKUP($C19,'Tracking List'!$A$5:$AL$883,M$4,FALSE))</f>
        <v>刘委/wliu42</v>
      </c>
      <c r="N19" s="148">
        <f>IF($C19="","",IF(VLOOKUP($C19,'Tracking List'!$A$5:$AL$883,N$3,FALSE)&gt;0,"Y",VLOOKUP($C19,'Tracking List'!$A$5:$AL$883,N$4,FALSE)))</f>
        <v>43171</v>
      </c>
      <c r="O19" s="148">
        <f>IF($C19="","",IF(VLOOKUP($C19,'Tracking List'!$A$5:$AL$883,O$3,FALSE)&gt;0,"Y",VLOOKUP($C19,'Tracking List'!$A$5:$AL$883,O$4,FALSE)))</f>
        <v>43277</v>
      </c>
      <c r="P19" s="147" t="str">
        <f>IF($C19="","",IF(VLOOKUP($C19,'Tracking List'!$A$5:$AL$883,P$4,FALSE)&gt;0,"Y",""))</f>
        <v>Y</v>
      </c>
      <c r="Q19" s="149"/>
      <c r="R19" s="150">
        <f>IF($C19="","",VLOOKUP($C19,'Tracking List'!$A$5:$AL$883,R$4,FALSE))</f>
        <v>0</v>
      </c>
    </row>
    <row r="20" spans="3:18">
      <c r="C20" s="146" t="s">
        <v>1171</v>
      </c>
      <c r="D20" s="147" t="str">
        <f>IF($C20="","",VLOOKUP($C20,'Tracking List'!$A$5:$AL$883,D$4,FALSE))</f>
        <v>PT</v>
      </c>
      <c r="E20" s="147" t="str">
        <f>IF($C20="","",VLOOKUP($C20,'Tracking List'!$A$5:$AL$883,E$4,FALSE))</f>
        <v>PT16</v>
      </c>
      <c r="F20" s="147" t="str">
        <f>IF($C20="","",VLOOKUP($C20,'Tracking List'!$A$5:$AL$883,F$4,FALSE))</f>
        <v>冷却水管</v>
      </c>
      <c r="G20" s="147" t="str">
        <f>IF($C20="","",VLOOKUP($C20,'Tracking List'!$A$5:$AL$883,G$4,FALSE))</f>
        <v>冷却水管</v>
      </c>
      <c r="H20" s="147" t="str">
        <f>IF($C20="","",VLOOKUP($C20,'Tracking List'!$A$5:$AL$883,H$4,FALSE))</f>
        <v>K2G3</v>
      </c>
      <c r="I20" s="147" t="str">
        <f>IF($C20="","",VLOOKUP($C20,'Tracking List'!$A$5:$AL$883,I$4,FALSE))</f>
        <v>8A365</v>
      </c>
      <c r="J20" s="147" t="str">
        <f>IF($C20="","",VLOOKUP($C20,'Tracking List'!$A$5:$AL$883,J$4,FALSE))</f>
        <v>DBA</v>
      </c>
      <c r="K20" s="147" t="str">
        <f>IF($C20="","",VLOOKUP($C20,'Tracking List'!$A$5:$AL$883,K$4,FALSE))</f>
        <v>Y</v>
      </c>
      <c r="L20" s="168">
        <f>IF($C20="","",VLOOKUP($C20,'Tracking List'!$A$5:$AL$883,L$4,FALSE))</f>
        <v>16</v>
      </c>
      <c r="M20" s="147" t="str">
        <f>IF($C20="","",VLOOKUP($C20,'Tracking List'!$A$5:$AL$883,M$4,FALSE))</f>
        <v>刘委/wliu42</v>
      </c>
      <c r="N20" s="148">
        <f>IF($C20="","",IF(VLOOKUP($C20,'Tracking List'!$A$5:$AL$883,N$3,FALSE)&gt;0,"Y",VLOOKUP($C20,'Tracking List'!$A$5:$AL$883,N$4,FALSE)))</f>
        <v>43171</v>
      </c>
      <c r="O20" s="148">
        <f>IF($C20="","",IF(VLOOKUP($C20,'Tracking List'!$A$5:$AL$883,O$3,FALSE)&gt;0,"Y",VLOOKUP($C20,'Tracking List'!$A$5:$AL$883,O$4,FALSE)))</f>
        <v>43277</v>
      </c>
      <c r="P20" s="147" t="str">
        <f>IF($C20="","",IF(VLOOKUP($C20,'Tracking List'!$A$5:$AL$883,P$4,FALSE)&gt;0,"Y",""))</f>
        <v>Y</v>
      </c>
      <c r="Q20" s="149"/>
      <c r="R20" s="150">
        <f>IF($C20="","",VLOOKUP($C20,'Tracking List'!$A$5:$AL$883,R$4,FALSE))</f>
        <v>0</v>
      </c>
    </row>
    <row r="21" spans="3:18">
      <c r="C21" s="146" t="s">
        <v>1172</v>
      </c>
      <c r="D21" s="147" t="str">
        <f>IF($C21="","",VLOOKUP($C21,'Tracking List'!$A$5:$AL$883,D$4,FALSE))</f>
        <v>PT</v>
      </c>
      <c r="E21" s="147" t="str">
        <f>IF($C21="","",VLOOKUP($C21,'Tracking List'!$A$5:$AL$883,E$4,FALSE))</f>
        <v>PT16</v>
      </c>
      <c r="F21" s="147" t="str">
        <f>IF($C21="","",VLOOKUP($C21,'Tracking List'!$A$5:$AL$883,F$4,FALSE))</f>
        <v>冷却水管</v>
      </c>
      <c r="G21" s="147" t="str">
        <f>IF($C21="","",VLOOKUP($C21,'Tracking List'!$A$5:$AL$883,G$4,FALSE))</f>
        <v>冷却水管</v>
      </c>
      <c r="H21" s="147" t="str">
        <f>IF($C21="","",VLOOKUP($C21,'Tracking List'!$A$5:$AL$883,H$4,FALSE))</f>
        <v>K2G3</v>
      </c>
      <c r="I21" s="147" t="str">
        <f>IF($C21="","",VLOOKUP($C21,'Tracking List'!$A$5:$AL$883,I$4,FALSE))</f>
        <v>7P055</v>
      </c>
      <c r="J21" s="147" t="str">
        <f>IF($C21="","",VLOOKUP($C21,'Tracking List'!$A$5:$AL$883,J$4,FALSE))</f>
        <v>DA</v>
      </c>
      <c r="K21" s="147" t="str">
        <f>IF($C21="","",VLOOKUP($C21,'Tracking List'!$A$5:$AL$883,K$4,FALSE))</f>
        <v>Y</v>
      </c>
      <c r="L21" s="168">
        <f>IF($C21="","",VLOOKUP($C21,'Tracking List'!$A$5:$AL$883,L$4,FALSE))</f>
        <v>16</v>
      </c>
      <c r="M21" s="147" t="str">
        <f>IF($C21="","",VLOOKUP($C21,'Tracking List'!$A$5:$AL$883,M$4,FALSE))</f>
        <v>刘委/wliu42</v>
      </c>
      <c r="N21" s="148">
        <f>IF($C21="","",IF(VLOOKUP($C21,'Tracking List'!$A$5:$AL$883,N$3,FALSE)&gt;0,"Y",VLOOKUP($C21,'Tracking List'!$A$5:$AL$883,N$4,FALSE)))</f>
        <v>43171</v>
      </c>
      <c r="O21" s="148">
        <f>IF($C21="","",IF(VLOOKUP($C21,'Tracking List'!$A$5:$AL$883,O$3,FALSE)&gt;0,"Y",VLOOKUP($C21,'Tracking List'!$A$5:$AL$883,O$4,FALSE)))</f>
        <v>43277</v>
      </c>
      <c r="P21" s="147" t="str">
        <f>IF($C21="","",IF(VLOOKUP($C21,'Tracking List'!$A$5:$AL$883,P$4,FALSE)&gt;0,"Y",""))</f>
        <v>Y</v>
      </c>
      <c r="Q21" s="149"/>
      <c r="R21" s="150">
        <f>IF($C21="","",VLOOKUP($C21,'Tracking List'!$A$5:$AL$883,R$4,FALSE))</f>
        <v>0</v>
      </c>
    </row>
    <row r="22" spans="3:18">
      <c r="C22" s="146" t="s">
        <v>1173</v>
      </c>
      <c r="D22" s="147" t="str">
        <f>IF($C22="","",VLOOKUP($C22,'Tracking List'!$A$5:$AL$883,D$4,FALSE))</f>
        <v>PT</v>
      </c>
      <c r="E22" s="147" t="str">
        <f>IF($C22="","",VLOOKUP($C22,'Tracking List'!$A$5:$AL$883,E$4,FALSE))</f>
        <v>PT16</v>
      </c>
      <c r="F22" s="147" t="str">
        <f>IF($C22="","",VLOOKUP($C22,'Tracking List'!$A$5:$AL$883,F$4,FALSE))</f>
        <v>冷却水管</v>
      </c>
      <c r="G22" s="147" t="str">
        <f>IF($C22="","",VLOOKUP($C22,'Tracking List'!$A$5:$AL$883,G$4,FALSE))</f>
        <v>冷却水管</v>
      </c>
      <c r="H22" s="147" t="str">
        <f>IF($C22="","",VLOOKUP($C22,'Tracking List'!$A$5:$AL$883,H$4,FALSE))</f>
        <v>K2G3</v>
      </c>
      <c r="I22" s="147" t="str">
        <f>IF($C22="","",VLOOKUP($C22,'Tracking List'!$A$5:$AL$883,I$4,FALSE))</f>
        <v>8B555</v>
      </c>
      <c r="J22" s="147" t="str">
        <f>IF($C22="","",VLOOKUP($C22,'Tracking List'!$A$5:$AL$883,J$4,FALSE))</f>
        <v>DA</v>
      </c>
      <c r="K22" s="147" t="str">
        <f>IF($C22="","",VLOOKUP($C22,'Tracking List'!$A$5:$AL$883,K$4,FALSE))</f>
        <v>Y</v>
      </c>
      <c r="L22" s="168">
        <f>IF($C22="","",VLOOKUP($C22,'Tracking List'!$A$5:$AL$883,L$4,FALSE))</f>
        <v>16</v>
      </c>
      <c r="M22" s="147" t="str">
        <f>IF($C22="","",VLOOKUP($C22,'Tracking List'!$A$5:$AL$883,M$4,FALSE))</f>
        <v>刘委/wliu42</v>
      </c>
      <c r="N22" s="148">
        <f>IF($C22="","",IF(VLOOKUP($C22,'Tracking List'!$A$5:$AL$883,N$3,FALSE)&gt;0,"Y",VLOOKUP($C22,'Tracking List'!$A$5:$AL$883,N$4,FALSE)))</f>
        <v>43171</v>
      </c>
      <c r="O22" s="148">
        <f>IF($C22="","",IF(VLOOKUP($C22,'Tracking List'!$A$5:$AL$883,O$3,FALSE)&gt;0,"Y",VLOOKUP($C22,'Tracking List'!$A$5:$AL$883,O$4,FALSE)))</f>
        <v>43277</v>
      </c>
      <c r="P22" s="147" t="str">
        <f>IF($C22="","",IF(VLOOKUP($C22,'Tracking List'!$A$5:$AL$883,P$4,FALSE)&gt;0,"Y",""))</f>
        <v>Y</v>
      </c>
      <c r="Q22" s="149"/>
      <c r="R22" s="150">
        <f>IF($C22="","",VLOOKUP($C22,'Tracking List'!$A$5:$AL$883,R$4,FALSE))</f>
        <v>0</v>
      </c>
    </row>
    <row r="23" spans="3:18">
      <c r="C23" s="146" t="s">
        <v>1174</v>
      </c>
      <c r="D23" s="147" t="str">
        <f>IF($C23="","",VLOOKUP($C23,'Tracking List'!$A$5:$AL$883,D$4,FALSE))</f>
        <v>PT</v>
      </c>
      <c r="E23" s="147" t="str">
        <f>IF($C23="","",VLOOKUP($C23,'Tracking List'!$A$5:$AL$883,E$4,FALSE))</f>
        <v>PT16</v>
      </c>
      <c r="F23" s="147" t="str">
        <f>IF($C23="","",VLOOKUP($C23,'Tracking List'!$A$5:$AL$883,F$4,FALSE))</f>
        <v>冷却水管</v>
      </c>
      <c r="G23" s="147" t="str">
        <f>IF($C23="","",VLOOKUP($C23,'Tracking List'!$A$5:$AL$883,G$4,FALSE))</f>
        <v>冷却水管</v>
      </c>
      <c r="H23" s="147" t="str">
        <f>IF($C23="","",VLOOKUP($C23,'Tracking List'!$A$5:$AL$883,H$4,FALSE))</f>
        <v>K2G3</v>
      </c>
      <c r="I23" s="147" t="str">
        <f>IF($C23="","",VLOOKUP($C23,'Tracking List'!$A$5:$AL$883,I$4,FALSE))</f>
        <v>8C351</v>
      </c>
      <c r="J23" s="147" t="str">
        <f>IF($C23="","",VLOOKUP($C23,'Tracking List'!$A$5:$AL$883,J$4,FALSE))</f>
        <v>DA</v>
      </c>
      <c r="K23" s="147" t="str">
        <f>IF($C23="","",VLOOKUP($C23,'Tracking List'!$A$5:$AL$883,K$4,FALSE))</f>
        <v>Y</v>
      </c>
      <c r="L23" s="168">
        <f>IF($C23="","",VLOOKUP($C23,'Tracking List'!$A$5:$AL$883,L$4,FALSE))</f>
        <v>16</v>
      </c>
      <c r="M23" s="147" t="str">
        <f>IF($C23="","",VLOOKUP($C23,'Tracking List'!$A$5:$AL$883,M$4,FALSE))</f>
        <v>刘委/wliu42</v>
      </c>
      <c r="N23" s="148">
        <f>IF($C23="","",IF(VLOOKUP($C23,'Tracking List'!$A$5:$AL$883,N$3,FALSE)&gt;0,"Y",VLOOKUP($C23,'Tracking List'!$A$5:$AL$883,N$4,FALSE)))</f>
        <v>43171</v>
      </c>
      <c r="O23" s="148">
        <f>IF($C23="","",IF(VLOOKUP($C23,'Tracking List'!$A$5:$AL$883,O$3,FALSE)&gt;0,"Y",VLOOKUP($C23,'Tracking List'!$A$5:$AL$883,O$4,FALSE)))</f>
        <v>43277</v>
      </c>
      <c r="P23" s="147" t="str">
        <f>IF($C23="","",IF(VLOOKUP($C23,'Tracking List'!$A$5:$AL$883,P$4,FALSE)&gt;0,"Y",""))</f>
        <v>Y</v>
      </c>
      <c r="Q23" s="149"/>
      <c r="R23" s="150">
        <f>IF($C23="","",VLOOKUP($C23,'Tracking List'!$A$5:$AL$883,R$4,FALSE))</f>
        <v>0</v>
      </c>
    </row>
    <row r="24" spans="3:18">
      <c r="C24" s="146" t="s">
        <v>1175</v>
      </c>
      <c r="D24" s="147" t="str">
        <f>IF($C24="","",VLOOKUP($C24,'Tracking List'!$A$5:$AL$883,D$4,FALSE))</f>
        <v>PT</v>
      </c>
      <c r="E24" s="147" t="str">
        <f>IF($C24="","",VLOOKUP($C24,'Tracking List'!$A$5:$AL$883,E$4,FALSE))</f>
        <v>PT069</v>
      </c>
      <c r="F24" s="147" t="str">
        <f>IF($C24="","",VLOOKUP($C24,'Tracking List'!$A$5:$AL$883,F$4,FALSE))</f>
        <v>曲轴箱通风管</v>
      </c>
      <c r="G24" s="147" t="str">
        <f>IF($C24="","",VLOOKUP($C24,'Tracking List'!$A$5:$AL$883,G$4,FALSE))</f>
        <v>曲轴箱通风管</v>
      </c>
      <c r="H24" s="147" t="str">
        <f>IF($C24="","",VLOOKUP($C24,'Tracking List'!$A$5:$AL$883,H$4,FALSE))</f>
        <v>K2GE</v>
      </c>
      <c r="I24" s="147" t="str">
        <f>IF($C24="","",VLOOKUP($C24,'Tracking List'!$A$5:$AL$883,I$4,FALSE))</f>
        <v>6758</v>
      </c>
      <c r="J24" s="147" t="str">
        <f>IF($C24="","",VLOOKUP($C24,'Tracking List'!$A$5:$AL$883,J$4,FALSE))</f>
        <v>FA</v>
      </c>
      <c r="K24" s="147" t="str">
        <f>IF($C24="","",VLOOKUP($C24,'Tracking List'!$A$5:$AL$883,K$4,FALSE))</f>
        <v>Y</v>
      </c>
      <c r="L24" s="168">
        <f>IF($C24="","",VLOOKUP($C24,'Tracking List'!$A$5:$AL$883,L$4,FALSE))</f>
        <v>8</v>
      </c>
      <c r="M24" s="147" t="str">
        <f>IF($C24="","",VLOOKUP($C24,'Tracking List'!$A$5:$AL$883,M$4,FALSE))</f>
        <v>刘旭/xliu79</v>
      </c>
      <c r="N24" s="148" t="str">
        <f>IF($C24="","",IF(VLOOKUP($C24,'Tracking List'!$A$5:$AL$883,N$3,FALSE)&gt;0,"Y",VLOOKUP($C24,'Tracking List'!$A$5:$AL$883,N$4,FALSE)))</f>
        <v>Y</v>
      </c>
      <c r="O24" s="148">
        <f>IF($C24="","",IF(VLOOKUP($C24,'Tracking List'!$A$5:$AL$883,O$3,FALSE)&gt;0,"Y",VLOOKUP($C24,'Tracking List'!$A$5:$AL$883,O$4,FALSE)))</f>
        <v>43240</v>
      </c>
      <c r="P24" s="147" t="str">
        <f>IF($C24="","",IF(VLOOKUP($C24,'Tracking List'!$A$5:$AL$883,P$4,FALSE)&gt;0,"Y",""))</f>
        <v>Y</v>
      </c>
      <c r="Q24" s="149"/>
      <c r="R24" s="150">
        <f>IF($C24="","",VLOOKUP($C24,'Tracking List'!$A$5:$AL$883,R$4,FALSE))</f>
        <v>0</v>
      </c>
    </row>
    <row r="25" spans="3:18">
      <c r="C25" s="146" t="s">
        <v>1115</v>
      </c>
      <c r="D25" s="147" t="str">
        <f>IF($C25="","",VLOOKUP($C25,'Tracking List'!$A$5:$AL$883,D$4,FALSE))</f>
        <v>CHS</v>
      </c>
      <c r="E25" s="147" t="str">
        <f>IF($C25="","",VLOOKUP($C25,'Tracking List'!$A$5:$AL$883,E$4,FALSE))</f>
        <v>040104</v>
      </c>
      <c r="F25" s="147" t="str">
        <f>IF($C25="","",VLOOKUP($C25,'Tracking List'!$A$5:$AL$883,F$4,FALSE))</f>
        <v>HB &amp; BRG ASY-FRT BRK</v>
      </c>
      <c r="G25" s="147" t="str">
        <f>IF($C25="","",VLOOKUP($C25,'Tracking List'!$A$5:$AL$883,G$4,FALSE))</f>
        <v>前轮毂轴承</v>
      </c>
      <c r="H25" s="147" t="str">
        <f>IF($C25="","",VLOOKUP($C25,'Tracking List'!$A$5:$AL$883,H$4,FALSE))</f>
        <v>K2GC</v>
      </c>
      <c r="I25" s="147" t="str">
        <f>IF($C25="","",VLOOKUP($C25,'Tracking List'!$A$5:$AL$883,I$4,FALSE))</f>
        <v>2C300</v>
      </c>
      <c r="J25" s="147" t="str">
        <f>IF($C25="","",VLOOKUP($C25,'Tracking List'!$A$5:$AL$883,J$4,FALSE))</f>
        <v>A2A</v>
      </c>
      <c r="K25" s="147" t="str">
        <f>IF($C25="","",VLOOKUP($C25,'Tracking List'!$A$5:$AL$883,K$4,FALSE))</f>
        <v>Y</v>
      </c>
      <c r="L25" s="168">
        <f>IF($C25="","",VLOOKUP($C25,'Tracking List'!$A$5:$AL$883,L$4,FALSE))</f>
        <v>12</v>
      </c>
      <c r="M25" s="147" t="str">
        <f>IF($C25="","",VLOOKUP($C25,'Tracking List'!$A$5:$AL$883,M$4,FALSE))</f>
        <v>穆春洁(cmu4)</v>
      </c>
      <c r="N25" s="148" t="str">
        <f>IF($C25="","",IF(VLOOKUP($C25,'Tracking List'!$A$5:$AL$883,N$3,FALSE)&gt;0,"Y",VLOOKUP($C25,'Tracking List'!$A$5:$AL$883,N$4,FALSE)))</f>
        <v>Y</v>
      </c>
      <c r="O25" s="148">
        <f>IF($C25="","",IF(VLOOKUP($C25,'Tracking List'!$A$5:$AL$883,O$3,FALSE)&gt;0,"Y",VLOOKUP($C25,'Tracking List'!$A$5:$AL$883,O$4,FALSE)))</f>
        <v>43185</v>
      </c>
      <c r="P25" s="147" t="str">
        <f>IF($C25="","",IF(VLOOKUP($C25,'Tracking List'!$A$5:$AL$883,P$4,FALSE)&gt;0,"Y",""))</f>
        <v/>
      </c>
      <c r="Q25" s="149"/>
      <c r="R25" s="150">
        <f>IF($C25="","",VLOOKUP($C25,'Tracking List'!$A$5:$AL$883,R$4,FALSE))</f>
        <v>0</v>
      </c>
    </row>
    <row r="26" spans="3:18">
      <c r="C26" s="146" t="s">
        <v>1116</v>
      </c>
      <c r="D26" s="147" t="str">
        <f>IF($C26="","",VLOOKUP($C26,'Tracking List'!$A$5:$AL$883,D$4,FALSE))</f>
        <v>CHS</v>
      </c>
      <c r="E26" s="147" t="str">
        <f>IF($C26="","",VLOOKUP($C26,'Tracking List'!$A$5:$AL$883,E$4,FALSE))</f>
        <v>040104</v>
      </c>
      <c r="F26" s="147" t="str">
        <f>IF($C26="","",VLOOKUP($C26,'Tracking List'!$A$5:$AL$883,F$4,FALSE))</f>
        <v>HB &amp; BRG ASY-FRT BRK</v>
      </c>
      <c r="G26" s="147" t="str">
        <f>IF($C26="","",VLOOKUP($C26,'Tracking List'!$A$5:$AL$883,G$4,FALSE))</f>
        <v>前轮毂轴承</v>
      </c>
      <c r="H26" s="147" t="str">
        <f>IF($C26="","",VLOOKUP($C26,'Tracking List'!$A$5:$AL$883,H$4,FALSE))</f>
        <v>K2GC</v>
      </c>
      <c r="I26" s="147" t="str">
        <f>IF($C26="","",VLOOKUP($C26,'Tracking List'!$A$5:$AL$883,I$4,FALSE))</f>
        <v>2C300</v>
      </c>
      <c r="J26" s="147" t="str">
        <f>IF($C26="","",VLOOKUP($C26,'Tracking List'!$A$5:$AL$883,J$4,FALSE))</f>
        <v>A3A</v>
      </c>
      <c r="K26" s="147" t="str">
        <f>IF($C26="","",VLOOKUP($C26,'Tracking List'!$A$5:$AL$883,K$4,FALSE))</f>
        <v>Y</v>
      </c>
      <c r="L26" s="168">
        <f>IF($C26="","",VLOOKUP($C26,'Tracking List'!$A$5:$AL$883,L$4,FALSE))</f>
        <v>12</v>
      </c>
      <c r="M26" s="147" t="str">
        <f>IF($C26="","",VLOOKUP($C26,'Tracking List'!$A$5:$AL$883,M$4,FALSE))</f>
        <v>穆春洁(cmu4)</v>
      </c>
      <c r="N26" s="148" t="str">
        <f>IF($C26="","",IF(VLOOKUP($C26,'Tracking List'!$A$5:$AL$883,N$3,FALSE)&gt;0,"Y",VLOOKUP($C26,'Tracking List'!$A$5:$AL$883,N$4,FALSE)))</f>
        <v>Y</v>
      </c>
      <c r="O26" s="148">
        <f>IF($C26="","",IF(VLOOKUP($C26,'Tracking List'!$A$5:$AL$883,O$3,FALSE)&gt;0,"Y",VLOOKUP($C26,'Tracking List'!$A$5:$AL$883,O$4,FALSE)))</f>
        <v>43185</v>
      </c>
      <c r="P26" s="147" t="str">
        <f>IF($C26="","",IF(VLOOKUP($C26,'Tracking List'!$A$5:$AL$883,P$4,FALSE)&gt;0,"Y",""))</f>
        <v/>
      </c>
      <c r="Q26" s="149"/>
      <c r="R26" s="150">
        <f>IF($C26="","",VLOOKUP($C26,'Tracking List'!$A$5:$AL$883,R$4,FALSE))</f>
        <v>0</v>
      </c>
    </row>
    <row r="27" spans="3:18" ht="13.8" thickBot="1">
      <c r="C27" s="151" t="s">
        <v>1122</v>
      </c>
      <c r="D27" s="147" t="str">
        <f>IF($C27="","",VLOOKUP($C27,'Tracking List'!$A$5:$AL$883,D$4,FALSE))</f>
        <v>CHS</v>
      </c>
      <c r="E27" s="147" t="str">
        <f>IF($C27="","",VLOOKUP($C27,'Tracking List'!$A$5:$AL$883,E$4,FALSE))</f>
        <v>040203</v>
      </c>
      <c r="F27" s="147" t="str">
        <f>IF($C27="","",VLOOKUP($C27,'Tracking List'!$A$5:$AL$883,F$4,FALSE))</f>
        <v>HB &amp; BRG ASY-RR BRK</v>
      </c>
      <c r="G27" s="147" t="str">
        <f>IF($C27="","",VLOOKUP($C27,'Tracking List'!$A$5:$AL$883,G$4,FALSE))</f>
        <v>后轮毂轴承</v>
      </c>
      <c r="H27" s="147" t="str">
        <f>IF($C27="","",VLOOKUP($C27,'Tracking List'!$A$5:$AL$883,H$4,FALSE))</f>
        <v>K2GC</v>
      </c>
      <c r="I27" s="147" t="str">
        <f>IF($C27="","",VLOOKUP($C27,'Tracking List'!$A$5:$AL$883,I$4,FALSE))</f>
        <v>2C299</v>
      </c>
      <c r="J27" s="147" t="str">
        <f>IF($C27="","",VLOOKUP($C27,'Tracking List'!$A$5:$AL$883,J$4,FALSE))</f>
        <v>A3A</v>
      </c>
      <c r="K27" s="147" t="str">
        <f>IF($C27="","",VLOOKUP($C27,'Tracking List'!$A$5:$AL$883,K$4,FALSE))</f>
        <v>Y</v>
      </c>
      <c r="L27" s="168">
        <f>IF($C27="","",VLOOKUP($C27,'Tracking List'!$A$5:$AL$883,L$4,FALSE))</f>
        <v>12</v>
      </c>
      <c r="M27" s="147" t="str">
        <f>IF($C27="","",VLOOKUP($C27,'Tracking List'!$A$5:$AL$883,M$4,FALSE))</f>
        <v>穆春洁(cmu4)</v>
      </c>
      <c r="N27" s="148" t="str">
        <f>IF($C27="","",IF(VLOOKUP($C27,'Tracking List'!$A$5:$AL$883,N$3,FALSE)&gt;0,"Y",VLOOKUP($C27,'Tracking List'!$A$5:$AL$883,N$4,FALSE)))</f>
        <v>Y</v>
      </c>
      <c r="O27" s="148">
        <f>IF($C27="","",IF(VLOOKUP($C27,'Tracking List'!$A$5:$AL$883,O$3,FALSE)&gt;0,"Y",VLOOKUP($C27,'Tracking List'!$A$5:$AL$883,O$4,FALSE)))</f>
        <v>43185</v>
      </c>
      <c r="P27" s="147" t="str">
        <f>IF($C27="","",IF(VLOOKUP($C27,'Tracking List'!$A$5:$AL$883,P$4,FALSE)&gt;0,"Y",""))</f>
        <v/>
      </c>
      <c r="Q27" s="152"/>
      <c r="R27" s="150">
        <f>IF($C27="","",VLOOKUP($C27,'Tracking List'!$A$5:$AL$883,R$4,FALSE))</f>
        <v>0</v>
      </c>
    </row>
    <row r="28" spans="3:18">
      <c r="C28" s="153" t="s">
        <v>1123</v>
      </c>
      <c r="D28" s="147" t="str">
        <f>IF($C28="","",VLOOKUP($C28,'Tracking List'!$A$5:$AL$883,D$4,FALSE))</f>
        <v>CHS</v>
      </c>
      <c r="E28" s="147" t="str">
        <f>IF($C28="","",VLOOKUP($C28,'Tracking List'!$A$5:$AL$883,E$4,FALSE))</f>
        <v>040203</v>
      </c>
      <c r="F28" s="147" t="str">
        <f>IF($C28="","",VLOOKUP($C28,'Tracking List'!$A$5:$AL$883,F$4,FALSE))</f>
        <v>HB &amp; BRG ASY-FRT BRK</v>
      </c>
      <c r="G28" s="147" t="str">
        <f>IF($C28="","",VLOOKUP($C28,'Tracking List'!$A$5:$AL$883,G$4,FALSE))</f>
        <v>后轮毂轴承</v>
      </c>
      <c r="H28" s="147" t="str">
        <f>IF($C28="","",VLOOKUP($C28,'Tracking List'!$A$5:$AL$883,H$4,FALSE))</f>
        <v>K2GC</v>
      </c>
      <c r="I28" s="147" t="str">
        <f>IF($C28="","",VLOOKUP($C28,'Tracking List'!$A$5:$AL$883,I$4,FALSE))</f>
        <v>2C300</v>
      </c>
      <c r="J28" s="147" t="str">
        <f>IF($C28="","",VLOOKUP($C28,'Tracking List'!$A$5:$AL$883,J$4,FALSE))</f>
        <v>A2A</v>
      </c>
      <c r="K28" s="147" t="str">
        <f>IF($C28="","",VLOOKUP($C28,'Tracking List'!$A$5:$AL$883,K$4,FALSE))</f>
        <v>Y</v>
      </c>
      <c r="L28" s="168">
        <f>IF($C28="","",VLOOKUP($C28,'Tracking List'!$A$5:$AL$883,L$4,FALSE))</f>
        <v>12</v>
      </c>
      <c r="M28" s="147" t="str">
        <f>IF($C28="","",VLOOKUP($C28,'Tracking List'!$A$5:$AL$883,M$4,FALSE))</f>
        <v>穆春洁(cmu4)</v>
      </c>
      <c r="N28" s="148" t="str">
        <f>IF($C28="","",IF(VLOOKUP($C28,'Tracking List'!$A$5:$AL$883,N$3,FALSE)&gt;0,"Y",VLOOKUP($C28,'Tracking List'!$A$5:$AL$883,N$4,FALSE)))</f>
        <v>Y</v>
      </c>
      <c r="O28" s="148">
        <f>IF($C28="","",IF(VLOOKUP($C28,'Tracking List'!$A$5:$AL$883,O$3,FALSE)&gt;0,"Y",VLOOKUP($C28,'Tracking List'!$A$5:$AL$883,O$4,FALSE)))</f>
        <v>43185</v>
      </c>
      <c r="P28" s="147" t="str">
        <f>IF($C28="","",IF(VLOOKUP($C28,'Tracking List'!$A$5:$AL$883,P$4,FALSE)&gt;0,"Y",""))</f>
        <v/>
      </c>
      <c r="Q28" s="154"/>
      <c r="R28" s="150">
        <f>IF($C28="","",VLOOKUP($C28,'Tracking List'!$A$5:$AL$883,R$4,FALSE))</f>
        <v>0</v>
      </c>
    </row>
    <row r="29" spans="3:18">
      <c r="C29" s="146" t="s">
        <v>1124</v>
      </c>
      <c r="D29" s="147" t="str">
        <f>IF($C29="","",VLOOKUP($C29,'Tracking List'!$A$5:$AL$883,D$4,FALSE))</f>
        <v>CHS</v>
      </c>
      <c r="E29" s="147" t="str">
        <f>IF($C29="","",VLOOKUP($C29,'Tracking List'!$A$5:$AL$883,E$4,FALSE))</f>
        <v>040203</v>
      </c>
      <c r="F29" s="147" t="str">
        <f>IF($C29="","",VLOOKUP($C29,'Tracking List'!$A$5:$AL$883,F$4,FALSE))</f>
        <v>HB &amp; BRG ASY-FRT BRK</v>
      </c>
      <c r="G29" s="147" t="str">
        <f>IF($C29="","",VLOOKUP($C29,'Tracking List'!$A$5:$AL$883,G$4,FALSE))</f>
        <v>后轮毂轴承</v>
      </c>
      <c r="H29" s="147" t="str">
        <f>IF($C29="","",VLOOKUP($C29,'Tracking List'!$A$5:$AL$883,H$4,FALSE))</f>
        <v>K2GC</v>
      </c>
      <c r="I29" s="147" t="str">
        <f>IF($C29="","",VLOOKUP($C29,'Tracking List'!$A$5:$AL$883,I$4,FALSE))</f>
        <v>2C300</v>
      </c>
      <c r="J29" s="147" t="str">
        <f>IF($C29="","",VLOOKUP($C29,'Tracking List'!$A$5:$AL$883,J$4,FALSE))</f>
        <v>A3A</v>
      </c>
      <c r="K29" s="147" t="str">
        <f>IF($C29="","",VLOOKUP($C29,'Tracking List'!$A$5:$AL$883,K$4,FALSE))</f>
        <v>Y</v>
      </c>
      <c r="L29" s="168">
        <f>IF($C29="","",VLOOKUP($C29,'Tracking List'!$A$5:$AL$883,L$4,FALSE))</f>
        <v>12</v>
      </c>
      <c r="M29" s="147" t="str">
        <f>IF($C29="","",VLOOKUP($C29,'Tracking List'!$A$5:$AL$883,M$4,FALSE))</f>
        <v>穆春洁(cmu4)</v>
      </c>
      <c r="N29" s="148" t="str">
        <f>IF($C29="","",IF(VLOOKUP($C29,'Tracking List'!$A$5:$AL$883,N$3,FALSE)&gt;0,"Y",VLOOKUP($C29,'Tracking List'!$A$5:$AL$883,N$4,FALSE)))</f>
        <v>Y</v>
      </c>
      <c r="O29" s="148">
        <f>IF($C29="","",IF(VLOOKUP($C29,'Tracking List'!$A$5:$AL$883,O$3,FALSE)&gt;0,"Y",VLOOKUP($C29,'Tracking List'!$A$5:$AL$883,O$4,FALSE)))</f>
        <v>43185</v>
      </c>
      <c r="P29" s="147" t="str">
        <f>IF($C29="","",IF(VLOOKUP($C29,'Tracking List'!$A$5:$AL$883,P$4,FALSE)&gt;0,"Y",""))</f>
        <v/>
      </c>
      <c r="Q29" s="149"/>
      <c r="R29" s="150">
        <f>IF($C29="","",VLOOKUP($C29,'Tracking List'!$A$5:$AL$883,R$4,FALSE))</f>
        <v>0</v>
      </c>
    </row>
    <row r="30" spans="3:18">
      <c r="C30" s="146" t="s">
        <v>1125</v>
      </c>
      <c r="D30" s="147" t="str">
        <f>IF($C30="","",VLOOKUP($C30,'Tracking List'!$A$5:$AL$883,D$4,FALSE))</f>
        <v>CHS</v>
      </c>
      <c r="E30" s="147" t="str">
        <f>IF($C30="","",VLOOKUP($C30,'Tracking List'!$A$5:$AL$883,E$4,FALSE))</f>
        <v>040203</v>
      </c>
      <c r="F30" s="147" t="str">
        <f>IF($C30="","",VLOOKUP($C30,'Tracking List'!$A$5:$AL$883,F$4,FALSE))</f>
        <v>HB &amp; BRG ASY-RR BRK</v>
      </c>
      <c r="G30" s="147" t="str">
        <f>IF($C30="","",VLOOKUP($C30,'Tracking List'!$A$5:$AL$883,G$4,FALSE))</f>
        <v>后轮毂轴承</v>
      </c>
      <c r="H30" s="147" t="str">
        <f>IF($C30="","",VLOOKUP($C30,'Tracking List'!$A$5:$AL$883,H$4,FALSE))</f>
        <v>K2GC</v>
      </c>
      <c r="I30" s="147" t="str">
        <f>IF($C30="","",VLOOKUP($C30,'Tracking List'!$A$5:$AL$883,I$4,FALSE))</f>
        <v>2C299</v>
      </c>
      <c r="J30" s="147" t="str">
        <f>IF($C30="","",VLOOKUP($C30,'Tracking List'!$A$5:$AL$883,J$4,FALSE))</f>
        <v>A2A</v>
      </c>
      <c r="K30" s="147" t="str">
        <f>IF($C30="","",VLOOKUP($C30,'Tracking List'!$A$5:$AL$883,K$4,FALSE))</f>
        <v>Y</v>
      </c>
      <c r="L30" s="168">
        <f>IF($C30="","",VLOOKUP($C30,'Tracking List'!$A$5:$AL$883,L$4,FALSE))</f>
        <v>12</v>
      </c>
      <c r="M30" s="147" t="str">
        <f>IF($C30="","",VLOOKUP($C30,'Tracking List'!$A$5:$AL$883,M$4,FALSE))</f>
        <v>穆春洁(cmu4)</v>
      </c>
      <c r="N30" s="148" t="str">
        <f>IF($C30="","",IF(VLOOKUP($C30,'Tracking List'!$A$5:$AL$883,N$3,FALSE)&gt;0,"Y",VLOOKUP($C30,'Tracking List'!$A$5:$AL$883,N$4,FALSE)))</f>
        <v>Y</v>
      </c>
      <c r="O30" s="148">
        <f>IF($C30="","",IF(VLOOKUP($C30,'Tracking List'!$A$5:$AL$883,O$3,FALSE)&gt;0,"Y",VLOOKUP($C30,'Tracking List'!$A$5:$AL$883,O$4,FALSE)))</f>
        <v>43185</v>
      </c>
      <c r="P30" s="147" t="str">
        <f>IF($C30="","",IF(VLOOKUP($C30,'Tracking List'!$A$5:$AL$883,P$4,FALSE)&gt;0,"Y",""))</f>
        <v/>
      </c>
      <c r="Q30" s="149"/>
      <c r="R30" s="150">
        <f>IF($C30="","",VLOOKUP($C30,'Tracking List'!$A$5:$AL$883,R$4,FALSE))</f>
        <v>0</v>
      </c>
    </row>
    <row r="31" spans="3:18">
      <c r="C31" s="146" t="s">
        <v>78</v>
      </c>
      <c r="D31" s="147" t="str">
        <f>IF($C31="","",VLOOKUP($C31,'Tracking List'!$A$5:$AL$883,D$4,FALSE))</f>
        <v>BIW</v>
      </c>
      <c r="E31" s="147" t="str">
        <f>IF($C31="","",VLOOKUP($C31,'Tracking List'!$A$5:$AL$883,E$4,FALSE))</f>
        <v>B017</v>
      </c>
      <c r="F31" s="147" t="str">
        <f>IF($C31="","",VLOOKUP($C31,'Tracking List'!$A$5:$AL$883,F$4,FALSE))</f>
        <v>保险杠横梁</v>
      </c>
      <c r="G31" s="147" t="str">
        <f>IF($C31="","",VLOOKUP($C31,'Tracking List'!$A$5:$AL$883,G$4,FALSE))</f>
        <v>后防撞梁总成</v>
      </c>
      <c r="H31" s="147" t="str">
        <f>IF($C31="","",VLOOKUP($C31,'Tracking List'!$A$5:$AL$883,H$4,FALSE))</f>
        <v>KK7B</v>
      </c>
      <c r="I31" s="147" t="str">
        <f>IF($C31="","",VLOOKUP($C31,'Tracking List'!$A$5:$AL$883,I$4,FALSE))</f>
        <v>17970</v>
      </c>
      <c r="J31" s="147" t="str">
        <f>IF($C31="","",VLOOKUP($C31,'Tracking List'!$A$5:$AL$883,J$4,FALSE))</f>
        <v>AA</v>
      </c>
      <c r="K31" s="147" t="str">
        <f>IF($C31="","",VLOOKUP($C31,'Tracking List'!$A$5:$AL$883,K$4,FALSE))</f>
        <v>Y</v>
      </c>
      <c r="L31" s="168">
        <f>IF($C31="","",VLOOKUP($C31,'Tracking List'!$A$5:$AL$883,L$4,FALSE))</f>
        <v>6</v>
      </c>
      <c r="M31" s="147" t="str">
        <f>IF($C31="","",VLOOKUP($C31,'Tracking List'!$A$5:$AL$883,M$4,FALSE))</f>
        <v>Zeng Ke</v>
      </c>
      <c r="N31" s="148">
        <f>IF($C31="","",IF(VLOOKUP($C31,'Tracking List'!$A$5:$AL$883,N$3,FALSE)&gt;0,"Y",VLOOKUP($C31,'Tracking List'!$A$5:$AL$883,N$4,FALSE)))</f>
        <v>43174</v>
      </c>
      <c r="O31" s="148">
        <f>IF($C31="","",IF(VLOOKUP($C31,'Tracking List'!$A$5:$AL$883,O$3,FALSE)&gt;0,"Y",VLOOKUP($C31,'Tracking List'!$A$5:$AL$883,O$4,FALSE)))</f>
        <v>43224</v>
      </c>
      <c r="P31" s="147" t="str">
        <f>IF($C31="","",IF(VLOOKUP($C31,'Tracking List'!$A$5:$AL$883,P$4,FALSE)&gt;0,"Y",""))</f>
        <v>Y</v>
      </c>
      <c r="Q31" s="149"/>
      <c r="R31" s="150">
        <f>IF($C31="","",VLOOKUP($C31,'Tracking List'!$A$5:$AL$883,R$4,FALSE))</f>
        <v>0</v>
      </c>
    </row>
    <row r="32" spans="3:18">
      <c r="C32" s="146" t="s">
        <v>81</v>
      </c>
      <c r="D32" s="147" t="str">
        <f>IF($C32="","",VLOOKUP($C32,'Tracking List'!$A$5:$AL$883,D$4,FALSE))</f>
        <v>BIW</v>
      </c>
      <c r="E32" s="147" t="str">
        <f>IF($C32="","",VLOOKUP($C32,'Tracking List'!$A$5:$AL$883,E$4,FALSE))</f>
        <v>B012-1</v>
      </c>
      <c r="F32" s="147" t="str">
        <f>IF($C32="","",VLOOKUP($C32,'Tracking List'!$A$5:$AL$883,F$4,FALSE))</f>
        <v>外购大中冲焊件-沿用杭州宝伟</v>
      </c>
      <c r="G32" s="147" t="str">
        <f>IF($C32="","",VLOOKUP($C32,'Tracking List'!$A$5:$AL$883,G$4,FALSE))</f>
        <v>前纵梁内板总成  左</v>
      </c>
      <c r="H32" s="147" t="str">
        <f>IF($C32="","",VLOOKUP($C32,'Tracking List'!$A$5:$AL$883,H$4,FALSE))</f>
        <v>K2GB</v>
      </c>
      <c r="I32" s="147" t="str">
        <f>IF($C32="","",VLOOKUP($C32,'Tracking List'!$A$5:$AL$883,I$4,FALSE))</f>
        <v>R10009</v>
      </c>
      <c r="J32" s="147" t="str">
        <f>IF($C32="","",VLOOKUP($C32,'Tracking List'!$A$5:$AL$883,J$4,FALSE))</f>
        <v>DA</v>
      </c>
      <c r="K32" s="147" t="str">
        <f>IF($C32="","",VLOOKUP($C32,'Tracking List'!$A$5:$AL$883,K$4,FALSE))</f>
        <v>Y</v>
      </c>
      <c r="L32" s="168">
        <f>IF($C32="","",VLOOKUP($C32,'Tracking List'!$A$5:$AL$883,L$4,FALSE))</f>
        <v>6</v>
      </c>
      <c r="M32" s="147" t="str">
        <f>IF($C32="","",VLOOKUP($C32,'Tracking List'!$A$5:$AL$883,M$4,FALSE))</f>
        <v>Xiang Jun</v>
      </c>
      <c r="N32" s="148">
        <f>IF($C32="","",IF(VLOOKUP($C32,'Tracking List'!$A$5:$AL$883,N$3,FALSE)&gt;0,"Y",VLOOKUP($C32,'Tracking List'!$A$5:$AL$883,N$4,FALSE)))</f>
        <v>43174</v>
      </c>
      <c r="O32" s="148">
        <f>IF($C32="","",IF(VLOOKUP($C32,'Tracking List'!$A$5:$AL$883,O$3,FALSE)&gt;0,"Y",VLOOKUP($C32,'Tracking List'!$A$5:$AL$883,O$4,FALSE)))</f>
        <v>43224</v>
      </c>
      <c r="P32" s="147" t="str">
        <f>IF($C32="","",IF(VLOOKUP($C32,'Tracking List'!$A$5:$AL$883,P$4,FALSE)&gt;0,"Y",""))</f>
        <v>Y</v>
      </c>
      <c r="Q32" s="149"/>
      <c r="R32" s="150">
        <f>IF($C32="","",VLOOKUP($C32,'Tracking List'!$A$5:$AL$883,R$4,FALSE))</f>
        <v>0</v>
      </c>
    </row>
    <row r="33" spans="3:18">
      <c r="C33" s="146" t="s">
        <v>82</v>
      </c>
      <c r="D33" s="147" t="str">
        <f>IF($C33="","",VLOOKUP($C33,'Tracking List'!$A$5:$AL$883,D$4,FALSE))</f>
        <v>BIW</v>
      </c>
      <c r="E33" s="147" t="str">
        <f>IF($C33="","",VLOOKUP($C33,'Tracking List'!$A$5:$AL$883,E$4,FALSE))</f>
        <v>B012-1</v>
      </c>
      <c r="F33" s="147" t="str">
        <f>IF($C33="","",VLOOKUP($C33,'Tracking List'!$A$5:$AL$883,F$4,FALSE))</f>
        <v>外购大中冲焊件-沿用杭州宝伟</v>
      </c>
      <c r="G33" s="147" t="str">
        <f>IF($C33="","",VLOOKUP($C33,'Tracking List'!$A$5:$AL$883,G$4,FALSE))</f>
        <v>前纵梁内板总成  左</v>
      </c>
      <c r="H33" s="147" t="str">
        <f>IF($C33="","",VLOOKUP($C33,'Tracking List'!$A$5:$AL$883,H$4,FALSE))</f>
        <v>K2GB</v>
      </c>
      <c r="I33" s="147" t="str">
        <f>IF($C33="","",VLOOKUP($C33,'Tracking List'!$A$5:$AL$883,I$4,FALSE))</f>
        <v>R10009</v>
      </c>
      <c r="J33" s="147" t="str">
        <f>IF($C33="","",VLOOKUP($C33,'Tracking List'!$A$5:$AL$883,J$4,FALSE))</f>
        <v>EA</v>
      </c>
      <c r="K33" s="147" t="str">
        <f>IF($C33="","",VLOOKUP($C33,'Tracking List'!$A$5:$AL$883,K$4,FALSE))</f>
        <v>Y</v>
      </c>
      <c r="L33" s="168">
        <f>IF($C33="","",VLOOKUP($C33,'Tracking List'!$A$5:$AL$883,L$4,FALSE))</f>
        <v>6</v>
      </c>
      <c r="M33" s="147" t="str">
        <f>IF($C33="","",VLOOKUP($C33,'Tracking List'!$A$5:$AL$883,M$4,FALSE))</f>
        <v>Xiang Jun</v>
      </c>
      <c r="N33" s="148">
        <f>IF($C33="","",IF(VLOOKUP($C33,'Tracking List'!$A$5:$AL$883,N$3,FALSE)&gt;0,"Y",VLOOKUP($C33,'Tracking List'!$A$5:$AL$883,N$4,FALSE)))</f>
        <v>43174</v>
      </c>
      <c r="O33" s="148">
        <f>IF($C33="","",IF(VLOOKUP($C33,'Tracking List'!$A$5:$AL$883,O$3,FALSE)&gt;0,"Y",VLOOKUP($C33,'Tracking List'!$A$5:$AL$883,O$4,FALSE)))</f>
        <v>43224</v>
      </c>
      <c r="P33" s="147" t="str">
        <f>IF($C33="","",IF(VLOOKUP($C33,'Tracking List'!$A$5:$AL$883,P$4,FALSE)&gt;0,"Y",""))</f>
        <v>Y</v>
      </c>
      <c r="Q33" s="149"/>
      <c r="R33" s="150">
        <f>IF($C33="","",VLOOKUP($C33,'Tracking List'!$A$5:$AL$883,R$4,FALSE))</f>
        <v>0</v>
      </c>
    </row>
    <row r="34" spans="3:18">
      <c r="C34" s="146" t="s">
        <v>83</v>
      </c>
      <c r="D34" s="147" t="str">
        <f>IF($C34="","",VLOOKUP($C34,'Tracking List'!$A$5:$AL$883,D$4,FALSE))</f>
        <v>BIW</v>
      </c>
      <c r="E34" s="147" t="str">
        <f>IF($C34="","",VLOOKUP($C34,'Tracking List'!$A$5:$AL$883,E$4,FALSE))</f>
        <v>B012-3</v>
      </c>
      <c r="F34" s="147" t="str">
        <f>IF($C34="","",VLOOKUP($C34,'Tracking List'!$A$5:$AL$883,F$4,FALSE))</f>
        <v>外购大中冲焊件-沿用杭州至信</v>
      </c>
      <c r="G34" s="147" t="str">
        <f>IF($C34="","",VLOOKUP($C34,'Tracking List'!$A$5:$AL$883,G$4,FALSE))</f>
        <v>气囊安装支架总成</v>
      </c>
      <c r="H34" s="147" t="str">
        <f>IF($C34="","",VLOOKUP($C34,'Tracking List'!$A$5:$AL$883,H$4,FALSE))</f>
        <v xml:space="preserve">K2GB </v>
      </c>
      <c r="I34" s="147" t="str">
        <f>IF($C34="","",VLOOKUP($C34,'Tracking List'!$A$5:$AL$883,I$4,FALSE))</f>
        <v>14B406</v>
      </c>
      <c r="J34" s="147" t="str">
        <f>IF($C34="","",VLOOKUP($C34,'Tracking List'!$A$5:$AL$883,J$4,FALSE))</f>
        <v>AA</v>
      </c>
      <c r="K34" s="147" t="str">
        <f>IF($C34="","",VLOOKUP($C34,'Tracking List'!$A$5:$AL$883,K$4,FALSE))</f>
        <v>Y</v>
      </c>
      <c r="L34" s="168">
        <f>IF($C34="","",VLOOKUP($C34,'Tracking List'!$A$5:$AL$883,L$4,FALSE))</f>
        <v>6</v>
      </c>
      <c r="M34" s="147" t="str">
        <f>IF($C34="","",VLOOKUP($C34,'Tracking List'!$A$5:$AL$883,M$4,FALSE))</f>
        <v>jiang Daihong</v>
      </c>
      <c r="N34" s="148">
        <f>IF($C34="","",IF(VLOOKUP($C34,'Tracking List'!$A$5:$AL$883,N$3,FALSE)&gt;0,"Y",VLOOKUP($C34,'Tracking List'!$A$5:$AL$883,N$4,FALSE)))</f>
        <v>43174</v>
      </c>
      <c r="O34" s="148">
        <f>IF($C34="","",IF(VLOOKUP($C34,'Tracking List'!$A$5:$AL$883,O$3,FALSE)&gt;0,"Y",VLOOKUP($C34,'Tracking List'!$A$5:$AL$883,O$4,FALSE)))</f>
        <v>43224</v>
      </c>
      <c r="P34" s="147" t="str">
        <f>IF($C34="","",IF(VLOOKUP($C34,'Tracking List'!$A$5:$AL$883,P$4,FALSE)&gt;0,"Y",""))</f>
        <v>Y</v>
      </c>
      <c r="Q34" s="149"/>
      <c r="R34" s="150">
        <f>IF($C34="","",VLOOKUP($C34,'Tracking List'!$A$5:$AL$883,R$4,FALSE))</f>
        <v>0</v>
      </c>
    </row>
    <row r="35" spans="3:18">
      <c r="C35" s="146" t="s">
        <v>84</v>
      </c>
      <c r="D35" s="147" t="str">
        <f>IF($C35="","",VLOOKUP($C35,'Tracking List'!$A$5:$AL$883,D$4,FALSE))</f>
        <v>BIW</v>
      </c>
      <c r="E35" s="147" t="str">
        <f>IF($C35="","",VLOOKUP($C35,'Tracking List'!$A$5:$AL$883,E$4,FALSE))</f>
        <v>B012-1</v>
      </c>
      <c r="F35" s="147" t="str">
        <f>IF($C35="","",VLOOKUP($C35,'Tracking List'!$A$5:$AL$883,F$4,FALSE))</f>
        <v>外购大中冲焊件-沿用杭州宝伟</v>
      </c>
      <c r="G35" s="147" t="str">
        <f>IF($C35="","",VLOOKUP($C35,'Tracking List'!$A$5:$AL$883,G$4,FALSE))</f>
        <v>前地板加强件总成</v>
      </c>
      <c r="H35" s="147" t="str">
        <f>IF($C35="","",VLOOKUP($C35,'Tracking List'!$A$5:$AL$883,H$4,FALSE))</f>
        <v>K2GB</v>
      </c>
      <c r="I35" s="147" t="str">
        <f>IF($C35="","",VLOOKUP($C35,'Tracking List'!$A$5:$AL$883,I$4,FALSE))</f>
        <v>R101W22</v>
      </c>
      <c r="J35" s="147" t="str">
        <f>IF($C35="","",VLOOKUP($C35,'Tracking List'!$A$5:$AL$883,J$4,FALSE))</f>
        <v>CA</v>
      </c>
      <c r="K35" s="147" t="str">
        <f>IF($C35="","",VLOOKUP($C35,'Tracking List'!$A$5:$AL$883,K$4,FALSE))</f>
        <v>Y</v>
      </c>
      <c r="L35" s="168">
        <f>IF($C35="","",VLOOKUP($C35,'Tracking List'!$A$5:$AL$883,L$4,FALSE))</f>
        <v>6</v>
      </c>
      <c r="M35" s="147" t="str">
        <f>IF($C35="","",VLOOKUP($C35,'Tracking List'!$A$5:$AL$883,M$4,FALSE))</f>
        <v>jiang Daihong</v>
      </c>
      <c r="N35" s="148">
        <f>IF($C35="","",IF(VLOOKUP($C35,'Tracking List'!$A$5:$AL$883,N$3,FALSE)&gt;0,"Y",VLOOKUP($C35,'Tracking List'!$A$5:$AL$883,N$4,FALSE)))</f>
        <v>43174</v>
      </c>
      <c r="O35" s="148">
        <f>IF($C35="","",IF(VLOOKUP($C35,'Tracking List'!$A$5:$AL$883,O$3,FALSE)&gt;0,"Y",VLOOKUP($C35,'Tracking List'!$A$5:$AL$883,O$4,FALSE)))</f>
        <v>43224</v>
      </c>
      <c r="P35" s="147" t="str">
        <f>IF($C35="","",IF(VLOOKUP($C35,'Tracking List'!$A$5:$AL$883,P$4,FALSE)&gt;0,"Y",""))</f>
        <v>Y</v>
      </c>
      <c r="Q35" s="149"/>
      <c r="R35" s="150">
        <f>IF($C35="","",VLOOKUP($C35,'Tracking List'!$A$5:$AL$883,R$4,FALSE))</f>
        <v>0</v>
      </c>
    </row>
    <row r="36" spans="3:18">
      <c r="C36" s="146" t="s">
        <v>89</v>
      </c>
      <c r="D36" s="147" t="str">
        <f>IF($C36="","",VLOOKUP($C36,'Tracking List'!$A$5:$AL$883,D$4,FALSE))</f>
        <v>BIW</v>
      </c>
      <c r="E36" s="147" t="str">
        <f>IF($C36="","",VLOOKUP($C36,'Tracking List'!$A$5:$AL$883,E$4,FALSE))</f>
        <v>B130-1</v>
      </c>
      <c r="F36" s="147" t="str">
        <f>IF($C36="","",VLOOKUP($C36,'Tracking List'!$A$5:$AL$883,F$4,FALSE))</f>
        <v>金属支架和小冲压件</v>
      </c>
      <c r="G36" s="147" t="str">
        <f>IF($C36="","",VLOOKUP($C36,'Tracking List'!$A$5:$AL$883,G$4,FALSE))</f>
        <v>前地板传动轴支架总成（左）</v>
      </c>
      <c r="H36" s="147" t="str">
        <f>IF($C36="","",VLOOKUP($C36,'Tracking List'!$A$5:$AL$883,H$4,FALSE))</f>
        <v>E1GB</v>
      </c>
      <c r="I36" s="147" t="str">
        <f>IF($C36="","",VLOOKUP($C36,'Tracking List'!$A$5:$AL$883,I$4,FALSE))</f>
        <v>4K237</v>
      </c>
      <c r="J36" s="147" t="str">
        <f>IF($C36="","",VLOOKUP($C36,'Tracking List'!$A$5:$AL$883,J$4,FALSE))</f>
        <v>AA</v>
      </c>
      <c r="K36" s="147" t="str">
        <f>IF($C36="","",VLOOKUP($C36,'Tracking List'!$A$5:$AL$883,K$4,FALSE))</f>
        <v>Y</v>
      </c>
      <c r="L36" s="168">
        <f>IF($C36="","",VLOOKUP($C36,'Tracking List'!$A$5:$AL$883,L$4,FALSE))</f>
        <v>6</v>
      </c>
      <c r="M36" s="147" t="str">
        <f>IF($C36="","",VLOOKUP($C36,'Tracking List'!$A$5:$AL$883,M$4,FALSE))</f>
        <v>jiang Daihong</v>
      </c>
      <c r="N36" s="148">
        <f>IF($C36="","",IF(VLOOKUP($C36,'Tracking List'!$A$5:$AL$883,N$3,FALSE)&gt;0,"Y",VLOOKUP($C36,'Tracking List'!$A$5:$AL$883,N$4,FALSE)))</f>
        <v>43174</v>
      </c>
      <c r="O36" s="148">
        <f>IF($C36="","",IF(VLOOKUP($C36,'Tracking List'!$A$5:$AL$883,O$3,FALSE)&gt;0,"Y",VLOOKUP($C36,'Tracking List'!$A$5:$AL$883,O$4,FALSE)))</f>
        <v>43224</v>
      </c>
      <c r="P36" s="147" t="str">
        <f>IF($C36="","",IF(VLOOKUP($C36,'Tracking List'!$A$5:$AL$883,P$4,FALSE)&gt;0,"Y",""))</f>
        <v>Y</v>
      </c>
      <c r="Q36" s="149"/>
      <c r="R36" s="150">
        <f>IF($C36="","",VLOOKUP($C36,'Tracking List'!$A$5:$AL$883,R$4,FALSE))</f>
        <v>0</v>
      </c>
    </row>
    <row r="37" spans="3:18">
      <c r="C37" s="146" t="s">
        <v>90</v>
      </c>
      <c r="D37" s="147" t="str">
        <f>IF($C37="","",VLOOKUP($C37,'Tracking List'!$A$5:$AL$883,D$4,FALSE))</f>
        <v>BIW</v>
      </c>
      <c r="E37" s="147" t="str">
        <f>IF($C37="","",VLOOKUP($C37,'Tracking List'!$A$5:$AL$883,E$4,FALSE))</f>
        <v>B130-1</v>
      </c>
      <c r="F37" s="147" t="str">
        <f>IF($C37="","",VLOOKUP($C37,'Tracking List'!$A$5:$AL$883,F$4,FALSE))</f>
        <v>金属支架和小冲压件</v>
      </c>
      <c r="G37" s="147" t="str">
        <f>IF($C37="","",VLOOKUP($C37,'Tracking List'!$A$5:$AL$883,G$4,FALSE))</f>
        <v>前地板传动轴支架总成（右）</v>
      </c>
      <c r="H37" s="147" t="str">
        <f>IF($C37="","",VLOOKUP($C37,'Tracking List'!$A$5:$AL$883,H$4,FALSE))</f>
        <v>E1GB</v>
      </c>
      <c r="I37" s="147" t="str">
        <f>IF($C37="","",VLOOKUP($C37,'Tracking List'!$A$5:$AL$883,I$4,FALSE))</f>
        <v>4K238</v>
      </c>
      <c r="J37" s="147" t="str">
        <f>IF($C37="","",VLOOKUP($C37,'Tracking List'!$A$5:$AL$883,J$4,FALSE))</f>
        <v>AA</v>
      </c>
      <c r="K37" s="147" t="str">
        <f>IF($C37="","",VLOOKUP($C37,'Tracking List'!$A$5:$AL$883,K$4,FALSE))</f>
        <v>Y</v>
      </c>
      <c r="L37" s="168">
        <f>IF($C37="","",VLOOKUP($C37,'Tracking List'!$A$5:$AL$883,L$4,FALSE))</f>
        <v>6</v>
      </c>
      <c r="M37" s="147" t="str">
        <f>IF($C37="","",VLOOKUP($C37,'Tracking List'!$A$5:$AL$883,M$4,FALSE))</f>
        <v>jiang Daihong</v>
      </c>
      <c r="N37" s="148">
        <f>IF($C37="","",IF(VLOOKUP($C37,'Tracking List'!$A$5:$AL$883,N$3,FALSE)&gt;0,"Y",VLOOKUP($C37,'Tracking List'!$A$5:$AL$883,N$4,FALSE)))</f>
        <v>43174</v>
      </c>
      <c r="O37" s="148">
        <f>IF($C37="","",IF(VLOOKUP($C37,'Tracking List'!$A$5:$AL$883,O$3,FALSE)&gt;0,"Y",VLOOKUP($C37,'Tracking List'!$A$5:$AL$883,O$4,FALSE)))</f>
        <v>43224</v>
      </c>
      <c r="P37" s="147" t="str">
        <f>IF($C37="","",IF(VLOOKUP($C37,'Tracking List'!$A$5:$AL$883,P$4,FALSE)&gt;0,"Y",""))</f>
        <v>Y</v>
      </c>
      <c r="Q37" s="149"/>
      <c r="R37" s="150">
        <f>IF($C37="","",VLOOKUP($C37,'Tracking List'!$A$5:$AL$883,R$4,FALSE))</f>
        <v>0</v>
      </c>
    </row>
    <row r="38" spans="3:18">
      <c r="C38" s="146" t="s">
        <v>91</v>
      </c>
      <c r="D38" s="147" t="str">
        <f>IF($C38="","",VLOOKUP($C38,'Tracking List'!$A$5:$AL$883,D$4,FALSE))</f>
        <v>BIW</v>
      </c>
      <c r="E38" s="147" t="str">
        <f>IF($C38="","",VLOOKUP($C38,'Tracking List'!$A$5:$AL$883,E$4,FALSE))</f>
        <v>B130-1</v>
      </c>
      <c r="F38" s="147" t="str">
        <f>IF($C38="","",VLOOKUP($C38,'Tracking List'!$A$5:$AL$883,F$4,FALSE))</f>
        <v>金属支架和小冲压件</v>
      </c>
      <c r="G38" s="147" t="str">
        <f>IF($C38="","",VLOOKUP($C38,'Tracking List'!$A$5:$AL$883,G$4,FALSE))</f>
        <v>RCM安装支架</v>
      </c>
      <c r="H38" s="147" t="str">
        <f>IF($C38="","",VLOOKUP($C38,'Tracking List'!$A$5:$AL$883,H$4,FALSE))</f>
        <v>K2GB</v>
      </c>
      <c r="I38" s="147" t="str">
        <f>IF($C38="","",VLOOKUP($C38,'Tracking List'!$A$5:$AL$883,I$4,FALSE))</f>
        <v>14B058</v>
      </c>
      <c r="J38" s="147" t="str">
        <f>IF($C38="","",VLOOKUP($C38,'Tracking List'!$A$5:$AL$883,J$4,FALSE))</f>
        <v>AA</v>
      </c>
      <c r="K38" s="147" t="str">
        <f>IF($C38="","",VLOOKUP($C38,'Tracking List'!$A$5:$AL$883,K$4,FALSE))</f>
        <v>Y</v>
      </c>
      <c r="L38" s="168">
        <f>IF($C38="","",VLOOKUP($C38,'Tracking List'!$A$5:$AL$883,L$4,FALSE))</f>
        <v>6</v>
      </c>
      <c r="M38" s="147" t="str">
        <f>IF($C38="","",VLOOKUP($C38,'Tracking List'!$A$5:$AL$883,M$4,FALSE))</f>
        <v>jiang Daihong</v>
      </c>
      <c r="N38" s="148">
        <f>IF($C38="","",IF(VLOOKUP($C38,'Tracking List'!$A$5:$AL$883,N$3,FALSE)&gt;0,"Y",VLOOKUP($C38,'Tracking List'!$A$5:$AL$883,N$4,FALSE)))</f>
        <v>43174</v>
      </c>
      <c r="O38" s="148">
        <f>IF($C38="","",IF(VLOOKUP($C38,'Tracking List'!$A$5:$AL$883,O$3,FALSE)&gt;0,"Y",VLOOKUP($C38,'Tracking List'!$A$5:$AL$883,O$4,FALSE)))</f>
        <v>43224</v>
      </c>
      <c r="P38" s="147" t="str">
        <f>IF($C38="","",IF(VLOOKUP($C38,'Tracking List'!$A$5:$AL$883,P$4,FALSE)&gt;0,"Y",""))</f>
        <v>Y</v>
      </c>
      <c r="Q38" s="149"/>
      <c r="R38" s="150">
        <f>IF($C38="","",VLOOKUP($C38,'Tracking List'!$A$5:$AL$883,R$4,FALSE))</f>
        <v>0</v>
      </c>
    </row>
    <row r="39" spans="3:18">
      <c r="C39" s="146"/>
      <c r="D39" s="147" t="str">
        <f>IF($C39="","",VLOOKUP($C39,'Tracking List'!$A$5:$AL$883,D$4,FALSE))</f>
        <v/>
      </c>
      <c r="E39" s="147" t="str">
        <f>IF($C39="","",VLOOKUP($C39,'Tracking List'!$A$5:$AL$883,E$4,FALSE))</f>
        <v/>
      </c>
      <c r="F39" s="147" t="str">
        <f>IF($C39="","",VLOOKUP($C39,'Tracking List'!$A$5:$AL$883,F$4,FALSE))</f>
        <v/>
      </c>
      <c r="G39" s="147" t="str">
        <f>IF($C39="","",VLOOKUP($C39,'Tracking List'!$A$5:$AL$883,G$4,FALSE))</f>
        <v/>
      </c>
      <c r="H39" s="147" t="str">
        <f>IF($C39="","",VLOOKUP($C39,'Tracking List'!$A$5:$AL$883,H$4,FALSE))</f>
        <v/>
      </c>
      <c r="I39" s="147" t="str">
        <f>IF($C39="","",VLOOKUP($C39,'Tracking List'!$A$5:$AL$883,I$4,FALSE))</f>
        <v/>
      </c>
      <c r="J39" s="147" t="str">
        <f>IF($C39="","",VLOOKUP($C39,'Tracking List'!$A$5:$AL$883,J$4,FALSE))</f>
        <v/>
      </c>
      <c r="K39" s="147" t="str">
        <f>IF($C39="","",VLOOKUP($C39,'Tracking List'!$A$5:$AL$883,K$4,FALSE))</f>
        <v/>
      </c>
      <c r="L39" s="168" t="str">
        <f>IF($C39="","",VLOOKUP($C39,'Tracking List'!$A$5:$AL$883,L$4,FALSE))</f>
        <v/>
      </c>
      <c r="M39" s="147" t="str">
        <f>IF($C39="","",VLOOKUP($C39,'Tracking List'!$A$5:$AL$883,M$4,FALSE))</f>
        <v/>
      </c>
      <c r="N39" s="148" t="str">
        <f>IF($C39="","",IF(VLOOKUP($C39,'Tracking List'!$A$5:$AL$883,N$3,FALSE)&gt;0,"Y",VLOOKUP($C39,'Tracking List'!$A$5:$AL$883,N$4,FALSE)))</f>
        <v/>
      </c>
      <c r="O39" s="148" t="str">
        <f>IF($C39="","",IF(VLOOKUP($C39,'Tracking List'!$A$5:$AL$883,O$3,FALSE)&gt;0,"Y",VLOOKUP($C39,'Tracking List'!$A$5:$AL$883,O$4,FALSE)))</f>
        <v/>
      </c>
      <c r="P39" s="147" t="str">
        <f>IF($C39="","",IF(VLOOKUP($C39,'Tracking List'!$A$5:$AL$883,P$4,FALSE)&gt;0,"Y",""))</f>
        <v/>
      </c>
      <c r="Q39" s="149"/>
      <c r="R39" s="150" t="str">
        <f>IF($C39="","",VLOOKUP($C39,'Tracking List'!$A$5:$AL$883,R$4,FALSE))</f>
        <v/>
      </c>
    </row>
    <row r="40" spans="3:18">
      <c r="C40" s="146"/>
      <c r="D40" s="147" t="str">
        <f>IF($C40="","",VLOOKUP($C40,'Tracking List'!$A$5:$AL$883,D$4,FALSE))</f>
        <v/>
      </c>
      <c r="E40" s="147" t="str">
        <f>IF($C40="","",VLOOKUP($C40,'Tracking List'!$A$5:$AL$883,E$4,FALSE))</f>
        <v/>
      </c>
      <c r="F40" s="147" t="str">
        <f>IF($C40="","",VLOOKUP($C40,'Tracking List'!$A$5:$AL$883,F$4,FALSE))</f>
        <v/>
      </c>
      <c r="G40" s="147" t="str">
        <f>IF($C40="","",VLOOKUP($C40,'Tracking List'!$A$5:$AL$883,G$4,FALSE))</f>
        <v/>
      </c>
      <c r="H40" s="147" t="str">
        <f>IF($C40="","",VLOOKUP($C40,'Tracking List'!$A$5:$AL$883,H$4,FALSE))</f>
        <v/>
      </c>
      <c r="I40" s="147" t="str">
        <f>IF($C40="","",VLOOKUP($C40,'Tracking List'!$A$5:$AL$883,I$4,FALSE))</f>
        <v/>
      </c>
      <c r="J40" s="147" t="str">
        <f>IF($C40="","",VLOOKUP($C40,'Tracking List'!$A$5:$AL$883,J$4,FALSE))</f>
        <v/>
      </c>
      <c r="K40" s="147" t="str">
        <f>IF($C40="","",VLOOKUP($C40,'Tracking List'!$A$5:$AL$883,K$4,FALSE))</f>
        <v/>
      </c>
      <c r="L40" s="168" t="str">
        <f>IF($C40="","",VLOOKUP($C40,'Tracking List'!$A$5:$AL$883,L$4,FALSE))</f>
        <v/>
      </c>
      <c r="M40" s="147" t="str">
        <f>IF($C40="","",VLOOKUP($C40,'Tracking List'!$A$5:$AL$883,M$4,FALSE))</f>
        <v/>
      </c>
      <c r="N40" s="148" t="str">
        <f>IF($C40="","",IF(VLOOKUP($C40,'Tracking List'!$A$5:$AL$883,N$3,FALSE)&gt;0,"Y",VLOOKUP($C40,'Tracking List'!$A$5:$AL$883,N$4,FALSE)))</f>
        <v/>
      </c>
      <c r="O40" s="148" t="str">
        <f>IF($C40="","",IF(VLOOKUP($C40,'Tracking List'!$A$5:$AL$883,O$3,FALSE)&gt;0,"Y",VLOOKUP($C40,'Tracking List'!$A$5:$AL$883,O$4,FALSE)))</f>
        <v/>
      </c>
      <c r="P40" s="147" t="str">
        <f>IF($C40="","",IF(VLOOKUP($C40,'Tracking List'!$A$5:$AL$883,P$4,FALSE)&gt;0,"Y",""))</f>
        <v/>
      </c>
      <c r="Q40" s="149"/>
      <c r="R40" s="150" t="str">
        <f>IF($C40="","",VLOOKUP($C40,'Tracking List'!$A$5:$AL$883,R$4,FALSE))</f>
        <v/>
      </c>
    </row>
    <row r="41" spans="3:18">
      <c r="C41" s="146"/>
      <c r="D41" s="147" t="str">
        <f>IF($C41="","",VLOOKUP($C41,'Tracking List'!$A$5:$AL$883,D$4,FALSE))</f>
        <v/>
      </c>
      <c r="E41" s="147" t="str">
        <f>IF($C41="","",VLOOKUP($C41,'Tracking List'!$A$5:$AL$883,E$4,FALSE))</f>
        <v/>
      </c>
      <c r="F41" s="147" t="str">
        <f>IF($C41="","",VLOOKUP($C41,'Tracking List'!$A$5:$AL$883,F$4,FALSE))</f>
        <v/>
      </c>
      <c r="G41" s="147" t="str">
        <f>IF($C41="","",VLOOKUP($C41,'Tracking List'!$A$5:$AL$883,G$4,FALSE))</f>
        <v/>
      </c>
      <c r="H41" s="147" t="str">
        <f>IF($C41="","",VLOOKUP($C41,'Tracking List'!$A$5:$AL$883,H$4,FALSE))</f>
        <v/>
      </c>
      <c r="I41" s="147" t="str">
        <f>IF($C41="","",VLOOKUP($C41,'Tracking List'!$A$5:$AL$883,I$4,FALSE))</f>
        <v/>
      </c>
      <c r="J41" s="147" t="str">
        <f>IF($C41="","",VLOOKUP($C41,'Tracking List'!$A$5:$AL$883,J$4,FALSE))</f>
        <v/>
      </c>
      <c r="K41" s="147" t="str">
        <f>IF($C41="","",VLOOKUP($C41,'Tracking List'!$A$5:$AL$883,K$4,FALSE))</f>
        <v/>
      </c>
      <c r="L41" s="168" t="str">
        <f>IF($C41="","",VLOOKUP($C41,'Tracking List'!$A$5:$AL$883,L$4,FALSE))</f>
        <v/>
      </c>
      <c r="M41" s="147" t="str">
        <f>IF($C41="","",VLOOKUP($C41,'Tracking List'!$A$5:$AL$883,M$4,FALSE))</f>
        <v/>
      </c>
      <c r="N41" s="148" t="str">
        <f>IF($C41="","",IF(VLOOKUP($C41,'Tracking List'!$A$5:$AL$883,N$3,FALSE)&gt;0,"Y",VLOOKUP($C41,'Tracking List'!$A$5:$AL$883,N$4,FALSE)))</f>
        <v/>
      </c>
      <c r="O41" s="148" t="str">
        <f>IF($C41="","",IF(VLOOKUP($C41,'Tracking List'!$A$5:$AL$883,O$3,FALSE)&gt;0,"Y",VLOOKUP($C41,'Tracking List'!$A$5:$AL$883,O$4,FALSE)))</f>
        <v/>
      </c>
      <c r="P41" s="147" t="str">
        <f>IF($C41="","",IF(VLOOKUP($C41,'Tracking List'!$A$5:$AL$883,P$4,FALSE)&gt;0,"Y",""))</f>
        <v/>
      </c>
      <c r="Q41" s="149"/>
      <c r="R41" s="150" t="str">
        <f>IF($C41="","",VLOOKUP($C41,'Tracking List'!$A$5:$AL$883,R$4,FALSE))</f>
        <v/>
      </c>
    </row>
    <row r="42" spans="3:18">
      <c r="C42" s="146"/>
      <c r="D42" s="147" t="str">
        <f>IF($C42="","",VLOOKUP($C42,'Tracking List'!$A$5:$AL$883,D$4,FALSE))</f>
        <v/>
      </c>
      <c r="E42" s="147" t="str">
        <f>IF($C42="","",VLOOKUP($C42,'Tracking List'!$A$5:$AL$883,E$4,FALSE))</f>
        <v/>
      </c>
      <c r="F42" s="147" t="str">
        <f>IF($C42="","",VLOOKUP($C42,'Tracking List'!$A$5:$AL$883,F$4,FALSE))</f>
        <v/>
      </c>
      <c r="G42" s="147" t="str">
        <f>IF($C42="","",VLOOKUP($C42,'Tracking List'!$A$5:$AL$883,G$4,FALSE))</f>
        <v/>
      </c>
      <c r="H42" s="147" t="str">
        <f>IF($C42="","",VLOOKUP($C42,'Tracking List'!$A$5:$AL$883,H$4,FALSE))</f>
        <v/>
      </c>
      <c r="I42" s="147" t="str">
        <f>IF($C42="","",VLOOKUP($C42,'Tracking List'!$A$5:$AL$883,I$4,FALSE))</f>
        <v/>
      </c>
      <c r="J42" s="147" t="str">
        <f>IF($C42="","",VLOOKUP($C42,'Tracking List'!$A$5:$AL$883,J$4,FALSE))</f>
        <v/>
      </c>
      <c r="K42" s="147" t="str">
        <f>IF($C42="","",VLOOKUP($C42,'Tracking List'!$A$5:$AL$883,K$4,FALSE))</f>
        <v/>
      </c>
      <c r="L42" s="168" t="str">
        <f>IF($C42="","",VLOOKUP($C42,'Tracking List'!$A$5:$AL$883,L$4,FALSE))</f>
        <v/>
      </c>
      <c r="M42" s="147" t="str">
        <f>IF($C42="","",VLOOKUP($C42,'Tracking List'!$A$5:$AL$883,M$4,FALSE))</f>
        <v/>
      </c>
      <c r="N42" s="148" t="str">
        <f>IF($C42="","",IF(VLOOKUP($C42,'Tracking List'!$A$5:$AL$883,N$3,FALSE)&gt;0,"Y",VLOOKUP($C42,'Tracking List'!$A$5:$AL$883,N$4,FALSE)))</f>
        <v/>
      </c>
      <c r="O42" s="148" t="str">
        <f>IF($C42="","",IF(VLOOKUP($C42,'Tracking List'!$A$5:$AL$883,O$3,FALSE)&gt;0,"Y",VLOOKUP($C42,'Tracking List'!$A$5:$AL$883,O$4,FALSE)))</f>
        <v/>
      </c>
      <c r="P42" s="147" t="str">
        <f>IF($C42="","",IF(VLOOKUP($C42,'Tracking List'!$A$5:$AL$883,P$4,FALSE)&gt;0,"Y",""))</f>
        <v/>
      </c>
      <c r="Q42" s="149"/>
      <c r="R42" s="150" t="str">
        <f>IF($C42="","",VLOOKUP($C42,'Tracking List'!$A$5:$AL$883,R$4,FALSE))</f>
        <v/>
      </c>
    </row>
    <row r="43" spans="3:18">
      <c r="C43" s="146"/>
      <c r="D43" s="147" t="str">
        <f>IF($C43="","",VLOOKUP($C43,'Tracking List'!$A$5:$AL$883,D$4,FALSE))</f>
        <v/>
      </c>
      <c r="E43" s="147" t="str">
        <f>IF($C43="","",VLOOKUP($C43,'Tracking List'!$A$5:$AL$883,E$4,FALSE))</f>
        <v/>
      </c>
      <c r="F43" s="147" t="str">
        <f>IF($C43="","",VLOOKUP($C43,'Tracking List'!$A$5:$AL$883,F$4,FALSE))</f>
        <v/>
      </c>
      <c r="G43" s="147" t="str">
        <f>IF($C43="","",VLOOKUP($C43,'Tracking List'!$A$5:$AL$883,G$4,FALSE))</f>
        <v/>
      </c>
      <c r="H43" s="147" t="str">
        <f>IF($C43="","",VLOOKUP($C43,'Tracking List'!$A$5:$AL$883,H$4,FALSE))</f>
        <v/>
      </c>
      <c r="I43" s="147" t="str">
        <f>IF($C43="","",VLOOKUP($C43,'Tracking List'!$A$5:$AL$883,I$4,FALSE))</f>
        <v/>
      </c>
      <c r="J43" s="147" t="str">
        <f>IF($C43="","",VLOOKUP($C43,'Tracking List'!$A$5:$AL$883,J$4,FALSE))</f>
        <v/>
      </c>
      <c r="K43" s="147" t="str">
        <f>IF($C43="","",VLOOKUP($C43,'Tracking List'!$A$5:$AL$883,K$4,FALSE))</f>
        <v/>
      </c>
      <c r="L43" s="168" t="str">
        <f>IF($C43="","",VLOOKUP($C43,'Tracking List'!$A$5:$AL$883,L$4,FALSE))</f>
        <v/>
      </c>
      <c r="M43" s="147" t="str">
        <f>IF($C43="","",VLOOKUP($C43,'Tracking List'!$A$5:$AL$883,M$4,FALSE))</f>
        <v/>
      </c>
      <c r="N43" s="148" t="str">
        <f>IF($C43="","",IF(VLOOKUP($C43,'Tracking List'!$A$5:$AL$883,N$3,FALSE)&gt;0,"Y",VLOOKUP($C43,'Tracking List'!$A$5:$AL$883,N$4,FALSE)))</f>
        <v/>
      </c>
      <c r="O43" s="148" t="str">
        <f>IF($C43="","",IF(VLOOKUP($C43,'Tracking List'!$A$5:$AL$883,O$3,FALSE)&gt;0,"Y",VLOOKUP($C43,'Tracking List'!$A$5:$AL$883,O$4,FALSE)))</f>
        <v/>
      </c>
      <c r="P43" s="147" t="str">
        <f>IF($C43="","",IF(VLOOKUP($C43,'Tracking List'!$A$5:$AL$883,P$4,FALSE)&gt;0,"Y",""))</f>
        <v/>
      </c>
      <c r="Q43" s="149"/>
      <c r="R43" s="150" t="str">
        <f>IF($C43="","",VLOOKUP($C43,'Tracking List'!$A$5:$AL$883,R$4,FALSE))</f>
        <v/>
      </c>
    </row>
    <row r="44" spans="3:18">
      <c r="C44" s="146"/>
      <c r="D44" s="147" t="str">
        <f>IF($C44="","",VLOOKUP($C44,'Tracking List'!$A$5:$AL$883,D$4,FALSE))</f>
        <v/>
      </c>
      <c r="E44" s="147" t="str">
        <f>IF($C44="","",VLOOKUP($C44,'Tracking List'!$A$5:$AL$883,E$4,FALSE))</f>
        <v/>
      </c>
      <c r="F44" s="147" t="str">
        <f>IF($C44="","",VLOOKUP($C44,'Tracking List'!$A$5:$AL$883,F$4,FALSE))</f>
        <v/>
      </c>
      <c r="G44" s="147" t="str">
        <f>IF($C44="","",VLOOKUP($C44,'Tracking List'!$A$5:$AL$883,G$4,FALSE))</f>
        <v/>
      </c>
      <c r="H44" s="147" t="str">
        <f>IF($C44="","",VLOOKUP($C44,'Tracking List'!$A$5:$AL$883,H$4,FALSE))</f>
        <v/>
      </c>
      <c r="I44" s="147" t="str">
        <f>IF($C44="","",VLOOKUP($C44,'Tracking List'!$A$5:$AL$883,I$4,FALSE))</f>
        <v/>
      </c>
      <c r="J44" s="147" t="str">
        <f>IF($C44="","",VLOOKUP($C44,'Tracking List'!$A$5:$AL$883,J$4,FALSE))</f>
        <v/>
      </c>
      <c r="K44" s="147" t="str">
        <f>IF($C44="","",VLOOKUP($C44,'Tracking List'!$A$5:$AL$883,K$4,FALSE))</f>
        <v/>
      </c>
      <c r="L44" s="168" t="str">
        <f>IF($C44="","",VLOOKUP($C44,'Tracking List'!$A$5:$AL$883,L$4,FALSE))</f>
        <v/>
      </c>
      <c r="M44" s="147" t="str">
        <f>IF($C44="","",VLOOKUP($C44,'Tracking List'!$A$5:$AL$883,M$4,FALSE))</f>
        <v/>
      </c>
      <c r="N44" s="148" t="str">
        <f>IF($C44="","",IF(VLOOKUP($C44,'Tracking List'!$A$5:$AL$883,N$3,FALSE)&gt;0,"Y",VLOOKUP($C44,'Tracking List'!$A$5:$AL$883,N$4,FALSE)))</f>
        <v/>
      </c>
      <c r="O44" s="148" t="str">
        <f>IF($C44="","",IF(VLOOKUP($C44,'Tracking List'!$A$5:$AL$883,O$3,FALSE)&gt;0,"Y",VLOOKUP($C44,'Tracking List'!$A$5:$AL$883,O$4,FALSE)))</f>
        <v/>
      </c>
      <c r="P44" s="147" t="str">
        <f>IF($C44="","",IF(VLOOKUP($C44,'Tracking List'!$A$5:$AL$883,P$4,FALSE)&gt;0,"Y",""))</f>
        <v/>
      </c>
      <c r="Q44" s="149"/>
      <c r="R44" s="150" t="str">
        <f>IF($C44="","",VLOOKUP($C44,'Tracking List'!$A$5:$AL$883,R$4,FALSE))</f>
        <v/>
      </c>
    </row>
    <row r="45" spans="3:18">
      <c r="C45" s="146"/>
      <c r="D45" s="147" t="str">
        <f>IF($C45="","",VLOOKUP($C45,'Tracking List'!$A$5:$AL$883,D$4,FALSE))</f>
        <v/>
      </c>
      <c r="E45" s="147" t="str">
        <f>IF($C45="","",VLOOKUP($C45,'Tracking List'!$A$5:$AL$883,E$4,FALSE))</f>
        <v/>
      </c>
      <c r="F45" s="147" t="str">
        <f>IF($C45="","",VLOOKUP($C45,'Tracking List'!$A$5:$AL$883,F$4,FALSE))</f>
        <v/>
      </c>
      <c r="G45" s="147" t="str">
        <f>IF($C45="","",VLOOKUP($C45,'Tracking List'!$A$5:$AL$883,G$4,FALSE))</f>
        <v/>
      </c>
      <c r="H45" s="147" t="str">
        <f>IF($C45="","",VLOOKUP($C45,'Tracking List'!$A$5:$AL$883,H$4,FALSE))</f>
        <v/>
      </c>
      <c r="I45" s="147" t="str">
        <f>IF($C45="","",VLOOKUP($C45,'Tracking List'!$A$5:$AL$883,I$4,FALSE))</f>
        <v/>
      </c>
      <c r="J45" s="147" t="str">
        <f>IF($C45="","",VLOOKUP($C45,'Tracking List'!$A$5:$AL$883,J$4,FALSE))</f>
        <v/>
      </c>
      <c r="K45" s="147" t="str">
        <f>IF($C45="","",VLOOKUP($C45,'Tracking List'!$A$5:$AL$883,K$4,FALSE))</f>
        <v/>
      </c>
      <c r="L45" s="168" t="str">
        <f>IF($C45="","",VLOOKUP($C45,'Tracking List'!$A$5:$AL$883,L$4,FALSE))</f>
        <v/>
      </c>
      <c r="M45" s="147" t="str">
        <f>IF($C45="","",VLOOKUP($C45,'Tracking List'!$A$5:$AL$883,M$4,FALSE))</f>
        <v/>
      </c>
      <c r="N45" s="148" t="str">
        <f>IF($C45="","",IF(VLOOKUP($C45,'Tracking List'!$A$5:$AL$883,N$3,FALSE)&gt;0,"Y",VLOOKUP($C45,'Tracking List'!$A$5:$AL$883,N$4,FALSE)))</f>
        <v/>
      </c>
      <c r="O45" s="148" t="str">
        <f>IF($C45="","",IF(VLOOKUP($C45,'Tracking List'!$A$5:$AL$883,O$3,FALSE)&gt;0,"Y",VLOOKUP($C45,'Tracking List'!$A$5:$AL$883,O$4,FALSE)))</f>
        <v/>
      </c>
      <c r="P45" s="147" t="str">
        <f>IF($C45="","",IF(VLOOKUP($C45,'Tracking List'!$A$5:$AL$883,P$4,FALSE)&gt;0,"Y",""))</f>
        <v/>
      </c>
      <c r="Q45" s="149"/>
      <c r="R45" s="150" t="str">
        <f>IF($C45="","",VLOOKUP($C45,'Tracking List'!$A$5:$AL$883,R$4,FALSE))</f>
        <v/>
      </c>
    </row>
    <row r="46" spans="3:18">
      <c r="C46" s="146"/>
      <c r="D46" s="147" t="str">
        <f>IF($C46="","",VLOOKUP($C46,'Tracking List'!$A$5:$AL$883,D$4,FALSE))</f>
        <v/>
      </c>
      <c r="E46" s="147" t="str">
        <f>IF($C46="","",VLOOKUP($C46,'Tracking List'!$A$5:$AL$883,E$4,FALSE))</f>
        <v/>
      </c>
      <c r="F46" s="147" t="str">
        <f>IF($C46="","",VLOOKUP($C46,'Tracking List'!$A$5:$AL$883,F$4,FALSE))</f>
        <v/>
      </c>
      <c r="G46" s="147" t="str">
        <f>IF($C46="","",VLOOKUP($C46,'Tracking List'!$A$5:$AL$883,G$4,FALSE))</f>
        <v/>
      </c>
      <c r="H46" s="147" t="str">
        <f>IF($C46="","",VLOOKUP($C46,'Tracking List'!$A$5:$AL$883,H$4,FALSE))</f>
        <v/>
      </c>
      <c r="I46" s="147" t="str">
        <f>IF($C46="","",VLOOKUP($C46,'Tracking List'!$A$5:$AL$883,I$4,FALSE))</f>
        <v/>
      </c>
      <c r="J46" s="147" t="str">
        <f>IF($C46="","",VLOOKUP($C46,'Tracking List'!$A$5:$AL$883,J$4,FALSE))</f>
        <v/>
      </c>
      <c r="K46" s="147" t="str">
        <f>IF($C46="","",VLOOKUP($C46,'Tracking List'!$A$5:$AL$883,K$4,FALSE))</f>
        <v/>
      </c>
      <c r="L46" s="168" t="str">
        <f>IF($C46="","",VLOOKUP($C46,'Tracking List'!$A$5:$AL$883,L$4,FALSE))</f>
        <v/>
      </c>
      <c r="M46" s="147" t="str">
        <f>IF($C46="","",VLOOKUP($C46,'Tracking List'!$A$5:$AL$883,M$4,FALSE))</f>
        <v/>
      </c>
      <c r="N46" s="148" t="str">
        <f>IF($C46="","",IF(VLOOKUP($C46,'Tracking List'!$A$5:$AL$883,N$3,FALSE)&gt;0,"Y",VLOOKUP($C46,'Tracking List'!$A$5:$AL$883,N$4,FALSE)))</f>
        <v/>
      </c>
      <c r="O46" s="148" t="str">
        <f>IF($C46="","",IF(VLOOKUP($C46,'Tracking List'!$A$5:$AL$883,O$3,FALSE)&gt;0,"Y",VLOOKUP($C46,'Tracking List'!$A$5:$AL$883,O$4,FALSE)))</f>
        <v/>
      </c>
      <c r="P46" s="147" t="str">
        <f>IF($C46="","",IF(VLOOKUP($C46,'Tracking List'!$A$5:$AL$883,P$4,FALSE)&gt;0,"Y",""))</f>
        <v/>
      </c>
      <c r="Q46" s="149"/>
      <c r="R46" s="150" t="str">
        <f>IF($C46="","",VLOOKUP($C46,'Tracking List'!$A$5:$AL$883,R$4,FALSE))</f>
        <v/>
      </c>
    </row>
    <row r="47" spans="3:18">
      <c r="C47" s="146"/>
      <c r="D47" s="147" t="str">
        <f>IF($C47="","",VLOOKUP($C47,'Tracking List'!$A$5:$AL$883,D$4,FALSE))</f>
        <v/>
      </c>
      <c r="E47" s="147" t="str">
        <f>IF($C47="","",VLOOKUP($C47,'Tracking List'!$A$5:$AL$883,E$4,FALSE))</f>
        <v/>
      </c>
      <c r="F47" s="147" t="str">
        <f>IF($C47="","",VLOOKUP($C47,'Tracking List'!$A$5:$AL$883,F$4,FALSE))</f>
        <v/>
      </c>
      <c r="G47" s="147" t="str">
        <f>IF($C47="","",VLOOKUP($C47,'Tracking List'!$A$5:$AL$883,G$4,FALSE))</f>
        <v/>
      </c>
      <c r="H47" s="147" t="str">
        <f>IF($C47="","",VLOOKUP($C47,'Tracking List'!$A$5:$AL$883,H$4,FALSE))</f>
        <v/>
      </c>
      <c r="I47" s="147" t="str">
        <f>IF($C47="","",VLOOKUP($C47,'Tracking List'!$A$5:$AL$883,I$4,FALSE))</f>
        <v/>
      </c>
      <c r="J47" s="147" t="str">
        <f>IF($C47="","",VLOOKUP($C47,'Tracking List'!$A$5:$AL$883,J$4,FALSE))</f>
        <v/>
      </c>
      <c r="K47" s="147" t="str">
        <f>IF($C47="","",VLOOKUP($C47,'Tracking List'!$A$5:$AL$883,K$4,FALSE))</f>
        <v/>
      </c>
      <c r="L47" s="168" t="str">
        <f>IF($C47="","",VLOOKUP($C47,'Tracking List'!$A$5:$AL$883,L$4,FALSE))</f>
        <v/>
      </c>
      <c r="M47" s="147" t="str">
        <f>IF($C47="","",VLOOKUP($C47,'Tracking List'!$A$5:$AL$883,M$4,FALSE))</f>
        <v/>
      </c>
      <c r="N47" s="148" t="str">
        <f>IF($C47="","",IF(VLOOKUP($C47,'Tracking List'!$A$5:$AL$883,N$3,FALSE)&gt;0,"Y",VLOOKUP($C47,'Tracking List'!$A$5:$AL$883,N$4,FALSE)))</f>
        <v/>
      </c>
      <c r="O47" s="148" t="str">
        <f>IF($C47="","",IF(VLOOKUP($C47,'Tracking List'!$A$5:$AL$883,O$3,FALSE)&gt;0,"Y",VLOOKUP($C47,'Tracking List'!$A$5:$AL$883,O$4,FALSE)))</f>
        <v/>
      </c>
      <c r="P47" s="147" t="str">
        <f>IF($C47="","",IF(VLOOKUP($C47,'Tracking List'!$A$5:$AL$883,P$4,FALSE)&gt;0,"Y",""))</f>
        <v/>
      </c>
      <c r="Q47" s="149"/>
      <c r="R47" s="150" t="str">
        <f>IF($C47="","",VLOOKUP($C47,'Tracking List'!$A$5:$AL$883,R$4,FALSE))</f>
        <v/>
      </c>
    </row>
    <row r="48" spans="3:18">
      <c r="C48" s="146"/>
      <c r="D48" s="147" t="str">
        <f>IF($C48="","",VLOOKUP($C48,'Tracking List'!$A$5:$AL$883,D$4,FALSE))</f>
        <v/>
      </c>
      <c r="E48" s="147" t="str">
        <f>IF($C48="","",VLOOKUP($C48,'Tracking List'!$A$5:$AL$883,E$4,FALSE))</f>
        <v/>
      </c>
      <c r="F48" s="147" t="str">
        <f>IF($C48="","",VLOOKUP($C48,'Tracking List'!$A$5:$AL$883,F$4,FALSE))</f>
        <v/>
      </c>
      <c r="G48" s="147" t="str">
        <f>IF($C48="","",VLOOKUP($C48,'Tracking List'!$A$5:$AL$883,G$4,FALSE))</f>
        <v/>
      </c>
      <c r="H48" s="147" t="str">
        <f>IF($C48="","",VLOOKUP($C48,'Tracking List'!$A$5:$AL$883,H$4,FALSE))</f>
        <v/>
      </c>
      <c r="I48" s="147" t="str">
        <f>IF($C48="","",VLOOKUP($C48,'Tracking List'!$A$5:$AL$883,I$4,FALSE))</f>
        <v/>
      </c>
      <c r="J48" s="147" t="str">
        <f>IF($C48="","",VLOOKUP($C48,'Tracking List'!$A$5:$AL$883,J$4,FALSE))</f>
        <v/>
      </c>
      <c r="K48" s="147" t="str">
        <f>IF($C48="","",VLOOKUP($C48,'Tracking List'!$A$5:$AL$883,K$4,FALSE))</f>
        <v/>
      </c>
      <c r="L48" s="168" t="str">
        <f>IF($C48="","",VLOOKUP($C48,'Tracking List'!$A$5:$AL$883,L$4,FALSE))</f>
        <v/>
      </c>
      <c r="M48" s="147" t="str">
        <f>IF($C48="","",VLOOKUP($C48,'Tracking List'!$A$5:$AL$883,M$4,FALSE))</f>
        <v/>
      </c>
      <c r="N48" s="148" t="str">
        <f>IF($C48="","",IF(VLOOKUP($C48,'Tracking List'!$A$5:$AL$883,N$3,FALSE)&gt;0,"Y",VLOOKUP($C48,'Tracking List'!$A$5:$AL$883,N$4,FALSE)))</f>
        <v/>
      </c>
      <c r="O48" s="148" t="str">
        <f>IF($C48="","",IF(VLOOKUP($C48,'Tracking List'!$A$5:$AL$883,O$3,FALSE)&gt;0,"Y",VLOOKUP($C48,'Tracking List'!$A$5:$AL$883,O$4,FALSE)))</f>
        <v/>
      </c>
      <c r="P48" s="147" t="str">
        <f>IF($C48="","",IF(VLOOKUP($C48,'Tracking List'!$A$5:$AL$883,P$4,FALSE)&gt;0,"Y",""))</f>
        <v/>
      </c>
      <c r="Q48" s="149"/>
      <c r="R48" s="150" t="str">
        <f>IF($C48="","",VLOOKUP($C48,'Tracking List'!$A$5:$AL$883,R$4,FALSE))</f>
        <v/>
      </c>
    </row>
    <row r="49" spans="3:18">
      <c r="C49" s="146"/>
      <c r="D49" s="147" t="str">
        <f>IF($C49="","",VLOOKUP($C49,'Tracking List'!$A$5:$AL$883,D$4,FALSE))</f>
        <v/>
      </c>
      <c r="E49" s="147" t="str">
        <f>IF($C49="","",VLOOKUP($C49,'Tracking List'!$A$5:$AL$883,E$4,FALSE))</f>
        <v/>
      </c>
      <c r="F49" s="147" t="str">
        <f>IF($C49="","",VLOOKUP($C49,'Tracking List'!$A$5:$AL$883,F$4,FALSE))</f>
        <v/>
      </c>
      <c r="G49" s="147" t="str">
        <f>IF($C49="","",VLOOKUP($C49,'Tracking List'!$A$5:$AL$883,G$4,FALSE))</f>
        <v/>
      </c>
      <c r="H49" s="147" t="str">
        <f>IF($C49="","",VLOOKUP($C49,'Tracking List'!$A$5:$AL$883,H$4,FALSE))</f>
        <v/>
      </c>
      <c r="I49" s="147" t="str">
        <f>IF($C49="","",VLOOKUP($C49,'Tracking List'!$A$5:$AL$883,I$4,FALSE))</f>
        <v/>
      </c>
      <c r="J49" s="147" t="str">
        <f>IF($C49="","",VLOOKUP($C49,'Tracking List'!$A$5:$AL$883,J$4,FALSE))</f>
        <v/>
      </c>
      <c r="K49" s="147" t="str">
        <f>IF($C49="","",VLOOKUP($C49,'Tracking List'!$A$5:$AL$883,K$4,FALSE))</f>
        <v/>
      </c>
      <c r="L49" s="168" t="str">
        <f>IF($C49="","",VLOOKUP($C49,'Tracking List'!$A$5:$AL$883,L$4,FALSE))</f>
        <v/>
      </c>
      <c r="M49" s="147" t="str">
        <f>IF($C49="","",VLOOKUP($C49,'Tracking List'!$A$5:$AL$883,M$4,FALSE))</f>
        <v/>
      </c>
      <c r="N49" s="148" t="str">
        <f>IF($C49="","",IF(VLOOKUP($C49,'Tracking List'!$A$5:$AL$883,N$3,FALSE)&gt;0,"Y",VLOOKUP($C49,'Tracking List'!$A$5:$AL$883,N$4,FALSE)))</f>
        <v/>
      </c>
      <c r="O49" s="148" t="str">
        <f>IF($C49="","",IF(VLOOKUP($C49,'Tracking List'!$A$5:$AL$883,O$3,FALSE)&gt;0,"Y",VLOOKUP($C49,'Tracking List'!$A$5:$AL$883,O$4,FALSE)))</f>
        <v/>
      </c>
      <c r="P49" s="147" t="str">
        <f>IF($C49="","",IF(VLOOKUP($C49,'Tracking List'!$A$5:$AL$883,P$4,FALSE)&gt;0,"Y",""))</f>
        <v/>
      </c>
      <c r="Q49" s="149"/>
      <c r="R49" s="150" t="str">
        <f>IF($C49="","",VLOOKUP($C49,'Tracking List'!$A$5:$AL$883,R$4,FALSE))</f>
        <v/>
      </c>
    </row>
    <row r="50" spans="3:18">
      <c r="C50" s="146"/>
      <c r="D50" s="147" t="str">
        <f>IF($C50="","",VLOOKUP($C50,'Tracking List'!$A$5:$AL$883,D$4,FALSE))</f>
        <v/>
      </c>
      <c r="E50" s="147" t="str">
        <f>IF($C50="","",VLOOKUP($C50,'Tracking List'!$A$5:$AL$883,E$4,FALSE))</f>
        <v/>
      </c>
      <c r="F50" s="147" t="str">
        <f>IF($C50="","",VLOOKUP($C50,'Tracking List'!$A$5:$AL$883,F$4,FALSE))</f>
        <v/>
      </c>
      <c r="G50" s="147" t="str">
        <f>IF($C50="","",VLOOKUP($C50,'Tracking List'!$A$5:$AL$883,G$4,FALSE))</f>
        <v/>
      </c>
      <c r="H50" s="147" t="str">
        <f>IF($C50="","",VLOOKUP($C50,'Tracking List'!$A$5:$AL$883,H$4,FALSE))</f>
        <v/>
      </c>
      <c r="I50" s="147" t="str">
        <f>IF($C50="","",VLOOKUP($C50,'Tracking List'!$A$5:$AL$883,I$4,FALSE))</f>
        <v/>
      </c>
      <c r="J50" s="147" t="str">
        <f>IF($C50="","",VLOOKUP($C50,'Tracking List'!$A$5:$AL$883,J$4,FALSE))</f>
        <v/>
      </c>
      <c r="K50" s="147" t="str">
        <f>IF($C50="","",VLOOKUP($C50,'Tracking List'!$A$5:$AL$883,K$4,FALSE))</f>
        <v/>
      </c>
      <c r="L50" s="168" t="str">
        <f>IF($C50="","",VLOOKUP($C50,'Tracking List'!$A$5:$AL$883,L$4,FALSE))</f>
        <v/>
      </c>
      <c r="M50" s="147" t="str">
        <f>IF($C50="","",VLOOKUP($C50,'Tracking List'!$A$5:$AL$883,M$4,FALSE))</f>
        <v/>
      </c>
      <c r="N50" s="148" t="str">
        <f>IF($C50="","",IF(VLOOKUP($C50,'Tracking List'!$A$5:$AL$883,N$3,FALSE)&gt;0,"Y",VLOOKUP($C50,'Tracking List'!$A$5:$AL$883,N$4,FALSE)))</f>
        <v/>
      </c>
      <c r="O50" s="148" t="str">
        <f>IF($C50="","",IF(VLOOKUP($C50,'Tracking List'!$A$5:$AL$883,O$3,FALSE)&gt;0,"Y",VLOOKUP($C50,'Tracking List'!$A$5:$AL$883,O$4,FALSE)))</f>
        <v/>
      </c>
      <c r="P50" s="147" t="str">
        <f>IF($C50="","",IF(VLOOKUP($C50,'Tracking List'!$A$5:$AL$883,P$4,FALSE)&gt;0,"Y",""))</f>
        <v/>
      </c>
      <c r="Q50" s="149"/>
      <c r="R50" s="150" t="str">
        <f>IF($C50="","",VLOOKUP($C50,'Tracking List'!$A$5:$AL$883,R$4,FALSE))</f>
        <v/>
      </c>
    </row>
    <row r="51" spans="3:18">
      <c r="C51" s="146"/>
      <c r="D51" s="147" t="str">
        <f>IF($C51="","",VLOOKUP($C51,'Tracking List'!$A$5:$AL$883,D$4,FALSE))</f>
        <v/>
      </c>
      <c r="E51" s="147" t="str">
        <f>IF($C51="","",VLOOKUP($C51,'Tracking List'!$A$5:$AL$883,E$4,FALSE))</f>
        <v/>
      </c>
      <c r="F51" s="147" t="str">
        <f>IF($C51="","",VLOOKUP($C51,'Tracking List'!$A$5:$AL$883,F$4,FALSE))</f>
        <v/>
      </c>
      <c r="G51" s="147" t="str">
        <f>IF($C51="","",VLOOKUP($C51,'Tracking List'!$A$5:$AL$883,G$4,FALSE))</f>
        <v/>
      </c>
      <c r="H51" s="147" t="str">
        <f>IF($C51="","",VLOOKUP($C51,'Tracking List'!$A$5:$AL$883,H$4,FALSE))</f>
        <v/>
      </c>
      <c r="I51" s="147" t="str">
        <f>IF($C51="","",VLOOKUP($C51,'Tracking List'!$A$5:$AL$883,I$4,FALSE))</f>
        <v/>
      </c>
      <c r="J51" s="147" t="str">
        <f>IF($C51="","",VLOOKUP($C51,'Tracking List'!$A$5:$AL$883,J$4,FALSE))</f>
        <v/>
      </c>
      <c r="K51" s="147" t="str">
        <f>IF($C51="","",VLOOKUP($C51,'Tracking List'!$A$5:$AL$883,K$4,FALSE))</f>
        <v/>
      </c>
      <c r="L51" s="168" t="str">
        <f>IF($C51="","",VLOOKUP($C51,'Tracking List'!$A$5:$AL$883,L$4,FALSE))</f>
        <v/>
      </c>
      <c r="M51" s="147" t="str">
        <f>IF($C51="","",VLOOKUP($C51,'Tracking List'!$A$5:$AL$883,M$4,FALSE))</f>
        <v/>
      </c>
      <c r="N51" s="148" t="str">
        <f>IF($C51="","",IF(VLOOKUP($C51,'Tracking List'!$A$5:$AL$883,N$3,FALSE)&gt;0,"Y",VLOOKUP($C51,'Tracking List'!$A$5:$AL$883,N$4,FALSE)))</f>
        <v/>
      </c>
      <c r="O51" s="148" t="str">
        <f>IF($C51="","",IF(VLOOKUP($C51,'Tracking List'!$A$5:$AL$883,O$3,FALSE)&gt;0,"Y",VLOOKUP($C51,'Tracking List'!$A$5:$AL$883,O$4,FALSE)))</f>
        <v/>
      </c>
      <c r="P51" s="147" t="str">
        <f>IF($C51="","",IF(VLOOKUP($C51,'Tracking List'!$A$5:$AL$883,P$4,FALSE)&gt;0,"Y",""))</f>
        <v/>
      </c>
      <c r="Q51" s="149"/>
      <c r="R51" s="150" t="str">
        <f>IF($C51="","",VLOOKUP($C51,'Tracking List'!$A$5:$AL$883,R$4,FALSE))</f>
        <v/>
      </c>
    </row>
    <row r="52" spans="3:18">
      <c r="C52" s="146"/>
      <c r="D52" s="147" t="str">
        <f>IF($C52="","",VLOOKUP($C52,'Tracking List'!$A$5:$AL$883,D$4,FALSE))</f>
        <v/>
      </c>
      <c r="E52" s="147" t="str">
        <f>IF($C52="","",VLOOKUP($C52,'Tracking List'!$A$5:$AL$883,E$4,FALSE))</f>
        <v/>
      </c>
      <c r="F52" s="147" t="str">
        <f>IF($C52="","",VLOOKUP($C52,'Tracking List'!$A$5:$AL$883,F$4,FALSE))</f>
        <v/>
      </c>
      <c r="G52" s="147" t="str">
        <f>IF($C52="","",VLOOKUP($C52,'Tracking List'!$A$5:$AL$883,G$4,FALSE))</f>
        <v/>
      </c>
      <c r="H52" s="147" t="str">
        <f>IF($C52="","",VLOOKUP($C52,'Tracking List'!$A$5:$AL$883,H$4,FALSE))</f>
        <v/>
      </c>
      <c r="I52" s="147" t="str">
        <f>IF($C52="","",VLOOKUP($C52,'Tracking List'!$A$5:$AL$883,I$4,FALSE))</f>
        <v/>
      </c>
      <c r="J52" s="147" t="str">
        <f>IF($C52="","",VLOOKUP($C52,'Tracking List'!$A$5:$AL$883,J$4,FALSE))</f>
        <v/>
      </c>
      <c r="K52" s="147" t="str">
        <f>IF($C52="","",VLOOKUP($C52,'Tracking List'!$A$5:$AL$883,K$4,FALSE))</f>
        <v/>
      </c>
      <c r="L52" s="168" t="str">
        <f>IF($C52="","",VLOOKUP($C52,'Tracking List'!$A$5:$AL$883,L$4,FALSE))</f>
        <v/>
      </c>
      <c r="M52" s="147" t="str">
        <f>IF($C52="","",VLOOKUP($C52,'Tracking List'!$A$5:$AL$883,M$4,FALSE))</f>
        <v/>
      </c>
      <c r="N52" s="148" t="str">
        <f>IF($C52="","",IF(VLOOKUP($C52,'Tracking List'!$A$5:$AL$883,N$3,FALSE)&gt;0,"Y",VLOOKUP($C52,'Tracking List'!$A$5:$AL$883,N$4,FALSE)))</f>
        <v/>
      </c>
      <c r="O52" s="148" t="str">
        <f>IF($C52="","",IF(VLOOKUP($C52,'Tracking List'!$A$5:$AL$883,O$3,FALSE)&gt;0,"Y",VLOOKUP($C52,'Tracking List'!$A$5:$AL$883,O$4,FALSE)))</f>
        <v/>
      </c>
      <c r="P52" s="147" t="str">
        <f>IF($C52="","",IF(VLOOKUP($C52,'Tracking List'!$A$5:$AL$883,P$4,FALSE)&gt;0,"Y",""))</f>
        <v/>
      </c>
      <c r="Q52" s="149"/>
      <c r="R52" s="150" t="str">
        <f>IF($C52="","",VLOOKUP($C52,'Tracking List'!$A$5:$AL$883,R$4,FALSE))</f>
        <v/>
      </c>
    </row>
    <row r="53" spans="3:18">
      <c r="C53" s="146"/>
      <c r="D53" s="147" t="str">
        <f>IF($C53="","",VLOOKUP($C53,'Tracking List'!$A$5:$AL$883,D$4,FALSE))</f>
        <v/>
      </c>
      <c r="E53" s="147" t="str">
        <f>IF($C53="","",VLOOKUP($C53,'Tracking List'!$A$5:$AL$883,E$4,FALSE))</f>
        <v/>
      </c>
      <c r="F53" s="147" t="str">
        <f>IF($C53="","",VLOOKUP($C53,'Tracking List'!$A$5:$AL$883,F$4,FALSE))</f>
        <v/>
      </c>
      <c r="G53" s="147" t="str">
        <f>IF($C53="","",VLOOKUP($C53,'Tracking List'!$A$5:$AL$883,G$4,FALSE))</f>
        <v/>
      </c>
      <c r="H53" s="147" t="str">
        <f>IF($C53="","",VLOOKUP($C53,'Tracking List'!$A$5:$AL$883,H$4,FALSE))</f>
        <v/>
      </c>
      <c r="I53" s="147" t="str">
        <f>IF($C53="","",VLOOKUP($C53,'Tracking List'!$A$5:$AL$883,I$4,FALSE))</f>
        <v/>
      </c>
      <c r="J53" s="147" t="str">
        <f>IF($C53="","",VLOOKUP($C53,'Tracking List'!$A$5:$AL$883,J$4,FALSE))</f>
        <v/>
      </c>
      <c r="K53" s="147" t="str">
        <f>IF($C53="","",VLOOKUP($C53,'Tracking List'!$A$5:$AL$883,K$4,FALSE))</f>
        <v/>
      </c>
      <c r="L53" s="168" t="str">
        <f>IF($C53="","",VLOOKUP($C53,'Tracking List'!$A$5:$AL$883,L$4,FALSE))</f>
        <v/>
      </c>
      <c r="M53" s="147" t="str">
        <f>IF($C53="","",VLOOKUP($C53,'Tracking List'!$A$5:$AL$883,M$4,FALSE))</f>
        <v/>
      </c>
      <c r="N53" s="148" t="str">
        <f>IF($C53="","",IF(VLOOKUP($C53,'Tracking List'!$A$5:$AL$883,N$3,FALSE)&gt;0,"Y",VLOOKUP($C53,'Tracking List'!$A$5:$AL$883,N$4,FALSE)))</f>
        <v/>
      </c>
      <c r="O53" s="148" t="str">
        <f>IF($C53="","",IF(VLOOKUP($C53,'Tracking List'!$A$5:$AL$883,O$3,FALSE)&gt;0,"Y",VLOOKUP($C53,'Tracking List'!$A$5:$AL$883,O$4,FALSE)))</f>
        <v/>
      </c>
      <c r="P53" s="147" t="str">
        <f>IF($C53="","",IF(VLOOKUP($C53,'Tracking List'!$A$5:$AL$883,P$4,FALSE)&gt;0,"Y",""))</f>
        <v/>
      </c>
      <c r="Q53" s="149"/>
      <c r="R53" s="150" t="str">
        <f>IF($C53="","",VLOOKUP($C53,'Tracking List'!$A$5:$AL$883,R$4,FALSE))</f>
        <v/>
      </c>
    </row>
    <row r="54" spans="3:18">
      <c r="C54" s="146"/>
      <c r="D54" s="147" t="str">
        <f>IF($C54="","",VLOOKUP($C54,'Tracking List'!$A$5:$AL$883,D$4,FALSE))</f>
        <v/>
      </c>
      <c r="E54" s="147" t="str">
        <f>IF($C54="","",VLOOKUP($C54,'Tracking List'!$A$5:$AL$883,E$4,FALSE))</f>
        <v/>
      </c>
      <c r="F54" s="147" t="str">
        <f>IF($C54="","",VLOOKUP($C54,'Tracking List'!$A$5:$AL$883,F$4,FALSE))</f>
        <v/>
      </c>
      <c r="G54" s="147" t="str">
        <f>IF($C54="","",VLOOKUP($C54,'Tracking List'!$A$5:$AL$883,G$4,FALSE))</f>
        <v/>
      </c>
      <c r="H54" s="147" t="str">
        <f>IF($C54="","",VLOOKUP($C54,'Tracking List'!$A$5:$AL$883,H$4,FALSE))</f>
        <v/>
      </c>
      <c r="I54" s="147" t="str">
        <f>IF($C54="","",VLOOKUP($C54,'Tracking List'!$A$5:$AL$883,I$4,FALSE))</f>
        <v/>
      </c>
      <c r="J54" s="147" t="str">
        <f>IF($C54="","",VLOOKUP($C54,'Tracking List'!$A$5:$AL$883,J$4,FALSE))</f>
        <v/>
      </c>
      <c r="K54" s="147" t="str">
        <f>IF($C54="","",VLOOKUP($C54,'Tracking List'!$A$5:$AL$883,K$4,FALSE))</f>
        <v/>
      </c>
      <c r="L54" s="168" t="str">
        <f>IF($C54="","",VLOOKUP($C54,'Tracking List'!$A$5:$AL$883,L$4,FALSE))</f>
        <v/>
      </c>
      <c r="M54" s="147" t="str">
        <f>IF($C54="","",VLOOKUP($C54,'Tracking List'!$A$5:$AL$883,M$4,FALSE))</f>
        <v/>
      </c>
      <c r="N54" s="148" t="str">
        <f>IF($C54="","",IF(VLOOKUP($C54,'Tracking List'!$A$5:$AL$883,N$3,FALSE)&gt;0,"Y",VLOOKUP($C54,'Tracking List'!$A$5:$AL$883,N$4,FALSE)))</f>
        <v/>
      </c>
      <c r="O54" s="148" t="str">
        <f>IF($C54="","",IF(VLOOKUP($C54,'Tracking List'!$A$5:$AL$883,O$3,FALSE)&gt;0,"Y",VLOOKUP($C54,'Tracking List'!$A$5:$AL$883,O$4,FALSE)))</f>
        <v/>
      </c>
      <c r="P54" s="147" t="str">
        <f>IF($C54="","",IF(VLOOKUP($C54,'Tracking List'!$A$5:$AL$883,P$4,FALSE)&gt;0,"Y",""))</f>
        <v/>
      </c>
      <c r="Q54" s="149"/>
      <c r="R54" s="150" t="str">
        <f>IF($C54="","",VLOOKUP($C54,'Tracking List'!$A$5:$AL$883,R$4,FALSE))</f>
        <v/>
      </c>
    </row>
    <row r="55" spans="3:18">
      <c r="C55" s="146"/>
      <c r="D55" s="147" t="str">
        <f>IF($C55="","",VLOOKUP($C55,'Tracking List'!$A$5:$AL$883,D$4,FALSE))</f>
        <v/>
      </c>
      <c r="E55" s="147" t="str">
        <f>IF($C55="","",VLOOKUP($C55,'Tracking List'!$A$5:$AL$883,E$4,FALSE))</f>
        <v/>
      </c>
      <c r="F55" s="147" t="str">
        <f>IF($C55="","",VLOOKUP($C55,'Tracking List'!$A$5:$AL$883,F$4,FALSE))</f>
        <v/>
      </c>
      <c r="G55" s="147" t="str">
        <f>IF($C55="","",VLOOKUP($C55,'Tracking List'!$A$5:$AL$883,G$4,FALSE))</f>
        <v/>
      </c>
      <c r="H55" s="147" t="str">
        <f>IF($C55="","",VLOOKUP($C55,'Tracking List'!$A$5:$AL$883,H$4,FALSE))</f>
        <v/>
      </c>
      <c r="I55" s="147" t="str">
        <f>IF($C55="","",VLOOKUP($C55,'Tracking List'!$A$5:$AL$883,I$4,FALSE))</f>
        <v/>
      </c>
      <c r="J55" s="147" t="str">
        <f>IF($C55="","",VLOOKUP($C55,'Tracking List'!$A$5:$AL$883,J$4,FALSE))</f>
        <v/>
      </c>
      <c r="K55" s="147" t="str">
        <f>IF($C55="","",VLOOKUP($C55,'Tracking List'!$A$5:$AL$883,K$4,FALSE))</f>
        <v/>
      </c>
      <c r="L55" s="168" t="str">
        <f>IF($C55="","",VLOOKUP($C55,'Tracking List'!$A$5:$AL$883,L$4,FALSE))</f>
        <v/>
      </c>
      <c r="M55" s="147" t="str">
        <f>IF($C55="","",VLOOKUP($C55,'Tracking List'!$A$5:$AL$883,M$4,FALSE))</f>
        <v/>
      </c>
      <c r="N55" s="148" t="str">
        <f>IF($C55="","",IF(VLOOKUP($C55,'Tracking List'!$A$5:$AL$883,N$3,FALSE)&gt;0,"Y",VLOOKUP($C55,'Tracking List'!$A$5:$AL$883,N$4,FALSE)))</f>
        <v/>
      </c>
      <c r="O55" s="148" t="str">
        <f>IF($C55="","",IF(VLOOKUP($C55,'Tracking List'!$A$5:$AL$883,O$3,FALSE)&gt;0,"Y",VLOOKUP($C55,'Tracking List'!$A$5:$AL$883,O$4,FALSE)))</f>
        <v/>
      </c>
      <c r="P55" s="147" t="str">
        <f>IF($C55="","",IF(VLOOKUP($C55,'Tracking List'!$A$5:$AL$883,P$4,FALSE)&gt;0,"Y",""))</f>
        <v/>
      </c>
      <c r="Q55" s="149"/>
      <c r="R55" s="150" t="str">
        <f>IF($C55="","",VLOOKUP($C55,'Tracking List'!$A$5:$AL$883,R$4,FALSE))</f>
        <v/>
      </c>
    </row>
    <row r="56" spans="3:18">
      <c r="C56" s="146"/>
      <c r="D56" s="147" t="str">
        <f>IF($C56="","",VLOOKUP($C56,'Tracking List'!$A$5:$AL$883,D$4,FALSE))</f>
        <v/>
      </c>
      <c r="E56" s="147" t="str">
        <f>IF($C56="","",VLOOKUP($C56,'Tracking List'!$A$5:$AL$883,E$4,FALSE))</f>
        <v/>
      </c>
      <c r="F56" s="147" t="str">
        <f>IF($C56="","",VLOOKUP($C56,'Tracking List'!$A$5:$AL$883,F$4,FALSE))</f>
        <v/>
      </c>
      <c r="G56" s="147" t="str">
        <f>IF($C56="","",VLOOKUP($C56,'Tracking List'!$A$5:$AL$883,G$4,FALSE))</f>
        <v/>
      </c>
      <c r="H56" s="147" t="str">
        <f>IF($C56="","",VLOOKUP($C56,'Tracking List'!$A$5:$AL$883,H$4,FALSE))</f>
        <v/>
      </c>
      <c r="I56" s="147" t="str">
        <f>IF($C56="","",VLOOKUP($C56,'Tracking List'!$A$5:$AL$883,I$4,FALSE))</f>
        <v/>
      </c>
      <c r="J56" s="147" t="str">
        <f>IF($C56="","",VLOOKUP($C56,'Tracking List'!$A$5:$AL$883,J$4,FALSE))</f>
        <v/>
      </c>
      <c r="K56" s="147" t="str">
        <f>IF($C56="","",VLOOKUP($C56,'Tracking List'!$A$5:$AL$883,K$4,FALSE))</f>
        <v/>
      </c>
      <c r="L56" s="168" t="str">
        <f>IF($C56="","",VLOOKUP($C56,'Tracking List'!$A$5:$AL$883,L$4,FALSE))</f>
        <v/>
      </c>
      <c r="M56" s="147" t="str">
        <f>IF($C56="","",VLOOKUP($C56,'Tracking List'!$A$5:$AL$883,M$4,FALSE))</f>
        <v/>
      </c>
      <c r="N56" s="148" t="str">
        <f>IF($C56="","",IF(VLOOKUP($C56,'Tracking List'!$A$5:$AL$883,N$3,FALSE)&gt;0,"Y",VLOOKUP($C56,'Tracking List'!$A$5:$AL$883,N$4,FALSE)))</f>
        <v/>
      </c>
      <c r="O56" s="148" t="str">
        <f>IF($C56="","",IF(VLOOKUP($C56,'Tracking List'!$A$5:$AL$883,O$3,FALSE)&gt;0,"Y",VLOOKUP($C56,'Tracking List'!$A$5:$AL$883,O$4,FALSE)))</f>
        <v/>
      </c>
      <c r="P56" s="147" t="str">
        <f>IF($C56="","",IF(VLOOKUP($C56,'Tracking List'!$A$5:$AL$883,P$4,FALSE)&gt;0,"Y",""))</f>
        <v/>
      </c>
      <c r="Q56" s="149"/>
      <c r="R56" s="150" t="str">
        <f>IF($C56="","",VLOOKUP($C56,'Tracking List'!$A$5:$AL$883,R$4,FALSE))</f>
        <v/>
      </c>
    </row>
    <row r="57" spans="3:18">
      <c r="C57" s="146"/>
      <c r="D57" s="147" t="str">
        <f>IF($C57="","",VLOOKUP($C57,'Tracking List'!$A$5:$AL$883,D$4,FALSE))</f>
        <v/>
      </c>
      <c r="E57" s="147" t="str">
        <f>IF($C57="","",VLOOKUP($C57,'Tracking List'!$A$5:$AL$883,E$4,FALSE))</f>
        <v/>
      </c>
      <c r="F57" s="147" t="str">
        <f>IF($C57="","",VLOOKUP($C57,'Tracking List'!$A$5:$AL$883,F$4,FALSE))</f>
        <v/>
      </c>
      <c r="G57" s="147" t="str">
        <f>IF($C57="","",VLOOKUP($C57,'Tracking List'!$A$5:$AL$883,G$4,FALSE))</f>
        <v/>
      </c>
      <c r="H57" s="147" t="str">
        <f>IF($C57="","",VLOOKUP($C57,'Tracking List'!$A$5:$AL$883,H$4,FALSE))</f>
        <v/>
      </c>
      <c r="I57" s="147" t="str">
        <f>IF($C57="","",VLOOKUP($C57,'Tracking List'!$A$5:$AL$883,I$4,FALSE))</f>
        <v/>
      </c>
      <c r="J57" s="147" t="str">
        <f>IF($C57="","",VLOOKUP($C57,'Tracking List'!$A$5:$AL$883,J$4,FALSE))</f>
        <v/>
      </c>
      <c r="K57" s="147" t="str">
        <f>IF($C57="","",VLOOKUP($C57,'Tracking List'!$A$5:$AL$883,K$4,FALSE))</f>
        <v/>
      </c>
      <c r="L57" s="168" t="str">
        <f>IF($C57="","",VLOOKUP($C57,'Tracking List'!$A$5:$AL$883,L$4,FALSE))</f>
        <v/>
      </c>
      <c r="M57" s="147" t="str">
        <f>IF($C57="","",VLOOKUP($C57,'Tracking List'!$A$5:$AL$883,M$4,FALSE))</f>
        <v/>
      </c>
      <c r="N57" s="148" t="str">
        <f>IF($C57="","",IF(VLOOKUP($C57,'Tracking List'!$A$5:$AL$883,N$3,FALSE)&gt;0,"Y",VLOOKUP($C57,'Tracking List'!$A$5:$AL$883,N$4,FALSE)))</f>
        <v/>
      </c>
      <c r="O57" s="148" t="str">
        <f>IF($C57="","",IF(VLOOKUP($C57,'Tracking List'!$A$5:$AL$883,O$3,FALSE)&gt;0,"Y",VLOOKUP($C57,'Tracking List'!$A$5:$AL$883,O$4,FALSE)))</f>
        <v/>
      </c>
      <c r="P57" s="147" t="str">
        <f>IF($C57="","",IF(VLOOKUP($C57,'Tracking List'!$A$5:$AL$883,P$4,FALSE)&gt;0,"Y",""))</f>
        <v/>
      </c>
      <c r="Q57" s="149"/>
      <c r="R57" s="150" t="str">
        <f>IF($C57="","",VLOOKUP($C57,'Tracking List'!$A$5:$AL$883,R$4,FALSE))</f>
        <v/>
      </c>
    </row>
    <row r="58" spans="3:18">
      <c r="C58" s="146"/>
      <c r="D58" s="147" t="str">
        <f>IF($C58="","",VLOOKUP($C58,'Tracking List'!$A$5:$AL$883,D$4,FALSE))</f>
        <v/>
      </c>
      <c r="E58" s="147" t="str">
        <f>IF($C58="","",VLOOKUP($C58,'Tracking List'!$A$5:$AL$883,E$4,FALSE))</f>
        <v/>
      </c>
      <c r="F58" s="147" t="str">
        <f>IF($C58="","",VLOOKUP($C58,'Tracking List'!$A$5:$AL$883,F$4,FALSE))</f>
        <v/>
      </c>
      <c r="G58" s="147" t="str">
        <f>IF($C58="","",VLOOKUP($C58,'Tracking List'!$A$5:$AL$883,G$4,FALSE))</f>
        <v/>
      </c>
      <c r="H58" s="147" t="str">
        <f>IF($C58="","",VLOOKUP($C58,'Tracking List'!$A$5:$AL$883,H$4,FALSE))</f>
        <v/>
      </c>
      <c r="I58" s="147" t="str">
        <f>IF($C58="","",VLOOKUP($C58,'Tracking List'!$A$5:$AL$883,I$4,FALSE))</f>
        <v/>
      </c>
      <c r="J58" s="147" t="str">
        <f>IF($C58="","",VLOOKUP($C58,'Tracking List'!$A$5:$AL$883,J$4,FALSE))</f>
        <v/>
      </c>
      <c r="K58" s="147" t="str">
        <f>IF($C58="","",VLOOKUP($C58,'Tracking List'!$A$5:$AL$883,K$4,FALSE))</f>
        <v/>
      </c>
      <c r="L58" s="168" t="str">
        <f>IF($C58="","",VLOOKUP($C58,'Tracking List'!$A$5:$AL$883,L$4,FALSE))</f>
        <v/>
      </c>
      <c r="M58" s="147" t="str">
        <f>IF($C58="","",VLOOKUP($C58,'Tracking List'!$A$5:$AL$883,M$4,FALSE))</f>
        <v/>
      </c>
      <c r="N58" s="148" t="str">
        <f>IF($C58="","",IF(VLOOKUP($C58,'Tracking List'!$A$5:$AL$883,N$3,FALSE)&gt;0,"Y",VLOOKUP($C58,'Tracking List'!$A$5:$AL$883,N$4,FALSE)))</f>
        <v/>
      </c>
      <c r="O58" s="148" t="str">
        <f>IF($C58="","",IF(VLOOKUP($C58,'Tracking List'!$A$5:$AL$883,O$3,FALSE)&gt;0,"Y",VLOOKUP($C58,'Tracking List'!$A$5:$AL$883,O$4,FALSE)))</f>
        <v/>
      </c>
      <c r="P58" s="147" t="str">
        <f>IF($C58="","",IF(VLOOKUP($C58,'Tracking List'!$A$5:$AL$883,P$4,FALSE)&gt;0,"Y",""))</f>
        <v/>
      </c>
      <c r="Q58" s="149"/>
      <c r="R58" s="150" t="str">
        <f>IF($C58="","",VLOOKUP($C58,'Tracking List'!$A$5:$AL$883,R$4,FALSE))</f>
        <v/>
      </c>
    </row>
    <row r="59" spans="3:18">
      <c r="C59" s="146"/>
      <c r="D59" s="147" t="str">
        <f>IF($C59="","",VLOOKUP($C59,'Tracking List'!$A$5:$AL$883,D$4,FALSE))</f>
        <v/>
      </c>
      <c r="E59" s="147" t="str">
        <f>IF($C59="","",VLOOKUP($C59,'Tracking List'!$A$5:$AL$883,E$4,FALSE))</f>
        <v/>
      </c>
      <c r="F59" s="147" t="str">
        <f>IF($C59="","",VLOOKUP($C59,'Tracking List'!$A$5:$AL$883,F$4,FALSE))</f>
        <v/>
      </c>
      <c r="G59" s="147" t="str">
        <f>IF($C59="","",VLOOKUP($C59,'Tracking List'!$A$5:$AL$883,G$4,FALSE))</f>
        <v/>
      </c>
      <c r="H59" s="147" t="str">
        <f>IF($C59="","",VLOOKUP($C59,'Tracking List'!$A$5:$AL$883,H$4,FALSE))</f>
        <v/>
      </c>
      <c r="I59" s="147" t="str">
        <f>IF($C59="","",VLOOKUP($C59,'Tracking List'!$A$5:$AL$883,I$4,FALSE))</f>
        <v/>
      </c>
      <c r="J59" s="147" t="str">
        <f>IF($C59="","",VLOOKUP($C59,'Tracking List'!$A$5:$AL$883,J$4,FALSE))</f>
        <v/>
      </c>
      <c r="K59" s="147" t="str">
        <f>IF($C59="","",VLOOKUP($C59,'Tracking List'!$A$5:$AL$883,K$4,FALSE))</f>
        <v/>
      </c>
      <c r="L59" s="168" t="str">
        <f>IF($C59="","",VLOOKUP($C59,'Tracking List'!$A$5:$AL$883,L$4,FALSE))</f>
        <v/>
      </c>
      <c r="M59" s="147" t="str">
        <f>IF($C59="","",VLOOKUP($C59,'Tracking List'!$A$5:$AL$883,M$4,FALSE))</f>
        <v/>
      </c>
      <c r="N59" s="148" t="str">
        <f>IF($C59="","",IF(VLOOKUP($C59,'Tracking List'!$A$5:$AL$883,N$3,FALSE)&gt;0,"Y",VLOOKUP($C59,'Tracking List'!$A$5:$AL$883,N$4,FALSE)))</f>
        <v/>
      </c>
      <c r="O59" s="148" t="str">
        <f>IF($C59="","",IF(VLOOKUP($C59,'Tracking List'!$A$5:$AL$883,O$3,FALSE)&gt;0,"Y",VLOOKUP($C59,'Tracking List'!$A$5:$AL$883,O$4,FALSE)))</f>
        <v/>
      </c>
      <c r="P59" s="147" t="str">
        <f>IF($C59="","",IF(VLOOKUP($C59,'Tracking List'!$A$5:$AL$883,P$4,FALSE)&gt;0,"Y",""))</f>
        <v/>
      </c>
      <c r="Q59" s="149"/>
      <c r="R59" s="150" t="str">
        <f>IF($C59="","",VLOOKUP($C59,'Tracking List'!$A$5:$AL$883,R$4,FALSE))</f>
        <v/>
      </c>
    </row>
    <row r="60" spans="3:18">
      <c r="C60" s="146"/>
      <c r="D60" s="147" t="str">
        <f>IF($C60="","",VLOOKUP($C60,'Tracking List'!$A$5:$AL$883,D$4,FALSE))</f>
        <v/>
      </c>
      <c r="E60" s="147" t="str">
        <f>IF($C60="","",VLOOKUP($C60,'Tracking List'!$A$5:$AL$883,E$4,FALSE))</f>
        <v/>
      </c>
      <c r="F60" s="147" t="str">
        <f>IF($C60="","",VLOOKUP($C60,'Tracking List'!$A$5:$AL$883,F$4,FALSE))</f>
        <v/>
      </c>
      <c r="G60" s="147" t="str">
        <f>IF($C60="","",VLOOKUP($C60,'Tracking List'!$A$5:$AL$883,G$4,FALSE))</f>
        <v/>
      </c>
      <c r="H60" s="147" t="str">
        <f>IF($C60="","",VLOOKUP($C60,'Tracking List'!$A$5:$AL$883,H$4,FALSE))</f>
        <v/>
      </c>
      <c r="I60" s="147" t="str">
        <f>IF($C60="","",VLOOKUP($C60,'Tracking List'!$A$5:$AL$883,I$4,FALSE))</f>
        <v/>
      </c>
      <c r="J60" s="147" t="str">
        <f>IF($C60="","",VLOOKUP($C60,'Tracking List'!$A$5:$AL$883,J$4,FALSE))</f>
        <v/>
      </c>
      <c r="K60" s="147" t="str">
        <f>IF($C60="","",VLOOKUP($C60,'Tracking List'!$A$5:$AL$883,K$4,FALSE))</f>
        <v/>
      </c>
      <c r="L60" s="168" t="str">
        <f>IF($C60="","",VLOOKUP($C60,'Tracking List'!$A$5:$AL$883,L$4,FALSE))</f>
        <v/>
      </c>
      <c r="M60" s="147" t="str">
        <f>IF($C60="","",VLOOKUP($C60,'Tracking List'!$A$5:$AL$883,M$4,FALSE))</f>
        <v/>
      </c>
      <c r="N60" s="148" t="str">
        <f>IF($C60="","",IF(VLOOKUP($C60,'Tracking List'!$A$5:$AL$883,N$3,FALSE)&gt;0,"Y",VLOOKUP($C60,'Tracking List'!$A$5:$AL$883,N$4,FALSE)))</f>
        <v/>
      </c>
      <c r="O60" s="148" t="str">
        <f>IF($C60="","",IF(VLOOKUP($C60,'Tracking List'!$A$5:$AL$883,O$3,FALSE)&gt;0,"Y",VLOOKUP($C60,'Tracking List'!$A$5:$AL$883,O$4,FALSE)))</f>
        <v/>
      </c>
      <c r="P60" s="147" t="str">
        <f>IF($C60="","",IF(VLOOKUP($C60,'Tracking List'!$A$5:$AL$883,P$4,FALSE)&gt;0,"Y",""))</f>
        <v/>
      </c>
      <c r="Q60" s="149"/>
      <c r="R60" s="150" t="str">
        <f>IF($C60="","",VLOOKUP($C60,'Tracking List'!$A$5:$AL$883,R$4,FALSE))</f>
        <v/>
      </c>
    </row>
    <row r="61" spans="3:18">
      <c r="C61" s="146"/>
      <c r="D61" s="147" t="str">
        <f>IF($C61="","",VLOOKUP($C61,'Tracking List'!$A$5:$AL$883,D$4,FALSE))</f>
        <v/>
      </c>
      <c r="E61" s="147" t="str">
        <f>IF($C61="","",VLOOKUP($C61,'Tracking List'!$A$5:$AL$883,E$4,FALSE))</f>
        <v/>
      </c>
      <c r="F61" s="147" t="str">
        <f>IF($C61="","",VLOOKUP($C61,'Tracking List'!$A$5:$AL$883,F$4,FALSE))</f>
        <v/>
      </c>
      <c r="G61" s="147" t="str">
        <f>IF($C61="","",VLOOKUP($C61,'Tracking List'!$A$5:$AL$883,G$4,FALSE))</f>
        <v/>
      </c>
      <c r="H61" s="147" t="str">
        <f>IF($C61="","",VLOOKUP($C61,'Tracking List'!$A$5:$AL$883,H$4,FALSE))</f>
        <v/>
      </c>
      <c r="I61" s="147" t="str">
        <f>IF($C61="","",VLOOKUP($C61,'Tracking List'!$A$5:$AL$883,I$4,FALSE))</f>
        <v/>
      </c>
      <c r="J61" s="147" t="str">
        <f>IF($C61="","",VLOOKUP($C61,'Tracking List'!$A$5:$AL$883,J$4,FALSE))</f>
        <v/>
      </c>
      <c r="K61" s="147" t="str">
        <f>IF($C61="","",VLOOKUP($C61,'Tracking List'!$A$5:$AL$883,K$4,FALSE))</f>
        <v/>
      </c>
      <c r="L61" s="168" t="str">
        <f>IF($C61="","",VLOOKUP($C61,'Tracking List'!$A$5:$AL$883,L$4,FALSE))</f>
        <v/>
      </c>
      <c r="M61" s="147" t="str">
        <f>IF($C61="","",VLOOKUP($C61,'Tracking List'!$A$5:$AL$883,M$4,FALSE))</f>
        <v/>
      </c>
      <c r="N61" s="148" t="str">
        <f>IF($C61="","",IF(VLOOKUP($C61,'Tracking List'!$A$5:$AL$883,N$3,FALSE)&gt;0,"Y",VLOOKUP($C61,'Tracking List'!$A$5:$AL$883,N$4,FALSE)))</f>
        <v/>
      </c>
      <c r="O61" s="148" t="str">
        <f>IF($C61="","",IF(VLOOKUP($C61,'Tracking List'!$A$5:$AL$883,O$3,FALSE)&gt;0,"Y",VLOOKUP($C61,'Tracking List'!$A$5:$AL$883,O$4,FALSE)))</f>
        <v/>
      </c>
      <c r="P61" s="147" t="str">
        <f>IF($C61="","",IF(VLOOKUP($C61,'Tracking List'!$A$5:$AL$883,P$4,FALSE)&gt;0,"Y",""))</f>
        <v/>
      </c>
      <c r="Q61" s="149"/>
      <c r="R61" s="150" t="str">
        <f>IF($C61="","",VLOOKUP($C61,'Tracking List'!$A$5:$AL$883,R$4,FALSE))</f>
        <v/>
      </c>
    </row>
    <row r="62" spans="3:18">
      <c r="C62" s="146"/>
      <c r="D62" s="147" t="str">
        <f>IF($C62="","",VLOOKUP($C62,'Tracking List'!$A$5:$AL$883,D$4,FALSE))</f>
        <v/>
      </c>
      <c r="E62" s="147" t="str">
        <f>IF($C62="","",VLOOKUP($C62,'Tracking List'!$A$5:$AL$883,E$4,FALSE))</f>
        <v/>
      </c>
      <c r="F62" s="147" t="str">
        <f>IF($C62="","",VLOOKUP($C62,'Tracking List'!$A$5:$AL$883,F$4,FALSE))</f>
        <v/>
      </c>
      <c r="G62" s="147" t="str">
        <f>IF($C62="","",VLOOKUP($C62,'Tracking List'!$A$5:$AL$883,G$4,FALSE))</f>
        <v/>
      </c>
      <c r="H62" s="147" t="str">
        <f>IF($C62="","",VLOOKUP($C62,'Tracking List'!$A$5:$AL$883,H$4,FALSE))</f>
        <v/>
      </c>
      <c r="I62" s="147" t="str">
        <f>IF($C62="","",VLOOKUP($C62,'Tracking List'!$A$5:$AL$883,I$4,FALSE))</f>
        <v/>
      </c>
      <c r="J62" s="147" t="str">
        <f>IF($C62="","",VLOOKUP($C62,'Tracking List'!$A$5:$AL$883,J$4,FALSE))</f>
        <v/>
      </c>
      <c r="K62" s="147" t="str">
        <f>IF($C62="","",VLOOKUP($C62,'Tracking List'!$A$5:$AL$883,K$4,FALSE))</f>
        <v/>
      </c>
      <c r="L62" s="168" t="str">
        <f>IF($C62="","",VLOOKUP($C62,'Tracking List'!$A$5:$AL$883,L$4,FALSE))</f>
        <v/>
      </c>
      <c r="M62" s="147" t="str">
        <f>IF($C62="","",VLOOKUP($C62,'Tracking List'!$A$5:$AL$883,M$4,FALSE))</f>
        <v/>
      </c>
      <c r="N62" s="148" t="str">
        <f>IF($C62="","",IF(VLOOKUP($C62,'Tracking List'!$A$5:$AL$883,N$3,FALSE)&gt;0,"Y",VLOOKUP($C62,'Tracking List'!$A$5:$AL$883,N$4,FALSE)))</f>
        <v/>
      </c>
      <c r="O62" s="148" t="str">
        <f>IF($C62="","",IF(VLOOKUP($C62,'Tracking List'!$A$5:$AL$883,O$3,FALSE)&gt;0,"Y",VLOOKUP($C62,'Tracking List'!$A$5:$AL$883,O$4,FALSE)))</f>
        <v/>
      </c>
      <c r="P62" s="147" t="str">
        <f>IF($C62="","",IF(VLOOKUP($C62,'Tracking List'!$A$5:$AL$883,P$4,FALSE)&gt;0,"Y",""))</f>
        <v/>
      </c>
      <c r="Q62" s="149"/>
      <c r="R62" s="150" t="str">
        <f>IF($C62="","",VLOOKUP($C62,'Tracking List'!$A$5:$AL$883,R$4,FALSE))</f>
        <v/>
      </c>
    </row>
    <row r="63" spans="3:18">
      <c r="C63" s="146"/>
      <c r="D63" s="147" t="str">
        <f>IF($C63="","",VLOOKUP($C63,'Tracking List'!$A$5:$AL$883,D$4,FALSE))</f>
        <v/>
      </c>
      <c r="E63" s="147" t="str">
        <f>IF($C63="","",VLOOKUP($C63,'Tracking List'!$A$5:$AL$883,E$4,FALSE))</f>
        <v/>
      </c>
      <c r="F63" s="147" t="str">
        <f>IF($C63="","",VLOOKUP($C63,'Tracking List'!$A$5:$AL$883,F$4,FALSE))</f>
        <v/>
      </c>
      <c r="G63" s="147" t="str">
        <f>IF($C63="","",VLOOKUP($C63,'Tracking List'!$A$5:$AL$883,G$4,FALSE))</f>
        <v/>
      </c>
      <c r="H63" s="147" t="str">
        <f>IF($C63="","",VLOOKUP($C63,'Tracking List'!$A$5:$AL$883,H$4,FALSE))</f>
        <v/>
      </c>
      <c r="I63" s="147" t="str">
        <f>IF($C63="","",VLOOKUP($C63,'Tracking List'!$A$5:$AL$883,I$4,FALSE))</f>
        <v/>
      </c>
      <c r="J63" s="147" t="str">
        <f>IF($C63="","",VLOOKUP($C63,'Tracking List'!$A$5:$AL$883,J$4,FALSE))</f>
        <v/>
      </c>
      <c r="K63" s="147" t="str">
        <f>IF($C63="","",VLOOKUP($C63,'Tracking List'!$A$5:$AL$883,K$4,FALSE))</f>
        <v/>
      </c>
      <c r="L63" s="168" t="str">
        <f>IF($C63="","",VLOOKUP($C63,'Tracking List'!$A$5:$AL$883,L$4,FALSE))</f>
        <v/>
      </c>
      <c r="M63" s="147" t="str">
        <f>IF($C63="","",VLOOKUP($C63,'Tracking List'!$A$5:$AL$883,M$4,FALSE))</f>
        <v/>
      </c>
      <c r="N63" s="148" t="str">
        <f>IF($C63="","",IF(VLOOKUP($C63,'Tracking List'!$A$5:$AL$883,N$3,FALSE)&gt;0,"Y",VLOOKUP($C63,'Tracking List'!$A$5:$AL$883,N$4,FALSE)))</f>
        <v/>
      </c>
      <c r="O63" s="148" t="str">
        <f>IF($C63="","",IF(VLOOKUP($C63,'Tracking List'!$A$5:$AL$883,O$3,FALSE)&gt;0,"Y",VLOOKUP($C63,'Tracking List'!$A$5:$AL$883,O$4,FALSE)))</f>
        <v/>
      </c>
      <c r="P63" s="147" t="str">
        <f>IF($C63="","",IF(VLOOKUP($C63,'Tracking List'!$A$5:$AL$883,P$4,FALSE)&gt;0,"Y",""))</f>
        <v/>
      </c>
      <c r="Q63" s="149"/>
      <c r="R63" s="150" t="str">
        <f>IF($C63="","",VLOOKUP($C63,'Tracking List'!$A$5:$AL$883,R$4,FALSE))</f>
        <v/>
      </c>
    </row>
    <row r="64" spans="3:18">
      <c r="C64" s="146"/>
      <c r="D64" s="147" t="str">
        <f>IF($C64="","",VLOOKUP($C64,'Tracking List'!$A$5:$AL$883,D$4,FALSE))</f>
        <v/>
      </c>
      <c r="E64" s="147" t="str">
        <f>IF($C64="","",VLOOKUP($C64,'Tracking List'!$A$5:$AL$883,E$4,FALSE))</f>
        <v/>
      </c>
      <c r="F64" s="147" t="str">
        <f>IF($C64="","",VLOOKUP($C64,'Tracking List'!$A$5:$AL$883,F$4,FALSE))</f>
        <v/>
      </c>
      <c r="G64" s="147" t="str">
        <f>IF($C64="","",VLOOKUP($C64,'Tracking List'!$A$5:$AL$883,G$4,FALSE))</f>
        <v/>
      </c>
      <c r="H64" s="147" t="str">
        <f>IF($C64="","",VLOOKUP($C64,'Tracking List'!$A$5:$AL$883,H$4,FALSE))</f>
        <v/>
      </c>
      <c r="I64" s="147" t="str">
        <f>IF($C64="","",VLOOKUP($C64,'Tracking List'!$A$5:$AL$883,I$4,FALSE))</f>
        <v/>
      </c>
      <c r="J64" s="147" t="str">
        <f>IF($C64="","",VLOOKUP($C64,'Tracking List'!$A$5:$AL$883,J$4,FALSE))</f>
        <v/>
      </c>
      <c r="K64" s="147" t="str">
        <f>IF($C64="","",VLOOKUP($C64,'Tracking List'!$A$5:$AL$883,K$4,FALSE))</f>
        <v/>
      </c>
      <c r="L64" s="168" t="str">
        <f>IF($C64="","",VLOOKUP($C64,'Tracking List'!$A$5:$AL$883,L$4,FALSE))</f>
        <v/>
      </c>
      <c r="M64" s="147" t="str">
        <f>IF($C64="","",VLOOKUP($C64,'Tracking List'!$A$5:$AL$883,M$4,FALSE))</f>
        <v/>
      </c>
      <c r="N64" s="148" t="str">
        <f>IF($C64="","",IF(VLOOKUP($C64,'Tracking List'!$A$5:$AL$883,N$3,FALSE)&gt;0,"Y",VLOOKUP($C64,'Tracking List'!$A$5:$AL$883,N$4,FALSE)))</f>
        <v/>
      </c>
      <c r="O64" s="148" t="str">
        <f>IF($C64="","",IF(VLOOKUP($C64,'Tracking List'!$A$5:$AL$883,O$3,FALSE)&gt;0,"Y",VLOOKUP($C64,'Tracking List'!$A$5:$AL$883,O$4,FALSE)))</f>
        <v/>
      </c>
      <c r="P64" s="147" t="str">
        <f>IF($C64="","",IF(VLOOKUP($C64,'Tracking List'!$A$5:$AL$883,P$4,FALSE)&gt;0,"Y",""))</f>
        <v/>
      </c>
      <c r="Q64" s="149"/>
      <c r="R64" s="150" t="str">
        <f>IF($C64="","",VLOOKUP($C64,'Tracking List'!$A$5:$AL$883,R$4,FALSE))</f>
        <v/>
      </c>
    </row>
    <row r="65" spans="3:18">
      <c r="C65" s="146"/>
      <c r="D65" s="147" t="str">
        <f>IF($C65="","",VLOOKUP($C65,'Tracking List'!$A$5:$AL$883,D$4,FALSE))</f>
        <v/>
      </c>
      <c r="E65" s="147" t="str">
        <f>IF($C65="","",VLOOKUP($C65,'Tracking List'!$A$5:$AL$883,E$4,FALSE))</f>
        <v/>
      </c>
      <c r="F65" s="147" t="str">
        <f>IF($C65="","",VLOOKUP($C65,'Tracking List'!$A$5:$AL$883,F$4,FALSE))</f>
        <v/>
      </c>
      <c r="G65" s="147" t="str">
        <f>IF($C65="","",VLOOKUP($C65,'Tracking List'!$A$5:$AL$883,G$4,FALSE))</f>
        <v/>
      </c>
      <c r="H65" s="147" t="str">
        <f>IF($C65="","",VLOOKUP($C65,'Tracking List'!$A$5:$AL$883,H$4,FALSE))</f>
        <v/>
      </c>
      <c r="I65" s="147" t="str">
        <f>IF($C65="","",VLOOKUP($C65,'Tracking List'!$A$5:$AL$883,I$4,FALSE))</f>
        <v/>
      </c>
      <c r="J65" s="147" t="str">
        <f>IF($C65="","",VLOOKUP($C65,'Tracking List'!$A$5:$AL$883,J$4,FALSE))</f>
        <v/>
      </c>
      <c r="K65" s="147" t="str">
        <f>IF($C65="","",VLOOKUP($C65,'Tracking List'!$A$5:$AL$883,K$4,FALSE))</f>
        <v/>
      </c>
      <c r="L65" s="168" t="str">
        <f>IF($C65="","",VLOOKUP($C65,'Tracking List'!$A$5:$AL$883,L$4,FALSE))</f>
        <v/>
      </c>
      <c r="M65" s="147" t="str">
        <f>IF($C65="","",VLOOKUP($C65,'Tracking List'!$A$5:$AL$883,M$4,FALSE))</f>
        <v/>
      </c>
      <c r="N65" s="148" t="str">
        <f>IF($C65="","",IF(VLOOKUP($C65,'Tracking List'!$A$5:$AL$883,N$3,FALSE)&gt;0,"Y",VLOOKUP($C65,'Tracking List'!$A$5:$AL$883,N$4,FALSE)))</f>
        <v/>
      </c>
      <c r="O65" s="148" t="str">
        <f>IF($C65="","",IF(VLOOKUP($C65,'Tracking List'!$A$5:$AL$883,O$3,FALSE)&gt;0,"Y",VLOOKUP($C65,'Tracking List'!$A$5:$AL$883,O$4,FALSE)))</f>
        <v/>
      </c>
      <c r="P65" s="147" t="str">
        <f>IF($C65="","",IF(VLOOKUP($C65,'Tracking List'!$A$5:$AL$883,P$4,FALSE)&gt;0,"Y",""))</f>
        <v/>
      </c>
      <c r="Q65" s="149"/>
      <c r="R65" s="150" t="str">
        <f>IF($C65="","",VLOOKUP($C65,'Tracking List'!$A$5:$AL$883,R$4,FALSE))</f>
        <v/>
      </c>
    </row>
    <row r="66" spans="3:18">
      <c r="C66" s="146"/>
      <c r="D66" s="147" t="str">
        <f>IF($C66="","",VLOOKUP($C66,'Tracking List'!$A$5:$AL$883,D$4,FALSE))</f>
        <v/>
      </c>
      <c r="E66" s="147" t="str">
        <f>IF($C66="","",VLOOKUP($C66,'Tracking List'!$A$5:$AL$883,E$4,FALSE))</f>
        <v/>
      </c>
      <c r="F66" s="147" t="str">
        <f>IF($C66="","",VLOOKUP($C66,'Tracking List'!$A$5:$AL$883,F$4,FALSE))</f>
        <v/>
      </c>
      <c r="G66" s="147" t="str">
        <f>IF($C66="","",VLOOKUP($C66,'Tracking List'!$A$5:$AL$883,G$4,FALSE))</f>
        <v/>
      </c>
      <c r="H66" s="147" t="str">
        <f>IF($C66="","",VLOOKUP($C66,'Tracking List'!$A$5:$AL$883,H$4,FALSE))</f>
        <v/>
      </c>
      <c r="I66" s="147" t="str">
        <f>IF($C66="","",VLOOKUP($C66,'Tracking List'!$A$5:$AL$883,I$4,FALSE))</f>
        <v/>
      </c>
      <c r="J66" s="147" t="str">
        <f>IF($C66="","",VLOOKUP($C66,'Tracking List'!$A$5:$AL$883,J$4,FALSE))</f>
        <v/>
      </c>
      <c r="K66" s="147" t="str">
        <f>IF($C66="","",VLOOKUP($C66,'Tracking List'!$A$5:$AL$883,K$4,FALSE))</f>
        <v/>
      </c>
      <c r="L66" s="168" t="str">
        <f>IF($C66="","",VLOOKUP($C66,'Tracking List'!$A$5:$AL$883,L$4,FALSE))</f>
        <v/>
      </c>
      <c r="M66" s="147" t="str">
        <f>IF($C66="","",VLOOKUP($C66,'Tracking List'!$A$5:$AL$883,M$4,FALSE))</f>
        <v/>
      </c>
      <c r="N66" s="148" t="str">
        <f>IF($C66="","",IF(VLOOKUP($C66,'Tracking List'!$A$5:$AL$883,N$3,FALSE)&gt;0,"Y",VLOOKUP($C66,'Tracking List'!$A$5:$AL$883,N$4,FALSE)))</f>
        <v/>
      </c>
      <c r="O66" s="148" t="str">
        <f>IF($C66="","",IF(VLOOKUP($C66,'Tracking List'!$A$5:$AL$883,O$3,FALSE)&gt;0,"Y",VLOOKUP($C66,'Tracking List'!$A$5:$AL$883,O$4,FALSE)))</f>
        <v/>
      </c>
      <c r="P66" s="147" t="str">
        <f>IF($C66="","",IF(VLOOKUP($C66,'Tracking List'!$A$5:$AL$883,P$4,FALSE)&gt;0,"Y",""))</f>
        <v/>
      </c>
      <c r="Q66" s="149"/>
      <c r="R66" s="150" t="str">
        <f>IF($C66="","",VLOOKUP($C66,'Tracking List'!$A$5:$AL$883,R$4,FALSE))</f>
        <v/>
      </c>
    </row>
    <row r="67" spans="3:18">
      <c r="C67" s="146"/>
      <c r="D67" s="147" t="str">
        <f>IF($C67="","",VLOOKUP($C67,'Tracking List'!$A$5:$AL$883,D$4,FALSE))</f>
        <v/>
      </c>
      <c r="E67" s="147" t="str">
        <f>IF($C67="","",VLOOKUP($C67,'Tracking List'!$A$5:$AL$883,E$4,FALSE))</f>
        <v/>
      </c>
      <c r="F67" s="147" t="str">
        <f>IF($C67="","",VLOOKUP($C67,'Tracking List'!$A$5:$AL$883,F$4,FALSE))</f>
        <v/>
      </c>
      <c r="G67" s="147" t="str">
        <f>IF($C67="","",VLOOKUP($C67,'Tracking List'!$A$5:$AL$883,G$4,FALSE))</f>
        <v/>
      </c>
      <c r="H67" s="147" t="str">
        <f>IF($C67="","",VLOOKUP($C67,'Tracking List'!$A$5:$AL$883,H$4,FALSE))</f>
        <v/>
      </c>
      <c r="I67" s="147" t="str">
        <f>IF($C67="","",VLOOKUP($C67,'Tracking List'!$A$5:$AL$883,I$4,FALSE))</f>
        <v/>
      </c>
      <c r="J67" s="147" t="str">
        <f>IF($C67="","",VLOOKUP($C67,'Tracking List'!$A$5:$AL$883,J$4,FALSE))</f>
        <v/>
      </c>
      <c r="K67" s="147" t="str">
        <f>IF($C67="","",VLOOKUP($C67,'Tracking List'!$A$5:$AL$883,K$4,FALSE))</f>
        <v/>
      </c>
      <c r="L67" s="168" t="str">
        <f>IF($C67="","",VLOOKUP($C67,'Tracking List'!$A$5:$AL$883,L$4,FALSE))</f>
        <v/>
      </c>
      <c r="M67" s="147" t="str">
        <f>IF($C67="","",VLOOKUP($C67,'Tracking List'!$A$5:$AL$883,M$4,FALSE))</f>
        <v/>
      </c>
      <c r="N67" s="148" t="str">
        <f>IF($C67="","",IF(VLOOKUP($C67,'Tracking List'!$A$5:$AL$883,N$3,FALSE)&gt;0,"Y",VLOOKUP($C67,'Tracking List'!$A$5:$AL$883,N$4,FALSE)))</f>
        <v/>
      </c>
      <c r="O67" s="148" t="str">
        <f>IF($C67="","",IF(VLOOKUP($C67,'Tracking List'!$A$5:$AL$883,O$3,FALSE)&gt;0,"Y",VLOOKUP($C67,'Tracking List'!$A$5:$AL$883,O$4,FALSE)))</f>
        <v/>
      </c>
      <c r="P67" s="147" t="str">
        <f>IF($C67="","",IF(VLOOKUP($C67,'Tracking List'!$A$5:$AL$883,P$4,FALSE)&gt;0,"Y",""))</f>
        <v/>
      </c>
      <c r="Q67" s="149"/>
      <c r="R67" s="150" t="str">
        <f>IF($C67="","",VLOOKUP($C67,'Tracking List'!$A$5:$AL$883,R$4,FALSE))</f>
        <v/>
      </c>
    </row>
    <row r="68" spans="3:18">
      <c r="C68" s="146"/>
      <c r="D68" s="147" t="str">
        <f>IF($C68="","",VLOOKUP($C68,'Tracking List'!$A$5:$AL$883,D$4,FALSE))</f>
        <v/>
      </c>
      <c r="E68" s="147" t="str">
        <f>IF($C68="","",VLOOKUP($C68,'Tracking List'!$A$5:$AL$883,E$4,FALSE))</f>
        <v/>
      </c>
      <c r="F68" s="147" t="str">
        <f>IF($C68="","",VLOOKUP($C68,'Tracking List'!$A$5:$AL$883,F$4,FALSE))</f>
        <v/>
      </c>
      <c r="G68" s="147" t="str">
        <f>IF($C68="","",VLOOKUP($C68,'Tracking List'!$A$5:$AL$883,G$4,FALSE))</f>
        <v/>
      </c>
      <c r="H68" s="147" t="str">
        <f>IF($C68="","",VLOOKUP($C68,'Tracking List'!$A$5:$AL$883,H$4,FALSE))</f>
        <v/>
      </c>
      <c r="I68" s="147" t="str">
        <f>IF($C68="","",VLOOKUP($C68,'Tracking List'!$A$5:$AL$883,I$4,FALSE))</f>
        <v/>
      </c>
      <c r="J68" s="147" t="str">
        <f>IF($C68="","",VLOOKUP($C68,'Tracking List'!$A$5:$AL$883,J$4,FALSE))</f>
        <v/>
      </c>
      <c r="K68" s="147" t="str">
        <f>IF($C68="","",VLOOKUP($C68,'Tracking List'!$A$5:$AL$883,K$4,FALSE))</f>
        <v/>
      </c>
      <c r="L68" s="168" t="str">
        <f>IF($C68="","",VLOOKUP($C68,'Tracking List'!$A$5:$AL$883,L$4,FALSE))</f>
        <v/>
      </c>
      <c r="M68" s="147" t="str">
        <f>IF($C68="","",VLOOKUP($C68,'Tracking List'!$A$5:$AL$883,M$4,FALSE))</f>
        <v/>
      </c>
      <c r="N68" s="148" t="str">
        <f>IF($C68="","",IF(VLOOKUP($C68,'Tracking List'!$A$5:$AL$883,N$3,FALSE)&gt;0,"Y",VLOOKUP($C68,'Tracking List'!$A$5:$AL$883,N$4,FALSE)))</f>
        <v/>
      </c>
      <c r="O68" s="148" t="str">
        <f>IF($C68="","",IF(VLOOKUP($C68,'Tracking List'!$A$5:$AL$883,O$3,FALSE)&gt;0,"Y",VLOOKUP($C68,'Tracking List'!$A$5:$AL$883,O$4,FALSE)))</f>
        <v/>
      </c>
      <c r="P68" s="147" t="str">
        <f>IF($C68="","",IF(VLOOKUP($C68,'Tracking List'!$A$5:$AL$883,P$4,FALSE)&gt;0,"Y",""))</f>
        <v/>
      </c>
      <c r="Q68" s="149"/>
      <c r="R68" s="150" t="str">
        <f>IF($C68="","",VLOOKUP($C68,'Tracking List'!$A$5:$AL$883,R$4,FALSE))</f>
        <v/>
      </c>
    </row>
    <row r="69" spans="3:18">
      <c r="C69" s="146"/>
      <c r="D69" s="147" t="str">
        <f>IF($C69="","",VLOOKUP($C69,'Tracking List'!$A$5:$AL$883,D$4,FALSE))</f>
        <v/>
      </c>
      <c r="E69" s="147" t="str">
        <f>IF($C69="","",VLOOKUP($C69,'Tracking List'!$A$5:$AL$883,E$4,FALSE))</f>
        <v/>
      </c>
      <c r="F69" s="147" t="str">
        <f>IF($C69="","",VLOOKUP($C69,'Tracking List'!$A$5:$AL$883,F$4,FALSE))</f>
        <v/>
      </c>
      <c r="G69" s="147" t="str">
        <f>IF($C69="","",VLOOKUP($C69,'Tracking List'!$A$5:$AL$883,G$4,FALSE))</f>
        <v/>
      </c>
      <c r="H69" s="147" t="str">
        <f>IF($C69="","",VLOOKUP($C69,'Tracking List'!$A$5:$AL$883,H$4,FALSE))</f>
        <v/>
      </c>
      <c r="I69" s="147" t="str">
        <f>IF($C69="","",VLOOKUP($C69,'Tracking List'!$A$5:$AL$883,I$4,FALSE))</f>
        <v/>
      </c>
      <c r="J69" s="147" t="str">
        <f>IF($C69="","",VLOOKUP($C69,'Tracking List'!$A$5:$AL$883,J$4,FALSE))</f>
        <v/>
      </c>
      <c r="K69" s="147" t="str">
        <f>IF($C69="","",VLOOKUP($C69,'Tracking List'!$A$5:$AL$883,K$4,FALSE))</f>
        <v/>
      </c>
      <c r="L69" s="168" t="str">
        <f>IF($C69="","",VLOOKUP($C69,'Tracking List'!$A$5:$AL$883,L$4,FALSE))</f>
        <v/>
      </c>
      <c r="M69" s="147" t="str">
        <f>IF($C69="","",VLOOKUP($C69,'Tracking List'!$A$5:$AL$883,M$4,FALSE))</f>
        <v/>
      </c>
      <c r="N69" s="148" t="str">
        <f>IF($C69="","",IF(VLOOKUP($C69,'Tracking List'!$A$5:$AL$883,N$3,FALSE)&gt;0,"Y",VLOOKUP($C69,'Tracking List'!$A$5:$AL$883,N$4,FALSE)))</f>
        <v/>
      </c>
      <c r="O69" s="148" t="str">
        <f>IF($C69="","",IF(VLOOKUP($C69,'Tracking List'!$A$5:$AL$883,O$3,FALSE)&gt;0,"Y",VLOOKUP($C69,'Tracking List'!$A$5:$AL$883,O$4,FALSE)))</f>
        <v/>
      </c>
      <c r="P69" s="147" t="str">
        <f>IF($C69="","",IF(VLOOKUP($C69,'Tracking List'!$A$5:$AL$883,P$4,FALSE)&gt;0,"Y",""))</f>
        <v/>
      </c>
      <c r="Q69" s="149"/>
      <c r="R69" s="150" t="str">
        <f>IF($C69="","",VLOOKUP($C69,'Tracking List'!$A$5:$AL$883,R$4,FALSE))</f>
        <v/>
      </c>
    </row>
    <row r="70" spans="3:18">
      <c r="C70" s="146"/>
      <c r="D70" s="147" t="str">
        <f>IF($C70="","",VLOOKUP($C70,'Tracking List'!$A$5:$AL$883,D$4,FALSE))</f>
        <v/>
      </c>
      <c r="E70" s="147" t="str">
        <f>IF($C70="","",VLOOKUP($C70,'Tracking List'!$A$5:$AL$883,E$4,FALSE))</f>
        <v/>
      </c>
      <c r="F70" s="147" t="str">
        <f>IF($C70="","",VLOOKUP($C70,'Tracking List'!$A$5:$AL$883,F$4,FALSE))</f>
        <v/>
      </c>
      <c r="G70" s="147" t="str">
        <f>IF($C70="","",VLOOKUP($C70,'Tracking List'!$A$5:$AL$883,G$4,FALSE))</f>
        <v/>
      </c>
      <c r="H70" s="147" t="str">
        <f>IF($C70="","",VLOOKUP($C70,'Tracking List'!$A$5:$AL$883,H$4,FALSE))</f>
        <v/>
      </c>
      <c r="I70" s="147" t="str">
        <f>IF($C70="","",VLOOKUP($C70,'Tracking List'!$A$5:$AL$883,I$4,FALSE))</f>
        <v/>
      </c>
      <c r="J70" s="147" t="str">
        <f>IF($C70="","",VLOOKUP($C70,'Tracking List'!$A$5:$AL$883,J$4,FALSE))</f>
        <v/>
      </c>
      <c r="K70" s="147" t="str">
        <f>IF($C70="","",VLOOKUP($C70,'Tracking List'!$A$5:$AL$883,K$4,FALSE))</f>
        <v/>
      </c>
      <c r="L70" s="168" t="str">
        <f>IF($C70="","",VLOOKUP($C70,'Tracking List'!$A$5:$AL$883,L$4,FALSE))</f>
        <v/>
      </c>
      <c r="M70" s="147" t="str">
        <f>IF($C70="","",VLOOKUP($C70,'Tracking List'!$A$5:$AL$883,M$4,FALSE))</f>
        <v/>
      </c>
      <c r="N70" s="148" t="str">
        <f>IF($C70="","",IF(VLOOKUP($C70,'Tracking List'!$A$5:$AL$883,N$3,FALSE)&gt;0,"Y",VLOOKUP($C70,'Tracking List'!$A$5:$AL$883,N$4,FALSE)))</f>
        <v/>
      </c>
      <c r="O70" s="148" t="str">
        <f>IF($C70="","",IF(VLOOKUP($C70,'Tracking List'!$A$5:$AL$883,O$3,FALSE)&gt;0,"Y",VLOOKUP($C70,'Tracking List'!$A$5:$AL$883,O$4,FALSE)))</f>
        <v/>
      </c>
      <c r="P70" s="147" t="str">
        <f>IF($C70="","",IF(VLOOKUP($C70,'Tracking List'!$A$5:$AL$883,P$4,FALSE)&gt;0,"Y",""))</f>
        <v/>
      </c>
      <c r="Q70" s="149"/>
      <c r="R70" s="150" t="str">
        <f>IF($C70="","",VLOOKUP($C70,'Tracking List'!$A$5:$AL$883,R$4,FALSE))</f>
        <v/>
      </c>
    </row>
    <row r="71" spans="3:18">
      <c r="C71" s="146"/>
      <c r="D71" s="147" t="str">
        <f>IF($C71="","",VLOOKUP($C71,'Tracking List'!$A$5:$AL$883,D$4,FALSE))</f>
        <v/>
      </c>
      <c r="E71" s="147" t="str">
        <f>IF($C71="","",VLOOKUP($C71,'Tracking List'!$A$5:$AL$883,E$4,FALSE))</f>
        <v/>
      </c>
      <c r="F71" s="147" t="str">
        <f>IF($C71="","",VLOOKUP($C71,'Tracking List'!$A$5:$AL$883,F$4,FALSE))</f>
        <v/>
      </c>
      <c r="G71" s="147" t="str">
        <f>IF($C71="","",VLOOKUP($C71,'Tracking List'!$A$5:$AL$883,G$4,FALSE))</f>
        <v/>
      </c>
      <c r="H71" s="147" t="str">
        <f>IF($C71="","",VLOOKUP($C71,'Tracking List'!$A$5:$AL$883,H$4,FALSE))</f>
        <v/>
      </c>
      <c r="I71" s="147" t="str">
        <f>IF($C71="","",VLOOKUP($C71,'Tracking List'!$A$5:$AL$883,I$4,FALSE))</f>
        <v/>
      </c>
      <c r="J71" s="147" t="str">
        <f>IF($C71="","",VLOOKUP($C71,'Tracking List'!$A$5:$AL$883,J$4,FALSE))</f>
        <v/>
      </c>
      <c r="K71" s="147" t="str">
        <f>IF($C71="","",VLOOKUP($C71,'Tracking List'!$A$5:$AL$883,K$4,FALSE))</f>
        <v/>
      </c>
      <c r="L71" s="168" t="str">
        <f>IF($C71="","",VLOOKUP($C71,'Tracking List'!$A$5:$AL$883,L$4,FALSE))</f>
        <v/>
      </c>
      <c r="M71" s="147" t="str">
        <f>IF($C71="","",VLOOKUP($C71,'Tracking List'!$A$5:$AL$883,M$4,FALSE))</f>
        <v/>
      </c>
      <c r="N71" s="148" t="str">
        <f>IF($C71="","",IF(VLOOKUP($C71,'Tracking List'!$A$5:$AL$883,N$3,FALSE)&gt;0,"Y",VLOOKUP($C71,'Tracking List'!$A$5:$AL$883,N$4,FALSE)))</f>
        <v/>
      </c>
      <c r="O71" s="148" t="str">
        <f>IF($C71="","",IF(VLOOKUP($C71,'Tracking List'!$A$5:$AL$883,O$3,FALSE)&gt;0,"Y",VLOOKUP($C71,'Tracking List'!$A$5:$AL$883,O$4,FALSE)))</f>
        <v/>
      </c>
      <c r="P71" s="147" t="str">
        <f>IF($C71="","",IF(VLOOKUP($C71,'Tracking List'!$A$5:$AL$883,P$4,FALSE)&gt;0,"Y",""))</f>
        <v/>
      </c>
      <c r="Q71" s="149"/>
      <c r="R71" s="150" t="str">
        <f>IF($C71="","",VLOOKUP($C71,'Tracking List'!$A$5:$AL$883,R$4,FALSE))</f>
        <v/>
      </c>
    </row>
    <row r="72" spans="3:18">
      <c r="C72" s="146"/>
      <c r="D72" s="147" t="str">
        <f>IF($C72="","",VLOOKUP($C72,'Tracking List'!$A$5:$AL$883,D$4,FALSE))</f>
        <v/>
      </c>
      <c r="E72" s="147" t="str">
        <f>IF($C72="","",VLOOKUP($C72,'Tracking List'!$A$5:$AL$883,E$4,FALSE))</f>
        <v/>
      </c>
      <c r="F72" s="147" t="str">
        <f>IF($C72="","",VLOOKUP($C72,'Tracking List'!$A$5:$AL$883,F$4,FALSE))</f>
        <v/>
      </c>
      <c r="G72" s="147" t="str">
        <f>IF($C72="","",VLOOKUP($C72,'Tracking List'!$A$5:$AL$883,G$4,FALSE))</f>
        <v/>
      </c>
      <c r="H72" s="147" t="str">
        <f>IF($C72="","",VLOOKUP($C72,'Tracking List'!$A$5:$AL$883,H$4,FALSE))</f>
        <v/>
      </c>
      <c r="I72" s="147" t="str">
        <f>IF($C72="","",VLOOKUP($C72,'Tracking List'!$A$5:$AL$883,I$4,FALSE))</f>
        <v/>
      </c>
      <c r="J72" s="147" t="str">
        <f>IF($C72="","",VLOOKUP($C72,'Tracking List'!$A$5:$AL$883,J$4,FALSE))</f>
        <v/>
      </c>
      <c r="K72" s="147" t="str">
        <f>IF($C72="","",VLOOKUP($C72,'Tracking List'!$A$5:$AL$883,K$4,FALSE))</f>
        <v/>
      </c>
      <c r="L72" s="168" t="str">
        <f>IF($C72="","",VLOOKUP($C72,'Tracking List'!$A$5:$AL$883,L$4,FALSE))</f>
        <v/>
      </c>
      <c r="M72" s="147" t="str">
        <f>IF($C72="","",VLOOKUP($C72,'Tracking List'!$A$5:$AL$883,M$4,FALSE))</f>
        <v/>
      </c>
      <c r="N72" s="148" t="str">
        <f>IF($C72="","",IF(VLOOKUP($C72,'Tracking List'!$A$5:$AL$883,N$3,FALSE)&gt;0,"Y",VLOOKUP($C72,'Tracking List'!$A$5:$AL$883,N$4,FALSE)))</f>
        <v/>
      </c>
      <c r="O72" s="148" t="str">
        <f>IF($C72="","",IF(VLOOKUP($C72,'Tracking List'!$A$5:$AL$883,O$3,FALSE)&gt;0,"Y",VLOOKUP($C72,'Tracking List'!$A$5:$AL$883,O$4,FALSE)))</f>
        <v/>
      </c>
      <c r="P72" s="147" t="str">
        <f>IF($C72="","",IF(VLOOKUP($C72,'Tracking List'!$A$5:$AL$883,P$4,FALSE)&gt;0,"Y",""))</f>
        <v/>
      </c>
      <c r="Q72" s="149"/>
      <c r="R72" s="150" t="str">
        <f>IF($C72="","",VLOOKUP($C72,'Tracking List'!$A$5:$AL$883,R$4,FALSE))</f>
        <v/>
      </c>
    </row>
    <row r="73" spans="3:18">
      <c r="C73" s="146"/>
      <c r="D73" s="147" t="str">
        <f>IF($C73="","",VLOOKUP($C73,'Tracking List'!$A$5:$AL$883,D$4,FALSE))</f>
        <v/>
      </c>
      <c r="E73" s="147" t="str">
        <f>IF($C73="","",VLOOKUP($C73,'Tracking List'!$A$5:$AL$883,E$4,FALSE))</f>
        <v/>
      </c>
      <c r="F73" s="147" t="str">
        <f>IF($C73="","",VLOOKUP($C73,'Tracking List'!$A$5:$AL$883,F$4,FALSE))</f>
        <v/>
      </c>
      <c r="G73" s="147" t="str">
        <f>IF($C73="","",VLOOKUP($C73,'Tracking List'!$A$5:$AL$883,G$4,FALSE))</f>
        <v/>
      </c>
      <c r="H73" s="147" t="str">
        <f>IF($C73="","",VLOOKUP($C73,'Tracking List'!$A$5:$AL$883,H$4,FALSE))</f>
        <v/>
      </c>
      <c r="I73" s="147" t="str">
        <f>IF($C73="","",VLOOKUP($C73,'Tracking List'!$A$5:$AL$883,I$4,FALSE))</f>
        <v/>
      </c>
      <c r="J73" s="147" t="str">
        <f>IF($C73="","",VLOOKUP($C73,'Tracking List'!$A$5:$AL$883,J$4,FALSE))</f>
        <v/>
      </c>
      <c r="K73" s="147" t="str">
        <f>IF($C73="","",VLOOKUP($C73,'Tracking List'!$A$5:$AL$883,K$4,FALSE))</f>
        <v/>
      </c>
      <c r="L73" s="168" t="str">
        <f>IF($C73="","",VLOOKUP($C73,'Tracking List'!$A$5:$AL$883,L$4,FALSE))</f>
        <v/>
      </c>
      <c r="M73" s="147" t="str">
        <f>IF($C73="","",VLOOKUP($C73,'Tracking List'!$A$5:$AL$883,M$4,FALSE))</f>
        <v/>
      </c>
      <c r="N73" s="148" t="str">
        <f>IF($C73="","",IF(VLOOKUP($C73,'Tracking List'!$A$5:$AL$883,N$3,FALSE)&gt;0,"Y",VLOOKUP($C73,'Tracking List'!$A$5:$AL$883,N$4,FALSE)))</f>
        <v/>
      </c>
      <c r="O73" s="148" t="str">
        <f>IF($C73="","",IF(VLOOKUP($C73,'Tracking List'!$A$5:$AL$883,O$3,FALSE)&gt;0,"Y",VLOOKUP($C73,'Tracking List'!$A$5:$AL$883,O$4,FALSE)))</f>
        <v/>
      </c>
      <c r="P73" s="147" t="str">
        <f>IF($C73="","",IF(VLOOKUP($C73,'Tracking List'!$A$5:$AL$883,P$4,FALSE)&gt;0,"Y",""))</f>
        <v/>
      </c>
      <c r="Q73" s="149"/>
      <c r="R73" s="150" t="str">
        <f>IF($C73="","",VLOOKUP($C73,'Tracking List'!$A$5:$AL$883,R$4,FALSE))</f>
        <v/>
      </c>
    </row>
    <row r="74" spans="3:18">
      <c r="C74" s="146"/>
      <c r="D74" s="147" t="str">
        <f>IF($C74="","",VLOOKUP($C74,'Tracking List'!$A$5:$AL$883,D$4,FALSE))</f>
        <v/>
      </c>
      <c r="E74" s="147" t="str">
        <f>IF($C74="","",VLOOKUP($C74,'Tracking List'!$A$5:$AL$883,E$4,FALSE))</f>
        <v/>
      </c>
      <c r="F74" s="147" t="str">
        <f>IF($C74="","",VLOOKUP($C74,'Tracking List'!$A$5:$AL$883,F$4,FALSE))</f>
        <v/>
      </c>
      <c r="G74" s="147" t="str">
        <f>IF($C74="","",VLOOKUP($C74,'Tracking List'!$A$5:$AL$883,G$4,FALSE))</f>
        <v/>
      </c>
      <c r="H74" s="147" t="str">
        <f>IF($C74="","",VLOOKUP($C74,'Tracking List'!$A$5:$AL$883,H$4,FALSE))</f>
        <v/>
      </c>
      <c r="I74" s="147" t="str">
        <f>IF($C74="","",VLOOKUP($C74,'Tracking List'!$A$5:$AL$883,I$4,FALSE))</f>
        <v/>
      </c>
      <c r="J74" s="147" t="str">
        <f>IF($C74="","",VLOOKUP($C74,'Tracking List'!$A$5:$AL$883,J$4,FALSE))</f>
        <v/>
      </c>
      <c r="K74" s="147" t="str">
        <f>IF($C74="","",VLOOKUP($C74,'Tracking List'!$A$5:$AL$883,K$4,FALSE))</f>
        <v/>
      </c>
      <c r="L74" s="168" t="str">
        <f>IF($C74="","",VLOOKUP($C74,'Tracking List'!$A$5:$AL$883,L$4,FALSE))</f>
        <v/>
      </c>
      <c r="M74" s="147" t="str">
        <f>IF($C74="","",VLOOKUP($C74,'Tracking List'!$A$5:$AL$883,M$4,FALSE))</f>
        <v/>
      </c>
      <c r="N74" s="148" t="str">
        <f>IF($C74="","",IF(VLOOKUP($C74,'Tracking List'!$A$5:$AL$883,N$3,FALSE)&gt;0,"Y",VLOOKUP($C74,'Tracking List'!$A$5:$AL$883,N$4,FALSE)))</f>
        <v/>
      </c>
      <c r="O74" s="148" t="str">
        <f>IF($C74="","",IF(VLOOKUP($C74,'Tracking List'!$A$5:$AL$883,O$3,FALSE)&gt;0,"Y",VLOOKUP($C74,'Tracking List'!$A$5:$AL$883,O$4,FALSE)))</f>
        <v/>
      </c>
      <c r="P74" s="147" t="str">
        <f>IF($C74="","",IF(VLOOKUP($C74,'Tracking List'!$A$5:$AL$883,P$4,FALSE)&gt;0,"Y",""))</f>
        <v/>
      </c>
      <c r="Q74" s="149"/>
      <c r="R74" s="150" t="str">
        <f>IF($C74="","",VLOOKUP($C74,'Tracking List'!$A$5:$AL$883,R$4,FALSE))</f>
        <v/>
      </c>
    </row>
    <row r="75" spans="3:18">
      <c r="C75" s="146"/>
      <c r="D75" s="147" t="str">
        <f>IF($C75="","",VLOOKUP($C75,'Tracking List'!$A$5:$AL$883,D$4,FALSE))</f>
        <v/>
      </c>
      <c r="E75" s="147" t="str">
        <f>IF($C75="","",VLOOKUP($C75,'Tracking List'!$A$5:$AL$883,E$4,FALSE))</f>
        <v/>
      </c>
      <c r="F75" s="147" t="str">
        <f>IF($C75="","",VLOOKUP($C75,'Tracking List'!$A$5:$AL$883,F$4,FALSE))</f>
        <v/>
      </c>
      <c r="G75" s="147" t="str">
        <f>IF($C75="","",VLOOKUP($C75,'Tracking List'!$A$5:$AL$883,G$4,FALSE))</f>
        <v/>
      </c>
      <c r="H75" s="147" t="str">
        <f>IF($C75="","",VLOOKUP($C75,'Tracking List'!$A$5:$AL$883,H$4,FALSE))</f>
        <v/>
      </c>
      <c r="I75" s="147" t="str">
        <f>IF($C75="","",VLOOKUP($C75,'Tracking List'!$A$5:$AL$883,I$4,FALSE))</f>
        <v/>
      </c>
      <c r="J75" s="147" t="str">
        <f>IF($C75="","",VLOOKUP($C75,'Tracking List'!$A$5:$AL$883,J$4,FALSE))</f>
        <v/>
      </c>
      <c r="K75" s="147" t="str">
        <f>IF($C75="","",VLOOKUP($C75,'Tracking List'!$A$5:$AL$883,K$4,FALSE))</f>
        <v/>
      </c>
      <c r="L75" s="168" t="str">
        <f>IF($C75="","",VLOOKUP($C75,'Tracking List'!$A$5:$AL$883,L$4,FALSE))</f>
        <v/>
      </c>
      <c r="M75" s="147" t="str">
        <f>IF($C75="","",VLOOKUP($C75,'Tracking List'!$A$5:$AL$883,M$4,FALSE))</f>
        <v/>
      </c>
      <c r="N75" s="148" t="str">
        <f>IF($C75="","",IF(VLOOKUP($C75,'Tracking List'!$A$5:$AL$883,N$3,FALSE)&gt;0,"Y",VLOOKUP($C75,'Tracking List'!$A$5:$AL$883,N$4,FALSE)))</f>
        <v/>
      </c>
      <c r="O75" s="148" t="str">
        <f>IF($C75="","",IF(VLOOKUP($C75,'Tracking List'!$A$5:$AL$883,O$3,FALSE)&gt;0,"Y",VLOOKUP($C75,'Tracking List'!$A$5:$AL$883,O$4,FALSE)))</f>
        <v/>
      </c>
      <c r="P75" s="147" t="str">
        <f>IF($C75="","",IF(VLOOKUP($C75,'Tracking List'!$A$5:$AL$883,P$4,FALSE)&gt;0,"Y",""))</f>
        <v/>
      </c>
      <c r="Q75" s="149"/>
      <c r="R75" s="150" t="str">
        <f>IF($C75="","",VLOOKUP($C75,'Tracking List'!$A$5:$AL$883,R$4,FALSE))</f>
        <v/>
      </c>
    </row>
    <row r="76" spans="3:18">
      <c r="C76" s="146"/>
      <c r="D76" s="147" t="str">
        <f>IF($C76="","",VLOOKUP($C76,'Tracking List'!$A$5:$AL$883,D$4,FALSE))</f>
        <v/>
      </c>
      <c r="E76" s="147" t="str">
        <f>IF($C76="","",VLOOKUP($C76,'Tracking List'!$A$5:$AL$883,E$4,FALSE))</f>
        <v/>
      </c>
      <c r="F76" s="147" t="str">
        <f>IF($C76="","",VLOOKUP($C76,'Tracking List'!$A$5:$AL$883,F$4,FALSE))</f>
        <v/>
      </c>
      <c r="G76" s="147" t="str">
        <f>IF($C76="","",VLOOKUP($C76,'Tracking List'!$A$5:$AL$883,G$4,FALSE))</f>
        <v/>
      </c>
      <c r="H76" s="147" t="str">
        <f>IF($C76="","",VLOOKUP($C76,'Tracking List'!$A$5:$AL$883,H$4,FALSE))</f>
        <v/>
      </c>
      <c r="I76" s="147" t="str">
        <f>IF($C76="","",VLOOKUP($C76,'Tracking List'!$A$5:$AL$883,I$4,FALSE))</f>
        <v/>
      </c>
      <c r="J76" s="147" t="str">
        <f>IF($C76="","",VLOOKUP($C76,'Tracking List'!$A$5:$AL$883,J$4,FALSE))</f>
        <v/>
      </c>
      <c r="K76" s="147" t="str">
        <f>IF($C76="","",VLOOKUP($C76,'Tracking List'!$A$5:$AL$883,K$4,FALSE))</f>
        <v/>
      </c>
      <c r="L76" s="168" t="str">
        <f>IF($C76="","",VLOOKUP($C76,'Tracking List'!$A$5:$AL$883,L$4,FALSE))</f>
        <v/>
      </c>
      <c r="M76" s="147" t="str">
        <f>IF($C76="","",VLOOKUP($C76,'Tracking List'!$A$5:$AL$883,M$4,FALSE))</f>
        <v/>
      </c>
      <c r="N76" s="148" t="str">
        <f>IF($C76="","",IF(VLOOKUP($C76,'Tracking List'!$A$5:$AL$883,N$3,FALSE)&gt;0,"Y",VLOOKUP($C76,'Tracking List'!$A$5:$AL$883,N$4,FALSE)))</f>
        <v/>
      </c>
      <c r="O76" s="148" t="str">
        <f>IF($C76="","",IF(VLOOKUP($C76,'Tracking List'!$A$5:$AL$883,O$3,FALSE)&gt;0,"Y",VLOOKUP($C76,'Tracking List'!$A$5:$AL$883,O$4,FALSE)))</f>
        <v/>
      </c>
      <c r="P76" s="147" t="str">
        <f>IF($C76="","",IF(VLOOKUP($C76,'Tracking List'!$A$5:$AL$883,P$4,FALSE)&gt;0,"Y",""))</f>
        <v/>
      </c>
      <c r="Q76" s="149"/>
      <c r="R76" s="150" t="str">
        <f>IF($C76="","",VLOOKUP($C76,'Tracking List'!$A$5:$AL$883,R$4,FALSE))</f>
        <v/>
      </c>
    </row>
    <row r="77" spans="3:18">
      <c r="C77" s="146"/>
      <c r="D77" s="147" t="str">
        <f>IF($C77="","",VLOOKUP($C77,'Tracking List'!$A$5:$AL$883,D$4,FALSE))</f>
        <v/>
      </c>
      <c r="E77" s="147" t="str">
        <f>IF($C77="","",VLOOKUP($C77,'Tracking List'!$A$5:$AL$883,E$4,FALSE))</f>
        <v/>
      </c>
      <c r="F77" s="147" t="str">
        <f>IF($C77="","",VLOOKUP($C77,'Tracking List'!$A$5:$AL$883,F$4,FALSE))</f>
        <v/>
      </c>
      <c r="G77" s="147" t="str">
        <f>IF($C77="","",VLOOKUP($C77,'Tracking List'!$A$5:$AL$883,G$4,FALSE))</f>
        <v/>
      </c>
      <c r="H77" s="147" t="str">
        <f>IF($C77="","",VLOOKUP($C77,'Tracking List'!$A$5:$AL$883,H$4,FALSE))</f>
        <v/>
      </c>
      <c r="I77" s="147" t="str">
        <f>IF($C77="","",VLOOKUP($C77,'Tracking List'!$A$5:$AL$883,I$4,FALSE))</f>
        <v/>
      </c>
      <c r="J77" s="147" t="str">
        <f>IF($C77="","",VLOOKUP($C77,'Tracking List'!$A$5:$AL$883,J$4,FALSE))</f>
        <v/>
      </c>
      <c r="K77" s="147" t="str">
        <f>IF($C77="","",VLOOKUP($C77,'Tracking List'!$A$5:$AL$883,K$4,FALSE))</f>
        <v/>
      </c>
      <c r="L77" s="168" t="str">
        <f>IF($C77="","",VLOOKUP($C77,'Tracking List'!$A$5:$AL$883,L$4,FALSE))</f>
        <v/>
      </c>
      <c r="M77" s="147" t="str">
        <f>IF($C77="","",VLOOKUP($C77,'Tracking List'!$A$5:$AL$883,M$4,FALSE))</f>
        <v/>
      </c>
      <c r="N77" s="148" t="str">
        <f>IF($C77="","",IF(VLOOKUP($C77,'Tracking List'!$A$5:$AL$883,N$3,FALSE)&gt;0,"Y",VLOOKUP($C77,'Tracking List'!$A$5:$AL$883,N$4,FALSE)))</f>
        <v/>
      </c>
      <c r="O77" s="148" t="str">
        <f>IF($C77="","",IF(VLOOKUP($C77,'Tracking List'!$A$5:$AL$883,O$3,FALSE)&gt;0,"Y",VLOOKUP($C77,'Tracking List'!$A$5:$AL$883,O$4,FALSE)))</f>
        <v/>
      </c>
      <c r="P77" s="147" t="str">
        <f>IF($C77="","",IF(VLOOKUP($C77,'Tracking List'!$A$5:$AL$883,P$4,FALSE)&gt;0,"Y",""))</f>
        <v/>
      </c>
      <c r="Q77" s="149"/>
      <c r="R77" s="150" t="str">
        <f>IF($C77="","",VLOOKUP($C77,'Tracking List'!$A$5:$AL$883,R$4,FALSE))</f>
        <v/>
      </c>
    </row>
    <row r="78" spans="3:18">
      <c r="C78" s="146"/>
      <c r="D78" s="147" t="str">
        <f>IF($C78="","",VLOOKUP($C78,'Tracking List'!$A$5:$AL$883,D$4,FALSE))</f>
        <v/>
      </c>
      <c r="E78" s="147" t="str">
        <f>IF($C78="","",VLOOKUP($C78,'Tracking List'!$A$5:$AL$883,E$4,FALSE))</f>
        <v/>
      </c>
      <c r="F78" s="147" t="str">
        <f>IF($C78="","",VLOOKUP($C78,'Tracking List'!$A$5:$AL$883,F$4,FALSE))</f>
        <v/>
      </c>
      <c r="G78" s="147" t="str">
        <f>IF($C78="","",VLOOKUP($C78,'Tracking List'!$A$5:$AL$883,G$4,FALSE))</f>
        <v/>
      </c>
      <c r="H78" s="147" t="str">
        <f>IF($C78="","",VLOOKUP($C78,'Tracking List'!$A$5:$AL$883,H$4,FALSE))</f>
        <v/>
      </c>
      <c r="I78" s="147" t="str">
        <f>IF($C78="","",VLOOKUP($C78,'Tracking List'!$A$5:$AL$883,I$4,FALSE))</f>
        <v/>
      </c>
      <c r="J78" s="147" t="str">
        <f>IF($C78="","",VLOOKUP($C78,'Tracking List'!$A$5:$AL$883,J$4,FALSE))</f>
        <v/>
      </c>
      <c r="K78" s="147" t="str">
        <f>IF($C78="","",VLOOKUP($C78,'Tracking List'!$A$5:$AL$883,K$4,FALSE))</f>
        <v/>
      </c>
      <c r="L78" s="168" t="str">
        <f>IF($C78="","",VLOOKUP($C78,'Tracking List'!$A$5:$AL$883,L$4,FALSE))</f>
        <v/>
      </c>
      <c r="M78" s="147" t="str">
        <f>IF($C78="","",VLOOKUP($C78,'Tracking List'!$A$5:$AL$883,M$4,FALSE))</f>
        <v/>
      </c>
      <c r="N78" s="148" t="str">
        <f>IF($C78="","",IF(VLOOKUP($C78,'Tracking List'!$A$5:$AL$883,N$3,FALSE)&gt;0,"Y",VLOOKUP($C78,'Tracking List'!$A$5:$AL$883,N$4,FALSE)))</f>
        <v/>
      </c>
      <c r="O78" s="148" t="str">
        <f>IF($C78="","",IF(VLOOKUP($C78,'Tracking List'!$A$5:$AL$883,O$3,FALSE)&gt;0,"Y",VLOOKUP($C78,'Tracking List'!$A$5:$AL$883,O$4,FALSE)))</f>
        <v/>
      </c>
      <c r="P78" s="147" t="str">
        <f>IF($C78="","",IF(VLOOKUP($C78,'Tracking List'!$A$5:$AL$883,P$4,FALSE)&gt;0,"Y",""))</f>
        <v/>
      </c>
      <c r="Q78" s="149"/>
      <c r="R78" s="150" t="str">
        <f>IF($C78="","",VLOOKUP($C78,'Tracking List'!$A$5:$AL$883,R$4,FALSE))</f>
        <v/>
      </c>
    </row>
    <row r="79" spans="3:18">
      <c r="C79" s="146"/>
      <c r="D79" s="147" t="str">
        <f>IF($C79="","",VLOOKUP($C79,'Tracking List'!$A$5:$AL$883,D$4,FALSE))</f>
        <v/>
      </c>
      <c r="E79" s="147" t="str">
        <f>IF($C79="","",VLOOKUP($C79,'Tracking List'!$A$5:$AL$883,E$4,FALSE))</f>
        <v/>
      </c>
      <c r="F79" s="147" t="str">
        <f>IF($C79="","",VLOOKUP($C79,'Tracking List'!$A$5:$AL$883,F$4,FALSE))</f>
        <v/>
      </c>
      <c r="G79" s="147" t="str">
        <f>IF($C79="","",VLOOKUP($C79,'Tracking List'!$A$5:$AL$883,G$4,FALSE))</f>
        <v/>
      </c>
      <c r="H79" s="147" t="str">
        <f>IF($C79="","",VLOOKUP($C79,'Tracking List'!$A$5:$AL$883,H$4,FALSE))</f>
        <v/>
      </c>
      <c r="I79" s="147" t="str">
        <f>IF($C79="","",VLOOKUP($C79,'Tracking List'!$A$5:$AL$883,I$4,FALSE))</f>
        <v/>
      </c>
      <c r="J79" s="147" t="str">
        <f>IF($C79="","",VLOOKUP($C79,'Tracking List'!$A$5:$AL$883,J$4,FALSE))</f>
        <v/>
      </c>
      <c r="K79" s="147" t="str">
        <f>IF($C79="","",VLOOKUP($C79,'Tracking List'!$A$5:$AL$883,K$4,FALSE))</f>
        <v/>
      </c>
      <c r="L79" s="168" t="str">
        <f>IF($C79="","",VLOOKUP($C79,'Tracking List'!$A$5:$AL$883,L$4,FALSE))</f>
        <v/>
      </c>
      <c r="M79" s="147" t="str">
        <f>IF($C79="","",VLOOKUP($C79,'Tracking List'!$A$5:$AL$883,M$4,FALSE))</f>
        <v/>
      </c>
      <c r="N79" s="148" t="str">
        <f>IF($C79="","",IF(VLOOKUP($C79,'Tracking List'!$A$5:$AL$883,N$3,FALSE)&gt;0,"Y",VLOOKUP($C79,'Tracking List'!$A$5:$AL$883,N$4,FALSE)))</f>
        <v/>
      </c>
      <c r="O79" s="148" t="str">
        <f>IF($C79="","",IF(VLOOKUP($C79,'Tracking List'!$A$5:$AL$883,O$3,FALSE)&gt;0,"Y",VLOOKUP($C79,'Tracking List'!$A$5:$AL$883,O$4,FALSE)))</f>
        <v/>
      </c>
      <c r="P79" s="147" t="str">
        <f>IF($C79="","",IF(VLOOKUP($C79,'Tracking List'!$A$5:$AL$883,P$4,FALSE)&gt;0,"Y",""))</f>
        <v/>
      </c>
      <c r="Q79" s="149"/>
      <c r="R79" s="150" t="str">
        <f>IF($C79="","",VLOOKUP($C79,'Tracking List'!$A$5:$AL$883,R$4,FALSE))</f>
        <v/>
      </c>
    </row>
    <row r="80" spans="3:18">
      <c r="C80" s="146"/>
      <c r="D80" s="147" t="str">
        <f>IF($C80="","",VLOOKUP($C80,'Tracking List'!$A$5:$AL$883,D$4,FALSE))</f>
        <v/>
      </c>
      <c r="E80" s="147" t="str">
        <f>IF($C80="","",VLOOKUP($C80,'Tracking List'!$A$5:$AL$883,E$4,FALSE))</f>
        <v/>
      </c>
      <c r="F80" s="147" t="str">
        <f>IF($C80="","",VLOOKUP($C80,'Tracking List'!$A$5:$AL$883,F$4,FALSE))</f>
        <v/>
      </c>
      <c r="G80" s="147" t="str">
        <f>IF($C80="","",VLOOKUP($C80,'Tracking List'!$A$5:$AL$883,G$4,FALSE))</f>
        <v/>
      </c>
      <c r="H80" s="147" t="str">
        <f>IF($C80="","",VLOOKUP($C80,'Tracking List'!$A$5:$AL$883,H$4,FALSE))</f>
        <v/>
      </c>
      <c r="I80" s="147" t="str">
        <f>IF($C80="","",VLOOKUP($C80,'Tracking List'!$A$5:$AL$883,I$4,FALSE))</f>
        <v/>
      </c>
      <c r="J80" s="147" t="str">
        <f>IF($C80="","",VLOOKUP($C80,'Tracking List'!$A$5:$AL$883,J$4,FALSE))</f>
        <v/>
      </c>
      <c r="K80" s="147" t="str">
        <f>IF($C80="","",VLOOKUP($C80,'Tracking List'!$A$5:$AL$883,K$4,FALSE))</f>
        <v/>
      </c>
      <c r="L80" s="168" t="str">
        <f>IF($C80="","",VLOOKUP($C80,'Tracking List'!$A$5:$AL$883,L$4,FALSE))</f>
        <v/>
      </c>
      <c r="M80" s="147" t="str">
        <f>IF($C80="","",VLOOKUP($C80,'Tracking List'!$A$5:$AL$883,M$4,FALSE))</f>
        <v/>
      </c>
      <c r="N80" s="148" t="str">
        <f>IF($C80="","",IF(VLOOKUP($C80,'Tracking List'!$A$5:$AL$883,N$3,FALSE)&gt;0,"Y",VLOOKUP($C80,'Tracking List'!$A$5:$AL$883,N$4,FALSE)))</f>
        <v/>
      </c>
      <c r="O80" s="148" t="str">
        <f>IF($C80="","",IF(VLOOKUP($C80,'Tracking List'!$A$5:$AL$883,O$3,FALSE)&gt;0,"Y",VLOOKUP($C80,'Tracking List'!$A$5:$AL$883,O$4,FALSE)))</f>
        <v/>
      </c>
      <c r="P80" s="147" t="str">
        <f>IF($C80="","",IF(VLOOKUP($C80,'Tracking List'!$A$5:$AL$883,P$4,FALSE)&gt;0,"Y",""))</f>
        <v/>
      </c>
      <c r="Q80" s="149"/>
      <c r="R80" s="150" t="str">
        <f>IF($C80="","",VLOOKUP($C80,'Tracking List'!$A$5:$AL$883,R$4,FALSE))</f>
        <v/>
      </c>
    </row>
    <row r="81" spans="3:18">
      <c r="C81" s="146"/>
      <c r="D81" s="147" t="str">
        <f>IF($C81="","",VLOOKUP($C81,'Tracking List'!$A$5:$AL$883,D$4,FALSE))</f>
        <v/>
      </c>
      <c r="E81" s="147" t="str">
        <f>IF($C81="","",VLOOKUP($C81,'Tracking List'!$A$5:$AL$883,E$4,FALSE))</f>
        <v/>
      </c>
      <c r="F81" s="147" t="str">
        <f>IF($C81="","",VLOOKUP($C81,'Tracking List'!$A$5:$AL$883,F$4,FALSE))</f>
        <v/>
      </c>
      <c r="G81" s="147" t="str">
        <f>IF($C81="","",VLOOKUP($C81,'Tracking List'!$A$5:$AL$883,G$4,FALSE))</f>
        <v/>
      </c>
      <c r="H81" s="147" t="str">
        <f>IF($C81="","",VLOOKUP($C81,'Tracking List'!$A$5:$AL$883,H$4,FALSE))</f>
        <v/>
      </c>
      <c r="I81" s="147" t="str">
        <f>IF($C81="","",VLOOKUP($C81,'Tracking List'!$A$5:$AL$883,I$4,FALSE))</f>
        <v/>
      </c>
      <c r="J81" s="147" t="str">
        <f>IF($C81="","",VLOOKUP($C81,'Tracking List'!$A$5:$AL$883,J$4,FALSE))</f>
        <v/>
      </c>
      <c r="K81" s="147" t="str">
        <f>IF($C81="","",VLOOKUP($C81,'Tracking List'!$A$5:$AL$883,K$4,FALSE))</f>
        <v/>
      </c>
      <c r="L81" s="168" t="str">
        <f>IF($C81="","",VLOOKUP($C81,'Tracking List'!$A$5:$AL$883,L$4,FALSE))</f>
        <v/>
      </c>
      <c r="M81" s="147" t="str">
        <f>IF($C81="","",VLOOKUP($C81,'Tracking List'!$A$5:$AL$883,M$4,FALSE))</f>
        <v/>
      </c>
      <c r="N81" s="148" t="str">
        <f>IF($C81="","",IF(VLOOKUP($C81,'Tracking List'!$A$5:$AL$883,N$3,FALSE)&gt;0,"Y",VLOOKUP($C81,'Tracking List'!$A$5:$AL$883,N$4,FALSE)))</f>
        <v/>
      </c>
      <c r="O81" s="148" t="str">
        <f>IF($C81="","",IF(VLOOKUP($C81,'Tracking List'!$A$5:$AL$883,O$3,FALSE)&gt;0,"Y",VLOOKUP($C81,'Tracking List'!$A$5:$AL$883,O$4,FALSE)))</f>
        <v/>
      </c>
      <c r="P81" s="147" t="str">
        <f>IF($C81="","",IF(VLOOKUP($C81,'Tracking List'!$A$5:$AL$883,P$4,FALSE)&gt;0,"Y",""))</f>
        <v/>
      </c>
      <c r="Q81" s="149"/>
      <c r="R81" s="150" t="str">
        <f>IF($C81="","",VLOOKUP($C81,'Tracking List'!$A$5:$AL$883,R$4,FALSE))</f>
        <v/>
      </c>
    </row>
    <row r="82" spans="3:18">
      <c r="C82" s="146"/>
      <c r="D82" s="147" t="str">
        <f>IF($C82="","",VLOOKUP($C82,'Tracking List'!$A$5:$AL$883,D$4,FALSE))</f>
        <v/>
      </c>
      <c r="E82" s="147" t="str">
        <f>IF($C82="","",VLOOKUP($C82,'Tracking List'!$A$5:$AL$883,E$4,FALSE))</f>
        <v/>
      </c>
      <c r="F82" s="147" t="str">
        <f>IF($C82="","",VLOOKUP($C82,'Tracking List'!$A$5:$AL$883,F$4,FALSE))</f>
        <v/>
      </c>
      <c r="G82" s="147" t="str">
        <f>IF($C82="","",VLOOKUP($C82,'Tracking List'!$A$5:$AL$883,G$4,FALSE))</f>
        <v/>
      </c>
      <c r="H82" s="147" t="str">
        <f>IF($C82="","",VLOOKUP($C82,'Tracking List'!$A$5:$AL$883,H$4,FALSE))</f>
        <v/>
      </c>
      <c r="I82" s="147" t="str">
        <f>IF($C82="","",VLOOKUP($C82,'Tracking List'!$A$5:$AL$883,I$4,FALSE))</f>
        <v/>
      </c>
      <c r="J82" s="147" t="str">
        <f>IF($C82="","",VLOOKUP($C82,'Tracking List'!$A$5:$AL$883,J$4,FALSE))</f>
        <v/>
      </c>
      <c r="K82" s="147" t="str">
        <f>IF($C82="","",VLOOKUP($C82,'Tracking List'!$A$5:$AL$883,K$4,FALSE))</f>
        <v/>
      </c>
      <c r="L82" s="168" t="str">
        <f>IF($C82="","",VLOOKUP($C82,'Tracking List'!$A$5:$AL$883,L$4,FALSE))</f>
        <v/>
      </c>
      <c r="M82" s="147" t="str">
        <f>IF($C82="","",VLOOKUP($C82,'Tracking List'!$A$5:$AL$883,M$4,FALSE))</f>
        <v/>
      </c>
      <c r="N82" s="148" t="str">
        <f>IF($C82="","",IF(VLOOKUP($C82,'Tracking List'!$A$5:$AL$883,N$3,FALSE)&gt;0,"Y",VLOOKUP($C82,'Tracking List'!$A$5:$AL$883,N$4,FALSE)))</f>
        <v/>
      </c>
      <c r="O82" s="148" t="str">
        <f>IF($C82="","",IF(VLOOKUP($C82,'Tracking List'!$A$5:$AL$883,O$3,FALSE)&gt;0,"Y",VLOOKUP($C82,'Tracking List'!$A$5:$AL$883,O$4,FALSE)))</f>
        <v/>
      </c>
      <c r="P82" s="147" t="str">
        <f>IF($C82="","",IF(VLOOKUP($C82,'Tracking List'!$A$5:$AL$883,P$4,FALSE)&gt;0,"Y",""))</f>
        <v/>
      </c>
      <c r="Q82" s="149"/>
      <c r="R82" s="150" t="str">
        <f>IF($C82="","",VLOOKUP($C82,'Tracking List'!$A$5:$AL$883,R$4,FALSE))</f>
        <v/>
      </c>
    </row>
    <row r="83" spans="3:18">
      <c r="C83" s="146"/>
      <c r="D83" s="147" t="str">
        <f>IF($C83="","",VLOOKUP($C83,'Tracking List'!$A$5:$AL$883,D$4,FALSE))</f>
        <v/>
      </c>
      <c r="E83" s="147" t="str">
        <f>IF($C83="","",VLOOKUP($C83,'Tracking List'!$A$5:$AL$883,E$4,FALSE))</f>
        <v/>
      </c>
      <c r="F83" s="147" t="str">
        <f>IF($C83="","",VLOOKUP($C83,'Tracking List'!$A$5:$AL$883,F$4,FALSE))</f>
        <v/>
      </c>
      <c r="G83" s="147" t="str">
        <f>IF($C83="","",VLOOKUP($C83,'Tracking List'!$A$5:$AL$883,G$4,FALSE))</f>
        <v/>
      </c>
      <c r="H83" s="147" t="str">
        <f>IF($C83="","",VLOOKUP($C83,'Tracking List'!$A$5:$AL$883,H$4,FALSE))</f>
        <v/>
      </c>
      <c r="I83" s="147" t="str">
        <f>IF($C83="","",VLOOKUP($C83,'Tracking List'!$A$5:$AL$883,I$4,FALSE))</f>
        <v/>
      </c>
      <c r="J83" s="147" t="str">
        <f>IF($C83="","",VLOOKUP($C83,'Tracking List'!$A$5:$AL$883,J$4,FALSE))</f>
        <v/>
      </c>
      <c r="K83" s="147" t="str">
        <f>IF($C83="","",VLOOKUP($C83,'Tracking List'!$A$5:$AL$883,K$4,FALSE))</f>
        <v/>
      </c>
      <c r="L83" s="168" t="str">
        <f>IF($C83="","",VLOOKUP($C83,'Tracking List'!$A$5:$AL$883,L$4,FALSE))</f>
        <v/>
      </c>
      <c r="M83" s="147" t="str">
        <f>IF($C83="","",VLOOKUP($C83,'Tracking List'!$A$5:$AL$883,M$4,FALSE))</f>
        <v/>
      </c>
      <c r="N83" s="148" t="str">
        <f>IF($C83="","",IF(VLOOKUP($C83,'Tracking List'!$A$5:$AL$883,N$3,FALSE)&gt;0,"Y",VLOOKUP($C83,'Tracking List'!$A$5:$AL$883,N$4,FALSE)))</f>
        <v/>
      </c>
      <c r="O83" s="148" t="str">
        <f>IF($C83="","",IF(VLOOKUP($C83,'Tracking List'!$A$5:$AL$883,O$3,FALSE)&gt;0,"Y",VLOOKUP($C83,'Tracking List'!$A$5:$AL$883,O$4,FALSE)))</f>
        <v/>
      </c>
      <c r="P83" s="147" t="str">
        <f>IF($C83="","",IF(VLOOKUP($C83,'Tracking List'!$A$5:$AL$883,P$4,FALSE)&gt;0,"Y",""))</f>
        <v/>
      </c>
      <c r="Q83" s="149"/>
      <c r="R83" s="150" t="str">
        <f>IF($C83="","",VLOOKUP($C83,'Tracking List'!$A$5:$AL$883,R$4,FALSE))</f>
        <v/>
      </c>
    </row>
    <row r="84" spans="3:18">
      <c r="C84" s="146"/>
      <c r="D84" s="147" t="str">
        <f>IF($C84="","",VLOOKUP($C84,'Tracking List'!$A$5:$AL$883,D$4,FALSE))</f>
        <v/>
      </c>
      <c r="E84" s="147" t="str">
        <f>IF($C84="","",VLOOKUP($C84,'Tracking List'!$A$5:$AL$883,E$4,FALSE))</f>
        <v/>
      </c>
      <c r="F84" s="147" t="str">
        <f>IF($C84="","",VLOOKUP($C84,'Tracking List'!$A$5:$AL$883,F$4,FALSE))</f>
        <v/>
      </c>
      <c r="G84" s="147" t="str">
        <f>IF($C84="","",VLOOKUP($C84,'Tracking List'!$A$5:$AL$883,G$4,FALSE))</f>
        <v/>
      </c>
      <c r="H84" s="147" t="str">
        <f>IF($C84="","",VLOOKUP($C84,'Tracking List'!$A$5:$AL$883,H$4,FALSE))</f>
        <v/>
      </c>
      <c r="I84" s="147" t="str">
        <f>IF($C84="","",VLOOKUP($C84,'Tracking List'!$A$5:$AL$883,I$4,FALSE))</f>
        <v/>
      </c>
      <c r="J84" s="147" t="str">
        <f>IF($C84="","",VLOOKUP($C84,'Tracking List'!$A$5:$AL$883,J$4,FALSE))</f>
        <v/>
      </c>
      <c r="K84" s="147" t="str">
        <f>IF($C84="","",VLOOKUP($C84,'Tracking List'!$A$5:$AL$883,K$4,FALSE))</f>
        <v/>
      </c>
      <c r="L84" s="168" t="str">
        <f>IF($C84="","",VLOOKUP($C84,'Tracking List'!$A$5:$AL$883,L$4,FALSE))</f>
        <v/>
      </c>
      <c r="M84" s="147" t="str">
        <f>IF($C84="","",VLOOKUP($C84,'Tracking List'!$A$5:$AL$883,M$4,FALSE))</f>
        <v/>
      </c>
      <c r="N84" s="148" t="str">
        <f>IF($C84="","",IF(VLOOKUP($C84,'Tracking List'!$A$5:$AL$883,N$3,FALSE)&gt;0,"Y",VLOOKUP($C84,'Tracking List'!$A$5:$AL$883,N$4,FALSE)))</f>
        <v/>
      </c>
      <c r="O84" s="148" t="str">
        <f>IF($C84="","",IF(VLOOKUP($C84,'Tracking List'!$A$5:$AL$883,O$3,FALSE)&gt;0,"Y",VLOOKUP($C84,'Tracking List'!$A$5:$AL$883,O$4,FALSE)))</f>
        <v/>
      </c>
      <c r="P84" s="147" t="str">
        <f>IF($C84="","",IF(VLOOKUP($C84,'Tracking List'!$A$5:$AL$883,P$4,FALSE)&gt;0,"Y",""))</f>
        <v/>
      </c>
      <c r="Q84" s="149"/>
      <c r="R84" s="150" t="str">
        <f>IF($C84="","",VLOOKUP($C84,'Tracking List'!$A$5:$AL$883,R$4,FALSE))</f>
        <v/>
      </c>
    </row>
    <row r="85" spans="3:18">
      <c r="C85" s="146"/>
      <c r="D85" s="147" t="str">
        <f>IF($C85="","",VLOOKUP($C85,'Tracking List'!$A$5:$AL$883,D$4,FALSE))</f>
        <v/>
      </c>
      <c r="E85" s="147" t="str">
        <f>IF($C85="","",VLOOKUP($C85,'Tracking List'!$A$5:$AL$883,E$4,FALSE))</f>
        <v/>
      </c>
      <c r="F85" s="147" t="str">
        <f>IF($C85="","",VLOOKUP($C85,'Tracking List'!$A$5:$AL$883,F$4,FALSE))</f>
        <v/>
      </c>
      <c r="G85" s="147" t="str">
        <f>IF($C85="","",VLOOKUP($C85,'Tracking List'!$A$5:$AL$883,G$4,FALSE))</f>
        <v/>
      </c>
      <c r="H85" s="147" t="str">
        <f>IF($C85="","",VLOOKUP($C85,'Tracking List'!$A$5:$AL$883,H$4,FALSE))</f>
        <v/>
      </c>
      <c r="I85" s="147" t="str">
        <f>IF($C85="","",VLOOKUP($C85,'Tracking List'!$A$5:$AL$883,I$4,FALSE))</f>
        <v/>
      </c>
      <c r="J85" s="147" t="str">
        <f>IF($C85="","",VLOOKUP($C85,'Tracking List'!$A$5:$AL$883,J$4,FALSE))</f>
        <v/>
      </c>
      <c r="K85" s="147" t="str">
        <f>IF($C85="","",VLOOKUP($C85,'Tracking List'!$A$5:$AL$883,K$4,FALSE))</f>
        <v/>
      </c>
      <c r="L85" s="168" t="str">
        <f>IF($C85="","",VLOOKUP($C85,'Tracking List'!$A$5:$AL$883,L$4,FALSE))</f>
        <v/>
      </c>
      <c r="M85" s="147" t="str">
        <f>IF($C85="","",VLOOKUP($C85,'Tracking List'!$A$5:$AL$883,M$4,FALSE))</f>
        <v/>
      </c>
      <c r="N85" s="148" t="str">
        <f>IF($C85="","",IF(VLOOKUP($C85,'Tracking List'!$A$5:$AL$883,N$3,FALSE)&gt;0,"Y",VLOOKUP($C85,'Tracking List'!$A$5:$AL$883,N$4,FALSE)))</f>
        <v/>
      </c>
      <c r="O85" s="148" t="str">
        <f>IF($C85="","",IF(VLOOKUP($C85,'Tracking List'!$A$5:$AL$883,O$3,FALSE)&gt;0,"Y",VLOOKUP($C85,'Tracking List'!$A$5:$AL$883,O$4,FALSE)))</f>
        <v/>
      </c>
      <c r="P85" s="147" t="str">
        <f>IF($C85="","",IF(VLOOKUP($C85,'Tracking List'!$A$5:$AL$883,P$4,FALSE)&gt;0,"Y",""))</f>
        <v/>
      </c>
      <c r="Q85" s="149"/>
      <c r="R85" s="150" t="str">
        <f>IF($C85="","",VLOOKUP($C85,'Tracking List'!$A$5:$AL$883,R$4,FALSE))</f>
        <v/>
      </c>
    </row>
    <row r="86" spans="3:18">
      <c r="C86" s="146"/>
      <c r="D86" s="147" t="str">
        <f>IF($C86="","",VLOOKUP($C86,'Tracking List'!$A$5:$AL$883,D$4,FALSE))</f>
        <v/>
      </c>
      <c r="E86" s="147" t="str">
        <f>IF($C86="","",VLOOKUP($C86,'Tracking List'!$A$5:$AL$883,E$4,FALSE))</f>
        <v/>
      </c>
      <c r="F86" s="147" t="str">
        <f>IF($C86="","",VLOOKUP($C86,'Tracking List'!$A$5:$AL$883,F$4,FALSE))</f>
        <v/>
      </c>
      <c r="G86" s="147" t="str">
        <f>IF($C86="","",VLOOKUP($C86,'Tracking List'!$A$5:$AL$883,G$4,FALSE))</f>
        <v/>
      </c>
      <c r="H86" s="147" t="str">
        <f>IF($C86="","",VLOOKUP($C86,'Tracking List'!$A$5:$AL$883,H$4,FALSE))</f>
        <v/>
      </c>
      <c r="I86" s="147" t="str">
        <f>IF($C86="","",VLOOKUP($C86,'Tracking List'!$A$5:$AL$883,I$4,FALSE))</f>
        <v/>
      </c>
      <c r="J86" s="147" t="str">
        <f>IF($C86="","",VLOOKUP($C86,'Tracking List'!$A$5:$AL$883,J$4,FALSE))</f>
        <v/>
      </c>
      <c r="K86" s="147" t="str">
        <f>IF($C86="","",VLOOKUP($C86,'Tracking List'!$A$5:$AL$883,K$4,FALSE))</f>
        <v/>
      </c>
      <c r="L86" s="168" t="str">
        <f>IF($C86="","",VLOOKUP($C86,'Tracking List'!$A$5:$AL$883,L$4,FALSE))</f>
        <v/>
      </c>
      <c r="M86" s="147" t="str">
        <f>IF($C86="","",VLOOKUP($C86,'Tracking List'!$A$5:$AL$883,M$4,FALSE))</f>
        <v/>
      </c>
      <c r="N86" s="148" t="str">
        <f>IF($C86="","",IF(VLOOKUP($C86,'Tracking List'!$A$5:$AL$883,N$3,FALSE)&gt;0,"Y",VLOOKUP($C86,'Tracking List'!$A$5:$AL$883,N$4,FALSE)))</f>
        <v/>
      </c>
      <c r="O86" s="148" t="str">
        <f>IF($C86="","",IF(VLOOKUP($C86,'Tracking List'!$A$5:$AL$883,O$3,FALSE)&gt;0,"Y",VLOOKUP($C86,'Tracking List'!$A$5:$AL$883,O$4,FALSE)))</f>
        <v/>
      </c>
      <c r="P86" s="147" t="str">
        <f>IF($C86="","",IF(VLOOKUP($C86,'Tracking List'!$A$5:$AL$883,P$4,FALSE)&gt;0,"Y",""))</f>
        <v/>
      </c>
      <c r="Q86" s="149"/>
      <c r="R86" s="150" t="str">
        <f>IF($C86="","",VLOOKUP($C86,'Tracking List'!$A$5:$AL$883,R$4,FALSE))</f>
        <v/>
      </c>
    </row>
    <row r="87" spans="3:18">
      <c r="C87" s="146"/>
      <c r="D87" s="147" t="str">
        <f>IF($C87="","",VLOOKUP($C87,'Tracking List'!$A$5:$AL$883,D$4,FALSE))</f>
        <v/>
      </c>
      <c r="E87" s="147" t="str">
        <f>IF($C87="","",VLOOKUP($C87,'Tracking List'!$A$5:$AL$883,E$4,FALSE))</f>
        <v/>
      </c>
      <c r="F87" s="147" t="str">
        <f>IF($C87="","",VLOOKUP($C87,'Tracking List'!$A$5:$AL$883,F$4,FALSE))</f>
        <v/>
      </c>
      <c r="G87" s="147" t="str">
        <f>IF($C87="","",VLOOKUP($C87,'Tracking List'!$A$5:$AL$883,G$4,FALSE))</f>
        <v/>
      </c>
      <c r="H87" s="147" t="str">
        <f>IF($C87="","",VLOOKUP($C87,'Tracking List'!$A$5:$AL$883,H$4,FALSE))</f>
        <v/>
      </c>
      <c r="I87" s="147" t="str">
        <f>IF($C87="","",VLOOKUP($C87,'Tracking List'!$A$5:$AL$883,I$4,FALSE))</f>
        <v/>
      </c>
      <c r="J87" s="147" t="str">
        <f>IF($C87="","",VLOOKUP($C87,'Tracking List'!$A$5:$AL$883,J$4,FALSE))</f>
        <v/>
      </c>
      <c r="K87" s="147" t="str">
        <f>IF($C87="","",VLOOKUP($C87,'Tracking List'!$A$5:$AL$883,K$4,FALSE))</f>
        <v/>
      </c>
      <c r="L87" s="168" t="str">
        <f>IF($C87="","",VLOOKUP($C87,'Tracking List'!$A$5:$AL$883,L$4,FALSE))</f>
        <v/>
      </c>
      <c r="M87" s="147" t="str">
        <f>IF($C87="","",VLOOKUP($C87,'Tracking List'!$A$5:$AL$883,M$4,FALSE))</f>
        <v/>
      </c>
      <c r="N87" s="148" t="str">
        <f>IF($C87="","",IF(VLOOKUP($C87,'Tracking List'!$A$5:$AL$883,N$3,FALSE)&gt;0,"Y",VLOOKUP($C87,'Tracking List'!$A$5:$AL$883,N$4,FALSE)))</f>
        <v/>
      </c>
      <c r="O87" s="148" t="str">
        <f>IF($C87="","",IF(VLOOKUP($C87,'Tracking List'!$A$5:$AL$883,O$3,FALSE)&gt;0,"Y",VLOOKUP($C87,'Tracking List'!$A$5:$AL$883,O$4,FALSE)))</f>
        <v/>
      </c>
      <c r="P87" s="147" t="str">
        <f>IF($C87="","",IF(VLOOKUP($C87,'Tracking List'!$A$5:$AL$883,P$4,FALSE)&gt;0,"Y",""))</f>
        <v/>
      </c>
      <c r="Q87" s="149"/>
      <c r="R87" s="150" t="str">
        <f>IF($C87="","",VLOOKUP($C87,'Tracking List'!$A$5:$AL$883,R$4,FALSE))</f>
        <v/>
      </c>
    </row>
    <row r="88" spans="3:18">
      <c r="C88" s="146"/>
      <c r="D88" s="147" t="str">
        <f>IF($C88="","",VLOOKUP($C88,'Tracking List'!$A$5:$AL$883,D$4,FALSE))</f>
        <v/>
      </c>
      <c r="E88" s="147" t="str">
        <f>IF($C88="","",VLOOKUP($C88,'Tracking List'!$A$5:$AL$883,E$4,FALSE))</f>
        <v/>
      </c>
      <c r="F88" s="147" t="str">
        <f>IF($C88="","",VLOOKUP($C88,'Tracking List'!$A$5:$AL$883,F$4,FALSE))</f>
        <v/>
      </c>
      <c r="G88" s="147" t="str">
        <f>IF($C88="","",VLOOKUP($C88,'Tracking List'!$A$5:$AL$883,G$4,FALSE))</f>
        <v/>
      </c>
      <c r="H88" s="147" t="str">
        <f>IF($C88="","",VLOOKUP($C88,'Tracking List'!$A$5:$AL$883,H$4,FALSE))</f>
        <v/>
      </c>
      <c r="I88" s="147" t="str">
        <f>IF($C88="","",VLOOKUP($C88,'Tracking List'!$A$5:$AL$883,I$4,FALSE))</f>
        <v/>
      </c>
      <c r="J88" s="147" t="str">
        <f>IF($C88="","",VLOOKUP($C88,'Tracking List'!$A$5:$AL$883,J$4,FALSE))</f>
        <v/>
      </c>
      <c r="K88" s="147" t="str">
        <f>IF($C88="","",VLOOKUP($C88,'Tracking List'!$A$5:$AL$883,K$4,FALSE))</f>
        <v/>
      </c>
      <c r="L88" s="168" t="str">
        <f>IF($C88="","",VLOOKUP($C88,'Tracking List'!$A$5:$AL$883,L$4,FALSE))</f>
        <v/>
      </c>
      <c r="M88" s="147" t="str">
        <f>IF($C88="","",VLOOKUP($C88,'Tracking List'!$A$5:$AL$883,M$4,FALSE))</f>
        <v/>
      </c>
      <c r="N88" s="148" t="str">
        <f>IF($C88="","",IF(VLOOKUP($C88,'Tracking List'!$A$5:$AL$883,N$3,FALSE)&gt;0,"Y",VLOOKUP($C88,'Tracking List'!$A$5:$AL$883,N$4,FALSE)))</f>
        <v/>
      </c>
      <c r="O88" s="148" t="str">
        <f>IF($C88="","",IF(VLOOKUP($C88,'Tracking List'!$A$5:$AL$883,O$3,FALSE)&gt;0,"Y",VLOOKUP($C88,'Tracking List'!$A$5:$AL$883,O$4,FALSE)))</f>
        <v/>
      </c>
      <c r="P88" s="147" t="str">
        <f>IF($C88="","",IF(VLOOKUP($C88,'Tracking List'!$A$5:$AL$883,P$4,FALSE)&gt;0,"Y",""))</f>
        <v/>
      </c>
      <c r="Q88" s="149"/>
      <c r="R88" s="150" t="str">
        <f>IF($C88="","",VLOOKUP($C88,'Tracking List'!$A$5:$AL$883,R$4,FALSE))</f>
        <v/>
      </c>
    </row>
    <row r="89" spans="3:18">
      <c r="C89" s="146"/>
      <c r="D89" s="147" t="str">
        <f>IF($C89="","",VLOOKUP($C89,'Tracking List'!$A$5:$AL$883,D$4,FALSE))</f>
        <v/>
      </c>
      <c r="E89" s="147" t="str">
        <f>IF($C89="","",VLOOKUP($C89,'Tracking List'!$A$5:$AL$883,E$4,FALSE))</f>
        <v/>
      </c>
      <c r="F89" s="147" t="str">
        <f>IF($C89="","",VLOOKUP($C89,'Tracking List'!$A$5:$AL$883,F$4,FALSE))</f>
        <v/>
      </c>
      <c r="G89" s="147" t="str">
        <f>IF($C89="","",VLOOKUP($C89,'Tracking List'!$A$5:$AL$883,G$4,FALSE))</f>
        <v/>
      </c>
      <c r="H89" s="147" t="str">
        <f>IF($C89="","",VLOOKUP($C89,'Tracking List'!$A$5:$AL$883,H$4,FALSE))</f>
        <v/>
      </c>
      <c r="I89" s="147" t="str">
        <f>IF($C89="","",VLOOKUP($C89,'Tracking List'!$A$5:$AL$883,I$4,FALSE))</f>
        <v/>
      </c>
      <c r="J89" s="147" t="str">
        <f>IF($C89="","",VLOOKUP($C89,'Tracking List'!$A$5:$AL$883,J$4,FALSE))</f>
        <v/>
      </c>
      <c r="K89" s="147" t="str">
        <f>IF($C89="","",VLOOKUP($C89,'Tracking List'!$A$5:$AL$883,K$4,FALSE))</f>
        <v/>
      </c>
      <c r="L89" s="168" t="str">
        <f>IF($C89="","",VLOOKUP($C89,'Tracking List'!$A$5:$AL$883,L$4,FALSE))</f>
        <v/>
      </c>
      <c r="M89" s="147" t="str">
        <f>IF($C89="","",VLOOKUP($C89,'Tracking List'!$A$5:$AL$883,M$4,FALSE))</f>
        <v/>
      </c>
      <c r="N89" s="148" t="str">
        <f>IF($C89="","",IF(VLOOKUP($C89,'Tracking List'!$A$5:$AL$883,N$3,FALSE)&gt;0,"Y",VLOOKUP($C89,'Tracking List'!$A$5:$AL$883,N$4,FALSE)))</f>
        <v/>
      </c>
      <c r="O89" s="148" t="str">
        <f>IF($C89="","",IF(VLOOKUP($C89,'Tracking List'!$A$5:$AL$883,O$3,FALSE)&gt;0,"Y",VLOOKUP($C89,'Tracking List'!$A$5:$AL$883,O$4,FALSE)))</f>
        <v/>
      </c>
      <c r="P89" s="147" t="str">
        <f>IF($C89="","",IF(VLOOKUP($C89,'Tracking List'!$A$5:$AL$883,P$4,FALSE)&gt;0,"Y",""))</f>
        <v/>
      </c>
      <c r="Q89" s="149"/>
      <c r="R89" s="150" t="str">
        <f>IF($C89="","",VLOOKUP($C89,'Tracking List'!$A$5:$AL$883,R$4,FALSE))</f>
        <v/>
      </c>
    </row>
    <row r="90" spans="3:18">
      <c r="C90" s="146"/>
      <c r="D90" s="147" t="str">
        <f>IF($C90="","",VLOOKUP($C90,'Tracking List'!$A$5:$AL$883,D$4,FALSE))</f>
        <v/>
      </c>
      <c r="E90" s="147" t="str">
        <f>IF($C90="","",VLOOKUP($C90,'Tracking List'!$A$5:$AL$883,E$4,FALSE))</f>
        <v/>
      </c>
      <c r="F90" s="147" t="str">
        <f>IF($C90="","",VLOOKUP($C90,'Tracking List'!$A$5:$AL$883,F$4,FALSE))</f>
        <v/>
      </c>
      <c r="G90" s="147" t="str">
        <f>IF($C90="","",VLOOKUP($C90,'Tracking List'!$A$5:$AL$883,G$4,FALSE))</f>
        <v/>
      </c>
      <c r="H90" s="147" t="str">
        <f>IF($C90="","",VLOOKUP($C90,'Tracking List'!$A$5:$AL$883,H$4,FALSE))</f>
        <v/>
      </c>
      <c r="I90" s="147" t="str">
        <f>IF($C90="","",VLOOKUP($C90,'Tracking List'!$A$5:$AL$883,I$4,FALSE))</f>
        <v/>
      </c>
      <c r="J90" s="147" t="str">
        <f>IF($C90="","",VLOOKUP($C90,'Tracking List'!$A$5:$AL$883,J$4,FALSE))</f>
        <v/>
      </c>
      <c r="K90" s="147" t="str">
        <f>IF($C90="","",VLOOKUP($C90,'Tracking List'!$A$5:$AL$883,K$4,FALSE))</f>
        <v/>
      </c>
      <c r="L90" s="168" t="str">
        <f>IF($C90="","",VLOOKUP($C90,'Tracking List'!$A$5:$AL$883,L$4,FALSE))</f>
        <v/>
      </c>
      <c r="M90" s="147" t="str">
        <f>IF($C90="","",VLOOKUP($C90,'Tracking List'!$A$5:$AL$883,M$4,FALSE))</f>
        <v/>
      </c>
      <c r="N90" s="148" t="str">
        <f>IF($C90="","",IF(VLOOKUP($C90,'Tracking List'!$A$5:$AL$883,N$3,FALSE)&gt;0,"Y",VLOOKUP($C90,'Tracking List'!$A$5:$AL$883,N$4,FALSE)))</f>
        <v/>
      </c>
      <c r="O90" s="148" t="str">
        <f>IF($C90="","",IF(VLOOKUP($C90,'Tracking List'!$A$5:$AL$883,O$3,FALSE)&gt;0,"Y",VLOOKUP($C90,'Tracking List'!$A$5:$AL$883,O$4,FALSE)))</f>
        <v/>
      </c>
      <c r="P90" s="147" t="str">
        <f>IF($C90="","",IF(VLOOKUP($C90,'Tracking List'!$A$5:$AL$883,P$4,FALSE)&gt;0,"Y",""))</f>
        <v/>
      </c>
      <c r="Q90" s="149"/>
      <c r="R90" s="150" t="str">
        <f>IF($C90="","",VLOOKUP($C90,'Tracking List'!$A$5:$AL$883,R$4,FALSE))</f>
        <v/>
      </c>
    </row>
    <row r="91" spans="3:18">
      <c r="C91" s="146"/>
      <c r="D91" s="147" t="str">
        <f>IF($C91="","",VLOOKUP($C91,'Tracking List'!$A$5:$AL$883,D$4,FALSE))</f>
        <v/>
      </c>
      <c r="E91" s="147" t="str">
        <f>IF($C91="","",VLOOKUP($C91,'Tracking List'!$A$5:$AL$883,E$4,FALSE))</f>
        <v/>
      </c>
      <c r="F91" s="147" t="str">
        <f>IF($C91="","",VLOOKUP($C91,'Tracking List'!$A$5:$AL$883,F$4,FALSE))</f>
        <v/>
      </c>
      <c r="G91" s="147" t="str">
        <f>IF($C91="","",VLOOKUP($C91,'Tracking List'!$A$5:$AL$883,G$4,FALSE))</f>
        <v/>
      </c>
      <c r="H91" s="147" t="str">
        <f>IF($C91="","",VLOOKUP($C91,'Tracking List'!$A$5:$AL$883,H$4,FALSE))</f>
        <v/>
      </c>
      <c r="I91" s="147" t="str">
        <f>IF($C91="","",VLOOKUP($C91,'Tracking List'!$A$5:$AL$883,I$4,FALSE))</f>
        <v/>
      </c>
      <c r="J91" s="147" t="str">
        <f>IF($C91="","",VLOOKUP($C91,'Tracking List'!$A$5:$AL$883,J$4,FALSE))</f>
        <v/>
      </c>
      <c r="K91" s="147" t="str">
        <f>IF($C91="","",VLOOKUP($C91,'Tracking List'!$A$5:$AL$883,K$4,FALSE))</f>
        <v/>
      </c>
      <c r="L91" s="168" t="str">
        <f>IF($C91="","",VLOOKUP($C91,'Tracking List'!$A$5:$AL$883,L$4,FALSE))</f>
        <v/>
      </c>
      <c r="M91" s="147" t="str">
        <f>IF($C91="","",VLOOKUP($C91,'Tracking List'!$A$5:$AL$883,M$4,FALSE))</f>
        <v/>
      </c>
      <c r="N91" s="148" t="str">
        <f>IF($C91="","",IF(VLOOKUP($C91,'Tracking List'!$A$5:$AL$883,N$3,FALSE)&gt;0,"Y",VLOOKUP($C91,'Tracking List'!$A$5:$AL$883,N$4,FALSE)))</f>
        <v/>
      </c>
      <c r="O91" s="148" t="str">
        <f>IF($C91="","",IF(VLOOKUP($C91,'Tracking List'!$A$5:$AL$883,O$3,FALSE)&gt;0,"Y",VLOOKUP($C91,'Tracking List'!$A$5:$AL$883,O$4,FALSE)))</f>
        <v/>
      </c>
      <c r="P91" s="147" t="str">
        <f>IF($C91="","",IF(VLOOKUP($C91,'Tracking List'!$A$5:$AL$883,P$4,FALSE)&gt;0,"Y",""))</f>
        <v/>
      </c>
      <c r="Q91" s="149"/>
      <c r="R91" s="150" t="str">
        <f>IF($C91="","",VLOOKUP($C91,'Tracking List'!$A$5:$AL$883,R$4,FALSE))</f>
        <v/>
      </c>
    </row>
    <row r="92" spans="3:18">
      <c r="C92" s="146"/>
      <c r="D92" s="147" t="str">
        <f>IF($C92="","",VLOOKUP($C92,'Tracking List'!$A$5:$AL$883,D$4,FALSE))</f>
        <v/>
      </c>
      <c r="E92" s="147" t="str">
        <f>IF($C92="","",VLOOKUP($C92,'Tracking List'!$A$5:$AL$883,E$4,FALSE))</f>
        <v/>
      </c>
      <c r="F92" s="147" t="str">
        <f>IF($C92="","",VLOOKUP($C92,'Tracking List'!$A$5:$AL$883,F$4,FALSE))</f>
        <v/>
      </c>
      <c r="G92" s="147" t="str">
        <f>IF($C92="","",VLOOKUP($C92,'Tracking List'!$A$5:$AL$883,G$4,FALSE))</f>
        <v/>
      </c>
      <c r="H92" s="147" t="str">
        <f>IF($C92="","",VLOOKUP($C92,'Tracking List'!$A$5:$AL$883,H$4,FALSE))</f>
        <v/>
      </c>
      <c r="I92" s="147" t="str">
        <f>IF($C92="","",VLOOKUP($C92,'Tracking List'!$A$5:$AL$883,I$4,FALSE))</f>
        <v/>
      </c>
      <c r="J92" s="147" t="str">
        <f>IF($C92="","",VLOOKUP($C92,'Tracking List'!$A$5:$AL$883,J$4,FALSE))</f>
        <v/>
      </c>
      <c r="K92" s="147" t="str">
        <f>IF($C92="","",VLOOKUP($C92,'Tracking List'!$A$5:$AL$883,K$4,FALSE))</f>
        <v/>
      </c>
      <c r="L92" s="168" t="str">
        <f>IF($C92="","",VLOOKUP($C92,'Tracking List'!$A$5:$AL$883,L$4,FALSE))</f>
        <v/>
      </c>
      <c r="M92" s="147" t="str">
        <f>IF($C92="","",VLOOKUP($C92,'Tracking List'!$A$5:$AL$883,M$4,FALSE))</f>
        <v/>
      </c>
      <c r="N92" s="148" t="str">
        <f>IF($C92="","",IF(VLOOKUP($C92,'Tracking List'!$A$5:$AL$883,N$3,FALSE)&gt;0,"Y",VLOOKUP($C92,'Tracking List'!$A$5:$AL$883,N$4,FALSE)))</f>
        <v/>
      </c>
      <c r="O92" s="148" t="str">
        <f>IF($C92="","",IF(VLOOKUP($C92,'Tracking List'!$A$5:$AL$883,O$3,FALSE)&gt;0,"Y",VLOOKUP($C92,'Tracking List'!$A$5:$AL$883,O$4,FALSE)))</f>
        <v/>
      </c>
      <c r="P92" s="147" t="str">
        <f>IF($C92="","",IF(VLOOKUP($C92,'Tracking List'!$A$5:$AL$883,P$4,FALSE)&gt;0,"Y",""))</f>
        <v/>
      </c>
      <c r="Q92" s="149"/>
      <c r="R92" s="150" t="str">
        <f>IF($C92="","",VLOOKUP($C92,'Tracking List'!$A$5:$AL$883,R$4,FALSE))</f>
        <v/>
      </c>
    </row>
    <row r="93" spans="3:18">
      <c r="C93" s="146"/>
      <c r="D93" s="147" t="str">
        <f>IF($C93="","",VLOOKUP($C93,'Tracking List'!$A$5:$AL$883,D$4,FALSE))</f>
        <v/>
      </c>
      <c r="E93" s="147" t="str">
        <f>IF($C93="","",VLOOKUP($C93,'Tracking List'!$A$5:$AL$883,E$4,FALSE))</f>
        <v/>
      </c>
      <c r="F93" s="147" t="str">
        <f>IF($C93="","",VLOOKUP($C93,'Tracking List'!$A$5:$AL$883,F$4,FALSE))</f>
        <v/>
      </c>
      <c r="G93" s="147" t="str">
        <f>IF($C93="","",VLOOKUP($C93,'Tracking List'!$A$5:$AL$883,G$4,FALSE))</f>
        <v/>
      </c>
      <c r="H93" s="147" t="str">
        <f>IF($C93="","",VLOOKUP($C93,'Tracking List'!$A$5:$AL$883,H$4,FALSE))</f>
        <v/>
      </c>
      <c r="I93" s="147" t="str">
        <f>IF($C93="","",VLOOKUP($C93,'Tracking List'!$A$5:$AL$883,I$4,FALSE))</f>
        <v/>
      </c>
      <c r="J93" s="147" t="str">
        <f>IF($C93="","",VLOOKUP($C93,'Tracking List'!$A$5:$AL$883,J$4,FALSE))</f>
        <v/>
      </c>
      <c r="K93" s="147" t="str">
        <f>IF($C93="","",VLOOKUP($C93,'Tracking List'!$A$5:$AL$883,K$4,FALSE))</f>
        <v/>
      </c>
      <c r="L93" s="168" t="str">
        <f>IF($C93="","",VLOOKUP($C93,'Tracking List'!$A$5:$AL$883,L$4,FALSE))</f>
        <v/>
      </c>
      <c r="M93" s="147" t="str">
        <f>IF($C93="","",VLOOKUP($C93,'Tracking List'!$A$5:$AL$883,M$4,FALSE))</f>
        <v/>
      </c>
      <c r="N93" s="148" t="str">
        <f>IF($C93="","",IF(VLOOKUP($C93,'Tracking List'!$A$5:$AL$883,N$3,FALSE)&gt;0,"Y",VLOOKUP($C93,'Tracking List'!$A$5:$AL$883,N$4,FALSE)))</f>
        <v/>
      </c>
      <c r="O93" s="148" t="str">
        <f>IF($C93="","",IF(VLOOKUP($C93,'Tracking List'!$A$5:$AL$883,O$3,FALSE)&gt;0,"Y",VLOOKUP($C93,'Tracking List'!$A$5:$AL$883,O$4,FALSE)))</f>
        <v/>
      </c>
      <c r="P93" s="147" t="str">
        <f>IF($C93="","",IF(VLOOKUP($C93,'Tracking List'!$A$5:$AL$883,P$4,FALSE)&gt;0,"Y",""))</f>
        <v/>
      </c>
      <c r="Q93" s="149"/>
      <c r="R93" s="150" t="str">
        <f>IF($C93="","",VLOOKUP($C93,'Tracking List'!$A$5:$AL$883,R$4,FALSE))</f>
        <v/>
      </c>
    </row>
    <row r="94" spans="3:18">
      <c r="C94" s="146"/>
      <c r="D94" s="147" t="str">
        <f>IF($C94="","",VLOOKUP($C94,'Tracking List'!$A$5:$AL$883,D$4,FALSE))</f>
        <v/>
      </c>
      <c r="E94" s="147" t="str">
        <f>IF($C94="","",VLOOKUP($C94,'Tracking List'!$A$5:$AL$883,E$4,FALSE))</f>
        <v/>
      </c>
      <c r="F94" s="147" t="str">
        <f>IF($C94="","",VLOOKUP($C94,'Tracking List'!$A$5:$AL$883,F$4,FALSE))</f>
        <v/>
      </c>
      <c r="G94" s="147" t="str">
        <f>IF($C94="","",VLOOKUP($C94,'Tracking List'!$A$5:$AL$883,G$4,FALSE))</f>
        <v/>
      </c>
      <c r="H94" s="147" t="str">
        <f>IF($C94="","",VLOOKUP($C94,'Tracking List'!$A$5:$AL$883,H$4,FALSE))</f>
        <v/>
      </c>
      <c r="I94" s="147" t="str">
        <f>IF($C94="","",VLOOKUP($C94,'Tracking List'!$A$5:$AL$883,I$4,FALSE))</f>
        <v/>
      </c>
      <c r="J94" s="147" t="str">
        <f>IF($C94="","",VLOOKUP($C94,'Tracking List'!$A$5:$AL$883,J$4,FALSE))</f>
        <v/>
      </c>
      <c r="K94" s="147" t="str">
        <f>IF($C94="","",VLOOKUP($C94,'Tracking List'!$A$5:$AL$883,K$4,FALSE))</f>
        <v/>
      </c>
      <c r="L94" s="168" t="str">
        <f>IF($C94="","",VLOOKUP($C94,'Tracking List'!$A$5:$AL$883,L$4,FALSE))</f>
        <v/>
      </c>
      <c r="M94" s="147" t="str">
        <f>IF($C94="","",VLOOKUP($C94,'Tracking List'!$A$5:$AL$883,M$4,FALSE))</f>
        <v/>
      </c>
      <c r="N94" s="148" t="str">
        <f>IF($C94="","",IF(VLOOKUP($C94,'Tracking List'!$A$5:$AL$883,N$3,FALSE)&gt;0,"Y",VLOOKUP($C94,'Tracking List'!$A$5:$AL$883,N$4,FALSE)))</f>
        <v/>
      </c>
      <c r="O94" s="148" t="str">
        <f>IF($C94="","",IF(VLOOKUP($C94,'Tracking List'!$A$5:$AL$883,O$3,FALSE)&gt;0,"Y",VLOOKUP($C94,'Tracking List'!$A$5:$AL$883,O$4,FALSE)))</f>
        <v/>
      </c>
      <c r="P94" s="147" t="str">
        <f>IF($C94="","",IF(VLOOKUP($C94,'Tracking List'!$A$5:$AL$883,P$4,FALSE)&gt;0,"Y",""))</f>
        <v/>
      </c>
      <c r="Q94" s="149"/>
      <c r="R94" s="150" t="str">
        <f>IF($C94="","",VLOOKUP($C94,'Tracking List'!$A$5:$AL$883,R$4,FALSE))</f>
        <v/>
      </c>
    </row>
    <row r="95" spans="3:18">
      <c r="C95" s="146"/>
      <c r="D95" s="147" t="str">
        <f>IF($C95="","",VLOOKUP($C95,'Tracking List'!$A$5:$AL$883,D$4,FALSE))</f>
        <v/>
      </c>
      <c r="E95" s="147" t="str">
        <f>IF($C95="","",VLOOKUP($C95,'Tracking List'!$A$5:$AL$883,E$4,FALSE))</f>
        <v/>
      </c>
      <c r="F95" s="147" t="str">
        <f>IF($C95="","",VLOOKUP($C95,'Tracking List'!$A$5:$AL$883,F$4,FALSE))</f>
        <v/>
      </c>
      <c r="G95" s="147" t="str">
        <f>IF($C95="","",VLOOKUP($C95,'Tracking List'!$A$5:$AL$883,G$4,FALSE))</f>
        <v/>
      </c>
      <c r="H95" s="147" t="str">
        <f>IF($C95="","",VLOOKUP($C95,'Tracking List'!$A$5:$AL$883,H$4,FALSE))</f>
        <v/>
      </c>
      <c r="I95" s="147" t="str">
        <f>IF($C95="","",VLOOKUP($C95,'Tracking List'!$A$5:$AL$883,I$4,FALSE))</f>
        <v/>
      </c>
      <c r="J95" s="147" t="str">
        <f>IF($C95="","",VLOOKUP($C95,'Tracking List'!$A$5:$AL$883,J$4,FALSE))</f>
        <v/>
      </c>
      <c r="K95" s="147" t="str">
        <f>IF($C95="","",VLOOKUP($C95,'Tracking List'!$A$5:$AL$883,K$4,FALSE))</f>
        <v/>
      </c>
      <c r="L95" s="168" t="str">
        <f>IF($C95="","",VLOOKUP($C95,'Tracking List'!$A$5:$AL$883,L$4,FALSE))</f>
        <v/>
      </c>
      <c r="M95" s="147" t="str">
        <f>IF($C95="","",VLOOKUP($C95,'Tracking List'!$A$5:$AL$883,M$4,FALSE))</f>
        <v/>
      </c>
      <c r="N95" s="148" t="str">
        <f>IF($C95="","",IF(VLOOKUP($C95,'Tracking List'!$A$5:$AL$883,N$3,FALSE)&gt;0,"Y",VLOOKUP($C95,'Tracking List'!$A$5:$AL$883,N$4,FALSE)))</f>
        <v/>
      </c>
      <c r="O95" s="148" t="str">
        <f>IF($C95="","",IF(VLOOKUP($C95,'Tracking List'!$A$5:$AL$883,O$3,FALSE)&gt;0,"Y",VLOOKUP($C95,'Tracking List'!$A$5:$AL$883,O$4,FALSE)))</f>
        <v/>
      </c>
      <c r="P95" s="147" t="str">
        <f>IF($C95="","",IF(VLOOKUP($C95,'Tracking List'!$A$5:$AL$883,P$4,FALSE)&gt;0,"Y",""))</f>
        <v/>
      </c>
      <c r="Q95" s="149"/>
      <c r="R95" s="150" t="str">
        <f>IF($C95="","",VLOOKUP($C95,'Tracking List'!$A$5:$AL$883,R$4,FALSE))</f>
        <v/>
      </c>
    </row>
    <row r="96" spans="3:18">
      <c r="C96" s="146"/>
      <c r="D96" s="147" t="str">
        <f>IF($C96="","",VLOOKUP($C96,'Tracking List'!$A$5:$AL$883,D$4,FALSE))</f>
        <v/>
      </c>
      <c r="E96" s="147" t="str">
        <f>IF($C96="","",VLOOKUP($C96,'Tracking List'!$A$5:$AL$883,E$4,FALSE))</f>
        <v/>
      </c>
      <c r="F96" s="147" t="str">
        <f>IF($C96="","",VLOOKUP($C96,'Tracking List'!$A$5:$AL$883,F$4,FALSE))</f>
        <v/>
      </c>
      <c r="G96" s="147" t="str">
        <f>IF($C96="","",VLOOKUP($C96,'Tracking List'!$A$5:$AL$883,G$4,FALSE))</f>
        <v/>
      </c>
      <c r="H96" s="147" t="str">
        <f>IF($C96="","",VLOOKUP($C96,'Tracking List'!$A$5:$AL$883,H$4,FALSE))</f>
        <v/>
      </c>
      <c r="I96" s="147" t="str">
        <f>IF($C96="","",VLOOKUP($C96,'Tracking List'!$A$5:$AL$883,I$4,FALSE))</f>
        <v/>
      </c>
      <c r="J96" s="147" t="str">
        <f>IF($C96="","",VLOOKUP($C96,'Tracking List'!$A$5:$AL$883,J$4,FALSE))</f>
        <v/>
      </c>
      <c r="K96" s="147" t="str">
        <f>IF($C96="","",VLOOKUP($C96,'Tracking List'!$A$5:$AL$883,K$4,FALSE))</f>
        <v/>
      </c>
      <c r="L96" s="168" t="str">
        <f>IF($C96="","",VLOOKUP($C96,'Tracking List'!$A$5:$AL$883,L$4,FALSE))</f>
        <v/>
      </c>
      <c r="M96" s="147" t="str">
        <f>IF($C96="","",VLOOKUP($C96,'Tracking List'!$A$5:$AL$883,M$4,FALSE))</f>
        <v/>
      </c>
      <c r="N96" s="148" t="str">
        <f>IF($C96="","",IF(VLOOKUP($C96,'Tracking List'!$A$5:$AL$883,N$3,FALSE)&gt;0,"Y",VLOOKUP($C96,'Tracking List'!$A$5:$AL$883,N$4,FALSE)))</f>
        <v/>
      </c>
      <c r="O96" s="148" t="str">
        <f>IF($C96="","",IF(VLOOKUP($C96,'Tracking List'!$A$5:$AL$883,O$3,FALSE)&gt;0,"Y",VLOOKUP($C96,'Tracking List'!$A$5:$AL$883,O$4,FALSE)))</f>
        <v/>
      </c>
      <c r="P96" s="147" t="str">
        <f>IF($C96="","",IF(VLOOKUP($C96,'Tracking List'!$A$5:$AL$883,P$4,FALSE)&gt;0,"Y",""))</f>
        <v/>
      </c>
      <c r="Q96" s="149"/>
      <c r="R96" s="150" t="str">
        <f>IF($C96="","",VLOOKUP($C96,'Tracking List'!$A$5:$AL$883,R$4,FALSE))</f>
        <v/>
      </c>
    </row>
    <row r="97" spans="3:18">
      <c r="C97" s="146"/>
      <c r="D97" s="147" t="str">
        <f>IF($C97="","",VLOOKUP($C97,'Tracking List'!$A$5:$AL$883,D$4,FALSE))</f>
        <v/>
      </c>
      <c r="E97" s="147" t="str">
        <f>IF($C97="","",VLOOKUP($C97,'Tracking List'!$A$5:$AL$883,E$4,FALSE))</f>
        <v/>
      </c>
      <c r="F97" s="147" t="str">
        <f>IF($C97="","",VLOOKUP($C97,'Tracking List'!$A$5:$AL$883,F$4,FALSE))</f>
        <v/>
      </c>
      <c r="G97" s="147" t="str">
        <f>IF($C97="","",VLOOKUP($C97,'Tracking List'!$A$5:$AL$883,G$4,FALSE))</f>
        <v/>
      </c>
      <c r="H97" s="147" t="str">
        <f>IF($C97="","",VLOOKUP($C97,'Tracking List'!$A$5:$AL$883,H$4,FALSE))</f>
        <v/>
      </c>
      <c r="I97" s="147" t="str">
        <f>IF($C97="","",VLOOKUP($C97,'Tracking List'!$A$5:$AL$883,I$4,FALSE))</f>
        <v/>
      </c>
      <c r="J97" s="147" t="str">
        <f>IF($C97="","",VLOOKUP($C97,'Tracking List'!$A$5:$AL$883,J$4,FALSE))</f>
        <v/>
      </c>
      <c r="K97" s="147" t="str">
        <f>IF($C97="","",VLOOKUP($C97,'Tracking List'!$A$5:$AL$883,K$4,FALSE))</f>
        <v/>
      </c>
      <c r="L97" s="168" t="str">
        <f>IF($C97="","",VLOOKUP($C97,'Tracking List'!$A$5:$AL$883,L$4,FALSE))</f>
        <v/>
      </c>
      <c r="M97" s="147" t="str">
        <f>IF($C97="","",VLOOKUP($C97,'Tracking List'!$A$5:$AL$883,M$4,FALSE))</f>
        <v/>
      </c>
      <c r="N97" s="148" t="str">
        <f>IF($C97="","",IF(VLOOKUP($C97,'Tracking List'!$A$5:$AL$883,N$3,FALSE)&gt;0,"Y",VLOOKUP($C97,'Tracking List'!$A$5:$AL$883,N$4,FALSE)))</f>
        <v/>
      </c>
      <c r="O97" s="148" t="str">
        <f>IF($C97="","",IF(VLOOKUP($C97,'Tracking List'!$A$5:$AL$883,O$3,FALSE)&gt;0,"Y",VLOOKUP($C97,'Tracking List'!$A$5:$AL$883,O$4,FALSE)))</f>
        <v/>
      </c>
      <c r="P97" s="147" t="str">
        <f>IF($C97="","",IF(VLOOKUP($C97,'Tracking List'!$A$5:$AL$883,P$4,FALSE)&gt;0,"Y",""))</f>
        <v/>
      </c>
      <c r="Q97" s="149"/>
      <c r="R97" s="150" t="str">
        <f>IF($C97="","",VLOOKUP($C97,'Tracking List'!$A$5:$AL$883,R$4,FALSE))</f>
        <v/>
      </c>
    </row>
    <row r="98" spans="3:18">
      <c r="C98" s="146"/>
      <c r="D98" s="147" t="str">
        <f>IF($C98="","",VLOOKUP($C98,'Tracking List'!$A$5:$AL$883,D$4,FALSE))</f>
        <v/>
      </c>
      <c r="E98" s="147" t="str">
        <f>IF($C98="","",VLOOKUP($C98,'Tracking List'!$A$5:$AL$883,E$4,FALSE))</f>
        <v/>
      </c>
      <c r="F98" s="147" t="str">
        <f>IF($C98="","",VLOOKUP($C98,'Tracking List'!$A$5:$AL$883,F$4,FALSE))</f>
        <v/>
      </c>
      <c r="G98" s="147" t="str">
        <f>IF($C98="","",VLOOKUP($C98,'Tracking List'!$A$5:$AL$883,G$4,FALSE))</f>
        <v/>
      </c>
      <c r="H98" s="147" t="str">
        <f>IF($C98="","",VLOOKUP($C98,'Tracking List'!$A$5:$AL$883,H$4,FALSE))</f>
        <v/>
      </c>
      <c r="I98" s="147" t="str">
        <f>IF($C98="","",VLOOKUP($C98,'Tracking List'!$A$5:$AL$883,I$4,FALSE))</f>
        <v/>
      </c>
      <c r="J98" s="147" t="str">
        <f>IF($C98="","",VLOOKUP($C98,'Tracking List'!$A$5:$AL$883,J$4,FALSE))</f>
        <v/>
      </c>
      <c r="K98" s="147" t="str">
        <f>IF($C98="","",VLOOKUP($C98,'Tracking List'!$A$5:$AL$883,K$4,FALSE))</f>
        <v/>
      </c>
      <c r="L98" s="168" t="str">
        <f>IF($C98="","",VLOOKUP($C98,'Tracking List'!$A$5:$AL$883,L$4,FALSE))</f>
        <v/>
      </c>
      <c r="M98" s="147" t="str">
        <f>IF($C98="","",VLOOKUP($C98,'Tracking List'!$A$5:$AL$883,M$4,FALSE))</f>
        <v/>
      </c>
      <c r="N98" s="148" t="str">
        <f>IF($C98="","",IF(VLOOKUP($C98,'Tracking List'!$A$5:$AL$883,N$3,FALSE)&gt;0,"Y",VLOOKUP($C98,'Tracking List'!$A$5:$AL$883,N$4,FALSE)))</f>
        <v/>
      </c>
      <c r="O98" s="148" t="str">
        <f>IF($C98="","",IF(VLOOKUP($C98,'Tracking List'!$A$5:$AL$883,O$3,FALSE)&gt;0,"Y",VLOOKUP($C98,'Tracking List'!$A$5:$AL$883,O$4,FALSE)))</f>
        <v/>
      </c>
      <c r="P98" s="147" t="str">
        <f>IF($C98="","",IF(VLOOKUP($C98,'Tracking List'!$A$5:$AL$883,P$4,FALSE)&gt;0,"Y",""))</f>
        <v/>
      </c>
      <c r="Q98" s="149"/>
      <c r="R98" s="150" t="str">
        <f>IF($C98="","",VLOOKUP($C98,'Tracking List'!$A$5:$AL$883,R$4,FALSE))</f>
        <v/>
      </c>
    </row>
    <row r="99" spans="3:18">
      <c r="C99" s="151"/>
      <c r="D99" s="147" t="str">
        <f>IF($C99="","",VLOOKUP($C99,'Tracking List'!$A$5:$AL$883,D$4,FALSE))</f>
        <v/>
      </c>
      <c r="E99" s="147" t="str">
        <f>IF($C99="","",VLOOKUP($C99,'Tracking List'!$A$5:$AL$883,E$4,FALSE))</f>
        <v/>
      </c>
      <c r="F99" s="147" t="str">
        <f>IF($C99="","",VLOOKUP($C99,'Tracking List'!$A$5:$AL$883,F$4,FALSE))</f>
        <v/>
      </c>
      <c r="G99" s="147" t="str">
        <f>IF($C99="","",VLOOKUP($C99,'Tracking List'!$A$5:$AL$883,G$4,FALSE))</f>
        <v/>
      </c>
      <c r="H99" s="147" t="str">
        <f>IF($C99="","",VLOOKUP($C99,'Tracking List'!$A$5:$AL$883,H$4,FALSE))</f>
        <v/>
      </c>
      <c r="I99" s="147" t="str">
        <f>IF($C99="","",VLOOKUP($C99,'Tracking List'!$A$5:$AL$883,I$4,FALSE))</f>
        <v/>
      </c>
      <c r="J99" s="147" t="str">
        <f>IF($C99="","",VLOOKUP($C99,'Tracking List'!$A$5:$AL$883,J$4,FALSE))</f>
        <v/>
      </c>
      <c r="K99" s="147" t="str">
        <f>IF($C99="","",VLOOKUP($C99,'Tracking List'!$A$5:$AL$883,K$4,FALSE))</f>
        <v/>
      </c>
      <c r="L99" s="168" t="str">
        <f>IF($C99="","",VLOOKUP($C99,'Tracking List'!$A$5:$AL$883,L$4,FALSE))</f>
        <v/>
      </c>
      <c r="M99" s="147" t="str">
        <f>IF($C99="","",VLOOKUP($C99,'Tracking List'!$A$5:$AL$883,M$4,FALSE))</f>
        <v/>
      </c>
      <c r="N99" s="148" t="str">
        <f>IF($C99="","",IF(VLOOKUP($C99,'Tracking List'!$A$5:$AL$883,N$3,FALSE)&gt;0,"Y",VLOOKUP($C99,'Tracking List'!$A$5:$AL$883,N$4,FALSE)))</f>
        <v/>
      </c>
      <c r="O99" s="148" t="str">
        <f>IF($C99="","",IF(VLOOKUP($C99,'Tracking List'!$A$5:$AL$883,O$3,FALSE)&gt;0,"Y",VLOOKUP($C99,'Tracking List'!$A$5:$AL$883,O$4,FALSE)))</f>
        <v/>
      </c>
      <c r="P99" s="147" t="str">
        <f>IF($C99="","",IF(VLOOKUP($C99,'Tracking List'!$A$5:$AL$883,P$4,FALSE)&gt;0,"Y",""))</f>
        <v/>
      </c>
      <c r="Q99" s="149"/>
      <c r="R99" s="150" t="str">
        <f>IF($C99="","",VLOOKUP($C99,'Tracking List'!$A$5:$AL$883,R$4,FALSE))</f>
        <v/>
      </c>
    </row>
    <row r="100" spans="3:18">
      <c r="C100" s="159"/>
      <c r="D100" s="147" t="str">
        <f>IF($C100="","",VLOOKUP($C100,'Tracking List'!$A$5:$AL$883,D$4,FALSE))</f>
        <v/>
      </c>
      <c r="E100" s="147" t="str">
        <f>IF($C100="","",VLOOKUP($C100,'Tracking List'!$A$5:$AL$883,E$4,FALSE))</f>
        <v/>
      </c>
      <c r="F100" s="147" t="str">
        <f>IF($C100="","",VLOOKUP($C100,'Tracking List'!$A$5:$AL$883,F$4,FALSE))</f>
        <v/>
      </c>
      <c r="G100" s="147" t="str">
        <f>IF($C100="","",VLOOKUP($C100,'Tracking List'!$A$5:$AL$883,G$4,FALSE))</f>
        <v/>
      </c>
      <c r="H100" s="147" t="str">
        <f>IF($C100="","",VLOOKUP($C100,'Tracking List'!$A$5:$AL$883,H$4,FALSE))</f>
        <v/>
      </c>
      <c r="I100" s="147" t="str">
        <f>IF($C100="","",VLOOKUP($C100,'Tracking List'!$A$5:$AL$883,I$4,FALSE))</f>
        <v/>
      </c>
      <c r="J100" s="147" t="str">
        <f>IF($C100="","",VLOOKUP($C100,'Tracking List'!$A$5:$AL$883,J$4,FALSE))</f>
        <v/>
      </c>
      <c r="K100" s="147" t="str">
        <f>IF($C100="","",VLOOKUP($C100,'Tracking List'!$A$5:$AL$883,K$4,FALSE))</f>
        <v/>
      </c>
      <c r="L100" s="168" t="str">
        <f>IF($C100="","",VLOOKUP($C100,'Tracking List'!$A$5:$AL$883,L$4,FALSE))</f>
        <v/>
      </c>
      <c r="M100" s="147" t="str">
        <f>IF($C100="","",VLOOKUP($C100,'Tracking List'!$A$5:$AL$883,M$4,FALSE))</f>
        <v/>
      </c>
      <c r="N100" s="148" t="str">
        <f>IF($C100="","",IF(VLOOKUP($C100,'Tracking List'!$A$5:$AL$883,N$3,FALSE)&gt;0,"Y",VLOOKUP($C100,'Tracking List'!$A$5:$AL$883,N$4,FALSE)))</f>
        <v/>
      </c>
      <c r="O100" s="148" t="str">
        <f>IF($C100="","",IF(VLOOKUP($C100,'Tracking List'!$A$5:$AL$883,O$3,FALSE)&gt;0,"Y",VLOOKUP($C100,'Tracking List'!$A$5:$AL$883,O$4,FALSE)))</f>
        <v/>
      </c>
      <c r="P100" s="147" t="str">
        <f>IF($C100="","",IF(VLOOKUP($C100,'Tracking List'!$A$5:$AL$883,P$4,FALSE)&gt;0,"Y",""))</f>
        <v/>
      </c>
      <c r="Q100" s="149"/>
      <c r="R100" s="150" t="str">
        <f>IF($C100="","",VLOOKUP($C100,'Tracking List'!$A$5:$AL$883,R$4,FALSE))</f>
        <v/>
      </c>
    </row>
    <row r="101" spans="3:18">
      <c r="C101" s="146"/>
      <c r="D101" s="147" t="str">
        <f>IF($C101="","",VLOOKUP($C101,'Tracking List'!$A$5:$AL$883,D$4,FALSE))</f>
        <v/>
      </c>
      <c r="E101" s="147" t="str">
        <f>IF($C101="","",VLOOKUP($C101,'Tracking List'!$A$5:$AL$883,E$4,FALSE))</f>
        <v/>
      </c>
      <c r="F101" s="147" t="str">
        <f>IF($C101="","",VLOOKUP($C101,'Tracking List'!$A$5:$AL$883,F$4,FALSE))</f>
        <v/>
      </c>
      <c r="G101" s="147" t="str">
        <f>IF($C101="","",VLOOKUP($C101,'Tracking List'!$A$5:$AL$883,G$4,FALSE))</f>
        <v/>
      </c>
      <c r="H101" s="147" t="str">
        <f>IF($C101="","",VLOOKUP($C101,'Tracking List'!$A$5:$AL$883,H$4,FALSE))</f>
        <v/>
      </c>
      <c r="I101" s="147" t="str">
        <f>IF($C101="","",VLOOKUP($C101,'Tracking List'!$A$5:$AL$883,I$4,FALSE))</f>
        <v/>
      </c>
      <c r="J101" s="147" t="str">
        <f>IF($C101="","",VLOOKUP($C101,'Tracking List'!$A$5:$AL$883,J$4,FALSE))</f>
        <v/>
      </c>
      <c r="K101" s="147" t="str">
        <f>IF($C101="","",VLOOKUP($C101,'Tracking List'!$A$5:$AL$883,K$4,FALSE))</f>
        <v/>
      </c>
      <c r="L101" s="168" t="str">
        <f>IF($C101="","",VLOOKUP($C101,'Tracking List'!$A$5:$AL$883,L$4,FALSE))</f>
        <v/>
      </c>
      <c r="M101" s="147" t="str">
        <f>IF($C101="","",VLOOKUP($C101,'Tracking List'!$A$5:$AL$883,M$4,FALSE))</f>
        <v/>
      </c>
      <c r="N101" s="148" t="str">
        <f>IF($C101="","",IF(VLOOKUP($C101,'Tracking List'!$A$5:$AL$883,N$3,FALSE)&gt;0,"Y",VLOOKUP($C101,'Tracking List'!$A$5:$AL$883,N$4,FALSE)))</f>
        <v/>
      </c>
      <c r="O101" s="148" t="str">
        <f>IF($C101="","",IF(VLOOKUP($C101,'Tracking List'!$A$5:$AL$883,O$3,FALSE)&gt;0,"Y",VLOOKUP($C101,'Tracking List'!$A$5:$AL$883,O$4,FALSE)))</f>
        <v/>
      </c>
      <c r="P101" s="147" t="str">
        <f>IF($C101="","",IF(VLOOKUP($C101,'Tracking List'!$A$5:$AL$883,P$4,FALSE)&gt;0,"Y",""))</f>
        <v/>
      </c>
      <c r="Q101" s="149"/>
      <c r="R101" s="150" t="str">
        <f>IF($C101="","",VLOOKUP($C101,'Tracking List'!$A$5:$AL$883,R$4,FALSE))</f>
        <v/>
      </c>
    </row>
    <row r="102" spans="3:18">
      <c r="C102" s="146"/>
      <c r="D102" s="147" t="str">
        <f>IF($C102="","",VLOOKUP($C102,'Tracking List'!$A$5:$AL$883,D$4,FALSE))</f>
        <v/>
      </c>
      <c r="E102" s="147" t="str">
        <f>IF($C102="","",VLOOKUP($C102,'Tracking List'!$A$5:$AL$883,E$4,FALSE))</f>
        <v/>
      </c>
      <c r="F102" s="147" t="str">
        <f>IF($C102="","",VLOOKUP($C102,'Tracking List'!$A$5:$AL$883,F$4,FALSE))</f>
        <v/>
      </c>
      <c r="G102" s="147" t="str">
        <f>IF($C102="","",VLOOKUP($C102,'Tracking List'!$A$5:$AL$883,G$4,FALSE))</f>
        <v/>
      </c>
      <c r="H102" s="147" t="str">
        <f>IF($C102="","",VLOOKUP($C102,'Tracking List'!$A$5:$AL$883,H$4,FALSE))</f>
        <v/>
      </c>
      <c r="I102" s="147" t="str">
        <f>IF($C102="","",VLOOKUP($C102,'Tracking List'!$A$5:$AL$883,I$4,FALSE))</f>
        <v/>
      </c>
      <c r="J102" s="147" t="str">
        <f>IF($C102="","",VLOOKUP($C102,'Tracking List'!$A$5:$AL$883,J$4,FALSE))</f>
        <v/>
      </c>
      <c r="K102" s="147" t="str">
        <f>IF($C102="","",VLOOKUP($C102,'Tracking List'!$A$5:$AL$883,K$4,FALSE))</f>
        <v/>
      </c>
      <c r="L102" s="168" t="str">
        <f>IF($C102="","",VLOOKUP($C102,'Tracking List'!$A$5:$AL$883,L$4,FALSE))</f>
        <v/>
      </c>
      <c r="M102" s="147" t="str">
        <f>IF($C102="","",VLOOKUP($C102,'Tracking List'!$A$5:$AL$883,M$4,FALSE))</f>
        <v/>
      </c>
      <c r="N102" s="148" t="str">
        <f>IF($C102="","",IF(VLOOKUP($C102,'Tracking List'!$A$5:$AL$883,N$3,FALSE)&gt;0,"Y",VLOOKUP($C102,'Tracking List'!$A$5:$AL$883,N$4,FALSE)))</f>
        <v/>
      </c>
      <c r="O102" s="148" t="str">
        <f>IF($C102="","",IF(VLOOKUP($C102,'Tracking List'!$A$5:$AL$883,O$3,FALSE)&gt;0,"Y",VLOOKUP($C102,'Tracking List'!$A$5:$AL$883,O$4,FALSE)))</f>
        <v/>
      </c>
      <c r="P102" s="147" t="str">
        <f>IF($C102="","",IF(VLOOKUP($C102,'Tracking List'!$A$5:$AL$883,P$4,FALSE)&gt;0,"Y",""))</f>
        <v/>
      </c>
      <c r="Q102" s="149"/>
      <c r="R102" s="150" t="str">
        <f>IF($C102="","",VLOOKUP($C102,'Tracking List'!$A$5:$AL$883,R$4,FALSE))</f>
        <v/>
      </c>
    </row>
    <row r="103" spans="3:18">
      <c r="C103" s="146"/>
      <c r="D103" s="147" t="str">
        <f>IF($C103="","",VLOOKUP($C103,'Tracking List'!$A$5:$AL$883,D$4,FALSE))</f>
        <v/>
      </c>
      <c r="E103" s="147" t="str">
        <f>IF($C103="","",VLOOKUP($C103,'Tracking List'!$A$5:$AL$883,E$4,FALSE))</f>
        <v/>
      </c>
      <c r="F103" s="147" t="str">
        <f>IF($C103="","",VLOOKUP($C103,'Tracking List'!$A$5:$AL$883,F$4,FALSE))</f>
        <v/>
      </c>
      <c r="G103" s="147" t="str">
        <f>IF($C103="","",VLOOKUP($C103,'Tracking List'!$A$5:$AL$883,G$4,FALSE))</f>
        <v/>
      </c>
      <c r="H103" s="147" t="str">
        <f>IF($C103="","",VLOOKUP($C103,'Tracking List'!$A$5:$AL$883,H$4,FALSE))</f>
        <v/>
      </c>
      <c r="I103" s="147" t="str">
        <f>IF($C103="","",VLOOKUP($C103,'Tracking List'!$A$5:$AL$883,I$4,FALSE))</f>
        <v/>
      </c>
      <c r="J103" s="147" t="str">
        <f>IF($C103="","",VLOOKUP($C103,'Tracking List'!$A$5:$AL$883,J$4,FALSE))</f>
        <v/>
      </c>
      <c r="K103" s="147" t="str">
        <f>IF($C103="","",VLOOKUP($C103,'Tracking List'!$A$5:$AL$883,K$4,FALSE))</f>
        <v/>
      </c>
      <c r="L103" s="168" t="str">
        <f>IF($C103="","",VLOOKUP($C103,'Tracking List'!$A$5:$AL$883,L$4,FALSE))</f>
        <v/>
      </c>
      <c r="M103" s="147" t="str">
        <f>IF($C103="","",VLOOKUP($C103,'Tracking List'!$A$5:$AL$883,M$4,FALSE))</f>
        <v/>
      </c>
      <c r="N103" s="148" t="str">
        <f>IF($C103="","",IF(VLOOKUP($C103,'Tracking List'!$A$5:$AL$883,N$3,FALSE)&gt;0,"Y",VLOOKUP($C103,'Tracking List'!$A$5:$AL$883,N$4,FALSE)))</f>
        <v/>
      </c>
      <c r="O103" s="148" t="str">
        <f>IF($C103="","",IF(VLOOKUP($C103,'Tracking List'!$A$5:$AL$883,O$3,FALSE)&gt;0,"Y",VLOOKUP($C103,'Tracking List'!$A$5:$AL$883,O$4,FALSE)))</f>
        <v/>
      </c>
      <c r="P103" s="147" t="str">
        <f>IF($C103="","",IF(VLOOKUP($C103,'Tracking List'!$A$5:$AL$883,P$4,FALSE)&gt;0,"Y",""))</f>
        <v/>
      </c>
      <c r="Q103" s="149"/>
      <c r="R103" s="150" t="str">
        <f>IF($C103="","",VLOOKUP($C103,'Tracking List'!$A$5:$AL$883,R$4,FALSE))</f>
        <v/>
      </c>
    </row>
    <row r="104" spans="3:18">
      <c r="C104" s="146"/>
      <c r="D104" s="147" t="str">
        <f>IF($C104="","",VLOOKUP($C104,'Tracking List'!$A$5:$AL$883,D$4,FALSE))</f>
        <v/>
      </c>
      <c r="E104" s="147" t="str">
        <f>IF($C104="","",VLOOKUP($C104,'Tracking List'!$A$5:$AL$883,E$4,FALSE))</f>
        <v/>
      </c>
      <c r="F104" s="147" t="str">
        <f>IF($C104="","",VLOOKUP($C104,'Tracking List'!$A$5:$AL$883,F$4,FALSE))</f>
        <v/>
      </c>
      <c r="G104" s="147" t="str">
        <f>IF($C104="","",VLOOKUP($C104,'Tracking List'!$A$5:$AL$883,G$4,FALSE))</f>
        <v/>
      </c>
      <c r="H104" s="147" t="str">
        <f>IF($C104="","",VLOOKUP($C104,'Tracking List'!$A$5:$AL$883,H$4,FALSE))</f>
        <v/>
      </c>
      <c r="I104" s="147" t="str">
        <f>IF($C104="","",VLOOKUP($C104,'Tracking List'!$A$5:$AL$883,I$4,FALSE))</f>
        <v/>
      </c>
      <c r="J104" s="147" t="str">
        <f>IF($C104="","",VLOOKUP($C104,'Tracking List'!$A$5:$AL$883,J$4,FALSE))</f>
        <v/>
      </c>
      <c r="K104" s="147" t="str">
        <f>IF($C104="","",VLOOKUP($C104,'Tracking List'!$A$5:$AL$883,K$4,FALSE))</f>
        <v/>
      </c>
      <c r="L104" s="168" t="str">
        <f>IF($C104="","",VLOOKUP($C104,'Tracking List'!$A$5:$AL$883,L$4,FALSE))</f>
        <v/>
      </c>
      <c r="M104" s="147" t="str">
        <f>IF($C104="","",VLOOKUP($C104,'Tracking List'!$A$5:$AL$883,M$4,FALSE))</f>
        <v/>
      </c>
      <c r="N104" s="148" t="str">
        <f>IF($C104="","",IF(VLOOKUP($C104,'Tracking List'!$A$5:$AL$883,N$3,FALSE)&gt;0,"Y",VLOOKUP($C104,'Tracking List'!$A$5:$AL$883,N$4,FALSE)))</f>
        <v/>
      </c>
      <c r="O104" s="148" t="str">
        <f>IF($C104="","",IF(VLOOKUP($C104,'Tracking List'!$A$5:$AL$883,O$3,FALSE)&gt;0,"Y",VLOOKUP($C104,'Tracking List'!$A$5:$AL$883,O$4,FALSE)))</f>
        <v/>
      </c>
      <c r="P104" s="147" t="str">
        <f>IF($C104="","",IF(VLOOKUP($C104,'Tracking List'!$A$5:$AL$883,P$4,FALSE)&gt;0,"Y",""))</f>
        <v/>
      </c>
      <c r="Q104" s="149"/>
      <c r="R104" s="150" t="str">
        <f>IF($C104="","",VLOOKUP($C104,'Tracking List'!$A$5:$AL$883,R$4,FALSE))</f>
        <v/>
      </c>
    </row>
    <row r="105" spans="3:18">
      <c r="C105" s="146"/>
      <c r="D105" s="147" t="str">
        <f>IF($C105="","",VLOOKUP($C105,'Tracking List'!$A$5:$AL$883,D$4,FALSE))</f>
        <v/>
      </c>
      <c r="E105" s="147" t="str">
        <f>IF($C105="","",VLOOKUP($C105,'Tracking List'!$A$5:$AL$883,E$4,FALSE))</f>
        <v/>
      </c>
      <c r="F105" s="147" t="str">
        <f>IF($C105="","",VLOOKUP($C105,'Tracking List'!$A$5:$AL$883,F$4,FALSE))</f>
        <v/>
      </c>
      <c r="G105" s="147" t="str">
        <f>IF($C105="","",VLOOKUP($C105,'Tracking List'!$A$5:$AL$883,G$4,FALSE))</f>
        <v/>
      </c>
      <c r="H105" s="147" t="str">
        <f>IF($C105="","",VLOOKUP($C105,'Tracking List'!$A$5:$AL$883,H$4,FALSE))</f>
        <v/>
      </c>
      <c r="I105" s="147" t="str">
        <f>IF($C105="","",VLOOKUP($C105,'Tracking List'!$A$5:$AL$883,I$4,FALSE))</f>
        <v/>
      </c>
      <c r="J105" s="147" t="str">
        <f>IF($C105="","",VLOOKUP($C105,'Tracking List'!$A$5:$AL$883,J$4,FALSE))</f>
        <v/>
      </c>
      <c r="K105" s="147" t="str">
        <f>IF($C105="","",VLOOKUP($C105,'Tracking List'!$A$5:$AL$883,K$4,FALSE))</f>
        <v/>
      </c>
      <c r="L105" s="168" t="str">
        <f>IF($C105="","",VLOOKUP($C105,'Tracking List'!$A$5:$AL$883,L$4,FALSE))</f>
        <v/>
      </c>
      <c r="M105" s="147" t="str">
        <f>IF($C105="","",VLOOKUP($C105,'Tracking List'!$A$5:$AL$883,M$4,FALSE))</f>
        <v/>
      </c>
      <c r="N105" s="148" t="str">
        <f>IF($C105="","",IF(VLOOKUP($C105,'Tracking List'!$A$5:$AL$883,N$3,FALSE)&gt;0,"Y",VLOOKUP($C105,'Tracking List'!$A$5:$AL$883,N$4,FALSE)))</f>
        <v/>
      </c>
      <c r="O105" s="148" t="str">
        <f>IF($C105="","",IF(VLOOKUP($C105,'Tracking List'!$A$5:$AL$883,O$3,FALSE)&gt;0,"Y",VLOOKUP($C105,'Tracking List'!$A$5:$AL$883,O$4,FALSE)))</f>
        <v/>
      </c>
      <c r="P105" s="147" t="str">
        <f>IF($C105="","",IF(VLOOKUP($C105,'Tracking List'!$A$5:$AL$883,P$4,FALSE)&gt;0,"Y",""))</f>
        <v/>
      </c>
      <c r="Q105" s="149"/>
      <c r="R105" s="150" t="str">
        <f>IF($C105="","",VLOOKUP($C105,'Tracking List'!$A$5:$AL$883,R$4,FALSE))</f>
        <v/>
      </c>
    </row>
    <row r="106" spans="3:18">
      <c r="C106" s="146"/>
      <c r="D106" s="147" t="str">
        <f>IF($C106="","",VLOOKUP($C106,'Tracking List'!$A$5:$AL$883,D$4,FALSE))</f>
        <v/>
      </c>
      <c r="E106" s="147" t="str">
        <f>IF($C106="","",VLOOKUP($C106,'Tracking List'!$A$5:$AL$883,E$4,FALSE))</f>
        <v/>
      </c>
      <c r="F106" s="147" t="str">
        <f>IF($C106="","",VLOOKUP($C106,'Tracking List'!$A$5:$AL$883,F$4,FALSE))</f>
        <v/>
      </c>
      <c r="G106" s="147" t="str">
        <f>IF($C106="","",VLOOKUP($C106,'Tracking List'!$A$5:$AL$883,G$4,FALSE))</f>
        <v/>
      </c>
      <c r="H106" s="147" t="str">
        <f>IF($C106="","",VLOOKUP($C106,'Tracking List'!$A$5:$AL$883,H$4,FALSE))</f>
        <v/>
      </c>
      <c r="I106" s="147" t="str">
        <f>IF($C106="","",VLOOKUP($C106,'Tracking List'!$A$5:$AL$883,I$4,FALSE))</f>
        <v/>
      </c>
      <c r="J106" s="147" t="str">
        <f>IF($C106="","",VLOOKUP($C106,'Tracking List'!$A$5:$AL$883,J$4,FALSE))</f>
        <v/>
      </c>
      <c r="K106" s="147" t="str">
        <f>IF($C106="","",VLOOKUP($C106,'Tracking List'!$A$5:$AL$883,K$4,FALSE))</f>
        <v/>
      </c>
      <c r="L106" s="168" t="str">
        <f>IF($C106="","",VLOOKUP($C106,'Tracking List'!$A$5:$AL$883,L$4,FALSE))</f>
        <v/>
      </c>
      <c r="M106" s="147" t="str">
        <f>IF($C106="","",VLOOKUP($C106,'Tracking List'!$A$5:$AL$883,M$4,FALSE))</f>
        <v/>
      </c>
      <c r="N106" s="148" t="str">
        <f>IF($C106="","",IF(VLOOKUP($C106,'Tracking List'!$A$5:$AL$883,N$3,FALSE)&gt;0,"Y",VLOOKUP($C106,'Tracking List'!$A$5:$AL$883,N$4,FALSE)))</f>
        <v/>
      </c>
      <c r="O106" s="148" t="str">
        <f>IF($C106="","",IF(VLOOKUP($C106,'Tracking List'!$A$5:$AL$883,O$3,FALSE)&gt;0,"Y",VLOOKUP($C106,'Tracking List'!$A$5:$AL$883,O$4,FALSE)))</f>
        <v/>
      </c>
      <c r="P106" s="147" t="str">
        <f>IF($C106="","",IF(VLOOKUP($C106,'Tracking List'!$A$5:$AL$883,P$4,FALSE)&gt;0,"Y",""))</f>
        <v/>
      </c>
      <c r="Q106" s="149"/>
      <c r="R106" s="150" t="str">
        <f>IF($C106="","",VLOOKUP($C106,'Tracking List'!$A$5:$AL$883,R$4,FALSE))</f>
        <v/>
      </c>
    </row>
    <row r="107" spans="3:18">
      <c r="C107" s="146"/>
      <c r="D107" s="147" t="str">
        <f>IF($C107="","",VLOOKUP($C107,'Tracking List'!$A$5:$AL$883,D$4,FALSE))</f>
        <v/>
      </c>
      <c r="E107" s="147" t="str">
        <f>IF($C107="","",VLOOKUP($C107,'Tracking List'!$A$5:$AL$883,E$4,FALSE))</f>
        <v/>
      </c>
      <c r="F107" s="147" t="str">
        <f>IF($C107="","",VLOOKUP($C107,'Tracking List'!$A$5:$AL$883,F$4,FALSE))</f>
        <v/>
      </c>
      <c r="G107" s="147" t="str">
        <f>IF($C107="","",VLOOKUP($C107,'Tracking List'!$A$5:$AL$883,G$4,FALSE))</f>
        <v/>
      </c>
      <c r="H107" s="147" t="str">
        <f>IF($C107="","",VLOOKUP($C107,'Tracking List'!$A$5:$AL$883,H$4,FALSE))</f>
        <v/>
      </c>
      <c r="I107" s="147" t="str">
        <f>IF($C107="","",VLOOKUP($C107,'Tracking List'!$A$5:$AL$883,I$4,FALSE))</f>
        <v/>
      </c>
      <c r="J107" s="147" t="str">
        <f>IF($C107="","",VLOOKUP($C107,'Tracking List'!$A$5:$AL$883,J$4,FALSE))</f>
        <v/>
      </c>
      <c r="K107" s="147" t="str">
        <f>IF($C107="","",VLOOKUP($C107,'Tracking List'!$A$5:$AL$883,K$4,FALSE))</f>
        <v/>
      </c>
      <c r="L107" s="168" t="str">
        <f>IF($C107="","",VLOOKUP($C107,'Tracking List'!$A$5:$AL$883,L$4,FALSE))</f>
        <v/>
      </c>
      <c r="M107" s="147" t="str">
        <f>IF($C107="","",VLOOKUP($C107,'Tracking List'!$A$5:$AL$883,M$4,FALSE))</f>
        <v/>
      </c>
      <c r="N107" s="148" t="str">
        <f>IF($C107="","",IF(VLOOKUP($C107,'Tracking List'!$A$5:$AL$883,N$3,FALSE)&gt;0,"Y",VLOOKUP($C107,'Tracking List'!$A$5:$AL$883,N$4,FALSE)))</f>
        <v/>
      </c>
      <c r="O107" s="148" t="str">
        <f>IF($C107="","",IF(VLOOKUP($C107,'Tracking List'!$A$5:$AL$883,O$3,FALSE)&gt;0,"Y",VLOOKUP($C107,'Tracking List'!$A$5:$AL$883,O$4,FALSE)))</f>
        <v/>
      </c>
      <c r="P107" s="147" t="str">
        <f>IF($C107="","",IF(VLOOKUP($C107,'Tracking List'!$A$5:$AL$883,P$4,FALSE)&gt;0,"Y",""))</f>
        <v/>
      </c>
      <c r="Q107" s="149"/>
      <c r="R107" s="150" t="str">
        <f>IF($C107="","",VLOOKUP($C107,'Tracking List'!$A$5:$AL$883,R$4,FALSE))</f>
        <v/>
      </c>
    </row>
    <row r="108" spans="3:18">
      <c r="C108" s="146"/>
      <c r="D108" s="147" t="str">
        <f>IF($C108="","",VLOOKUP($C108,'Tracking List'!$A$5:$AL$883,D$4,FALSE))</f>
        <v/>
      </c>
      <c r="E108" s="147" t="str">
        <f>IF($C108="","",VLOOKUP($C108,'Tracking List'!$A$5:$AL$883,E$4,FALSE))</f>
        <v/>
      </c>
      <c r="F108" s="147" t="str">
        <f>IF($C108="","",VLOOKUP($C108,'Tracking List'!$A$5:$AL$883,F$4,FALSE))</f>
        <v/>
      </c>
      <c r="G108" s="147" t="str">
        <f>IF($C108="","",VLOOKUP($C108,'Tracking List'!$A$5:$AL$883,G$4,FALSE))</f>
        <v/>
      </c>
      <c r="H108" s="147" t="str">
        <f>IF($C108="","",VLOOKUP($C108,'Tracking List'!$A$5:$AL$883,H$4,FALSE))</f>
        <v/>
      </c>
      <c r="I108" s="147" t="str">
        <f>IF($C108="","",VLOOKUP($C108,'Tracking List'!$A$5:$AL$883,I$4,FALSE))</f>
        <v/>
      </c>
      <c r="J108" s="147" t="str">
        <f>IF($C108="","",VLOOKUP($C108,'Tracking List'!$A$5:$AL$883,J$4,FALSE))</f>
        <v/>
      </c>
      <c r="K108" s="147" t="str">
        <f>IF($C108="","",VLOOKUP($C108,'Tracking List'!$A$5:$AL$883,K$4,FALSE))</f>
        <v/>
      </c>
      <c r="L108" s="168" t="str">
        <f>IF($C108="","",VLOOKUP($C108,'Tracking List'!$A$5:$AL$883,L$4,FALSE))</f>
        <v/>
      </c>
      <c r="M108" s="147" t="str">
        <f>IF($C108="","",VLOOKUP($C108,'Tracking List'!$A$5:$AL$883,M$4,FALSE))</f>
        <v/>
      </c>
      <c r="N108" s="148" t="str">
        <f>IF($C108="","",IF(VLOOKUP($C108,'Tracking List'!$A$5:$AL$883,N$3,FALSE)&gt;0,"Y",VLOOKUP($C108,'Tracking List'!$A$5:$AL$883,N$4,FALSE)))</f>
        <v/>
      </c>
      <c r="O108" s="148" t="str">
        <f>IF($C108="","",IF(VLOOKUP($C108,'Tracking List'!$A$5:$AL$883,O$3,FALSE)&gt;0,"Y",VLOOKUP($C108,'Tracking List'!$A$5:$AL$883,O$4,FALSE)))</f>
        <v/>
      </c>
      <c r="P108" s="147" t="str">
        <f>IF($C108="","",IF(VLOOKUP($C108,'Tracking List'!$A$5:$AL$883,P$4,FALSE)&gt;0,"Y",""))</f>
        <v/>
      </c>
      <c r="Q108" s="149"/>
      <c r="R108" s="150" t="str">
        <f>IF($C108="","",VLOOKUP($C108,'Tracking List'!$A$5:$AL$883,R$4,FALSE))</f>
        <v/>
      </c>
    </row>
    <row r="109" spans="3:18">
      <c r="C109" s="146"/>
      <c r="D109" s="147" t="str">
        <f>IF($C109="","",VLOOKUP($C109,'Tracking List'!$A$5:$AL$883,D$4,FALSE))</f>
        <v/>
      </c>
      <c r="E109" s="147" t="str">
        <f>IF($C109="","",VLOOKUP($C109,'Tracking List'!$A$5:$AL$883,E$4,FALSE))</f>
        <v/>
      </c>
      <c r="F109" s="147" t="str">
        <f>IF($C109="","",VLOOKUP($C109,'Tracking List'!$A$5:$AL$883,F$4,FALSE))</f>
        <v/>
      </c>
      <c r="G109" s="147" t="str">
        <f>IF($C109="","",VLOOKUP($C109,'Tracking List'!$A$5:$AL$883,G$4,FALSE))</f>
        <v/>
      </c>
      <c r="H109" s="147" t="str">
        <f>IF($C109="","",VLOOKUP($C109,'Tracking List'!$A$5:$AL$883,H$4,FALSE))</f>
        <v/>
      </c>
      <c r="I109" s="147" t="str">
        <f>IF($C109="","",VLOOKUP($C109,'Tracking List'!$A$5:$AL$883,I$4,FALSE))</f>
        <v/>
      </c>
      <c r="J109" s="147" t="str">
        <f>IF($C109="","",VLOOKUP($C109,'Tracking List'!$A$5:$AL$883,J$4,FALSE))</f>
        <v/>
      </c>
      <c r="K109" s="147" t="str">
        <f>IF($C109="","",VLOOKUP($C109,'Tracking List'!$A$5:$AL$883,K$4,FALSE))</f>
        <v/>
      </c>
      <c r="L109" s="168" t="str">
        <f>IF($C109="","",VLOOKUP($C109,'Tracking List'!$A$5:$AL$883,L$4,FALSE))</f>
        <v/>
      </c>
      <c r="M109" s="147" t="str">
        <f>IF($C109="","",VLOOKUP($C109,'Tracking List'!$A$5:$AL$883,M$4,FALSE))</f>
        <v/>
      </c>
      <c r="N109" s="148" t="str">
        <f>IF($C109="","",IF(VLOOKUP($C109,'Tracking List'!$A$5:$AL$883,N$3,FALSE)&gt;0,"Y",VLOOKUP($C109,'Tracking List'!$A$5:$AL$883,N$4,FALSE)))</f>
        <v/>
      </c>
      <c r="O109" s="148" t="str">
        <f>IF($C109="","",IF(VLOOKUP($C109,'Tracking List'!$A$5:$AL$883,O$3,FALSE)&gt;0,"Y",VLOOKUP($C109,'Tracking List'!$A$5:$AL$883,O$4,FALSE)))</f>
        <v/>
      </c>
      <c r="P109" s="147" t="str">
        <f>IF($C109="","",IF(VLOOKUP($C109,'Tracking List'!$A$5:$AL$883,P$4,FALSE)&gt;0,"Y",""))</f>
        <v/>
      </c>
      <c r="Q109" s="149"/>
      <c r="R109" s="150" t="str">
        <f>IF($C109="","",VLOOKUP($C109,'Tracking List'!$A$5:$AL$883,R$4,FALSE))</f>
        <v/>
      </c>
    </row>
    <row r="110" spans="3:18">
      <c r="C110" s="146"/>
      <c r="D110" s="147" t="str">
        <f>IF($C110="","",VLOOKUP($C110,'Tracking List'!$A$5:$AL$883,D$4,FALSE))</f>
        <v/>
      </c>
      <c r="E110" s="147" t="str">
        <f>IF($C110="","",VLOOKUP($C110,'Tracking List'!$A$5:$AL$883,E$4,FALSE))</f>
        <v/>
      </c>
      <c r="F110" s="147" t="str">
        <f>IF($C110="","",VLOOKUP($C110,'Tracking List'!$A$5:$AL$883,F$4,FALSE))</f>
        <v/>
      </c>
      <c r="G110" s="147" t="str">
        <f>IF($C110="","",VLOOKUP($C110,'Tracking List'!$A$5:$AL$883,G$4,FALSE))</f>
        <v/>
      </c>
      <c r="H110" s="147" t="str">
        <f>IF($C110="","",VLOOKUP($C110,'Tracking List'!$A$5:$AL$883,H$4,FALSE))</f>
        <v/>
      </c>
      <c r="I110" s="147" t="str">
        <f>IF($C110="","",VLOOKUP($C110,'Tracking List'!$A$5:$AL$883,I$4,FALSE))</f>
        <v/>
      </c>
      <c r="J110" s="147" t="str">
        <f>IF($C110="","",VLOOKUP($C110,'Tracking List'!$A$5:$AL$883,J$4,FALSE))</f>
        <v/>
      </c>
      <c r="K110" s="147" t="str">
        <f>IF($C110="","",VLOOKUP($C110,'Tracking List'!$A$5:$AL$883,K$4,FALSE))</f>
        <v/>
      </c>
      <c r="L110" s="168" t="str">
        <f>IF($C110="","",VLOOKUP($C110,'Tracking List'!$A$5:$AL$883,L$4,FALSE))</f>
        <v/>
      </c>
      <c r="M110" s="147" t="str">
        <f>IF($C110="","",VLOOKUP($C110,'Tracking List'!$A$5:$AL$883,M$4,FALSE))</f>
        <v/>
      </c>
      <c r="N110" s="148" t="str">
        <f>IF($C110="","",IF(VLOOKUP($C110,'Tracking List'!$A$5:$AL$883,N$3,FALSE)&gt;0,"Y",VLOOKUP($C110,'Tracking List'!$A$5:$AL$883,N$4,FALSE)))</f>
        <v/>
      </c>
      <c r="O110" s="148" t="str">
        <f>IF($C110="","",IF(VLOOKUP($C110,'Tracking List'!$A$5:$AL$883,O$3,FALSE)&gt;0,"Y",VLOOKUP($C110,'Tracking List'!$A$5:$AL$883,O$4,FALSE)))</f>
        <v/>
      </c>
      <c r="P110" s="147" t="str">
        <f>IF($C110="","",IF(VLOOKUP($C110,'Tracking List'!$A$5:$AL$883,P$4,FALSE)&gt;0,"Y",""))</f>
        <v/>
      </c>
      <c r="Q110" s="149"/>
      <c r="R110" s="150" t="str">
        <f>IF($C110="","",VLOOKUP($C110,'Tracking List'!$A$5:$AL$883,R$4,FALSE))</f>
        <v/>
      </c>
    </row>
    <row r="111" spans="3:18">
      <c r="C111" s="146"/>
      <c r="D111" s="147" t="str">
        <f>IF($C111="","",VLOOKUP($C111,'Tracking List'!$A$5:$AL$883,D$4,FALSE))</f>
        <v/>
      </c>
      <c r="E111" s="147" t="str">
        <f>IF($C111="","",VLOOKUP($C111,'Tracking List'!$A$5:$AL$883,E$4,FALSE))</f>
        <v/>
      </c>
      <c r="F111" s="147" t="str">
        <f>IF($C111="","",VLOOKUP($C111,'Tracking List'!$A$5:$AL$883,F$4,FALSE))</f>
        <v/>
      </c>
      <c r="G111" s="147" t="str">
        <f>IF($C111="","",VLOOKUP($C111,'Tracking List'!$A$5:$AL$883,G$4,FALSE))</f>
        <v/>
      </c>
      <c r="H111" s="147" t="str">
        <f>IF($C111="","",VLOOKUP($C111,'Tracking List'!$A$5:$AL$883,H$4,FALSE))</f>
        <v/>
      </c>
      <c r="I111" s="147" t="str">
        <f>IF($C111="","",VLOOKUP($C111,'Tracking List'!$A$5:$AL$883,I$4,FALSE))</f>
        <v/>
      </c>
      <c r="J111" s="147" t="str">
        <f>IF($C111="","",VLOOKUP($C111,'Tracking List'!$A$5:$AL$883,J$4,FALSE))</f>
        <v/>
      </c>
      <c r="K111" s="147" t="str">
        <f>IF($C111="","",VLOOKUP($C111,'Tracking List'!$A$5:$AL$883,K$4,FALSE))</f>
        <v/>
      </c>
      <c r="L111" s="168" t="str">
        <f>IF($C111="","",VLOOKUP($C111,'Tracking List'!$A$5:$AL$883,L$4,FALSE))</f>
        <v/>
      </c>
      <c r="M111" s="147" t="str">
        <f>IF($C111="","",VLOOKUP($C111,'Tracking List'!$A$5:$AL$883,M$4,FALSE))</f>
        <v/>
      </c>
      <c r="N111" s="148" t="str">
        <f>IF($C111="","",IF(VLOOKUP($C111,'Tracking List'!$A$5:$AL$883,N$3,FALSE)&gt;0,"Y",VLOOKUP($C111,'Tracking List'!$A$5:$AL$883,N$4,FALSE)))</f>
        <v/>
      </c>
      <c r="O111" s="148" t="str">
        <f>IF($C111="","",IF(VLOOKUP($C111,'Tracking List'!$A$5:$AL$883,O$3,FALSE)&gt;0,"Y",VLOOKUP($C111,'Tracking List'!$A$5:$AL$883,O$4,FALSE)))</f>
        <v/>
      </c>
      <c r="P111" s="147" t="str">
        <f>IF($C111="","",IF(VLOOKUP($C111,'Tracking List'!$A$5:$AL$883,P$4,FALSE)&gt;0,"Y",""))</f>
        <v/>
      </c>
      <c r="Q111" s="149"/>
      <c r="R111" s="150" t="str">
        <f>IF($C111="","",VLOOKUP($C111,'Tracking List'!$A$5:$AL$883,R$4,FALSE))</f>
        <v/>
      </c>
    </row>
    <row r="112" spans="3:18">
      <c r="C112" s="146"/>
      <c r="D112" s="147" t="str">
        <f>IF($C112="","",VLOOKUP($C112,'Tracking List'!$A$5:$AL$883,D$4,FALSE))</f>
        <v/>
      </c>
      <c r="E112" s="147" t="str">
        <f>IF($C112="","",VLOOKUP($C112,'Tracking List'!$A$5:$AL$883,E$4,FALSE))</f>
        <v/>
      </c>
      <c r="F112" s="147" t="str">
        <f>IF($C112="","",VLOOKUP($C112,'Tracking List'!$A$5:$AL$883,F$4,FALSE))</f>
        <v/>
      </c>
      <c r="G112" s="147" t="str">
        <f>IF($C112="","",VLOOKUP($C112,'Tracking List'!$A$5:$AL$883,G$4,FALSE))</f>
        <v/>
      </c>
      <c r="H112" s="147" t="str">
        <f>IF($C112="","",VLOOKUP($C112,'Tracking List'!$A$5:$AL$883,H$4,FALSE))</f>
        <v/>
      </c>
      <c r="I112" s="147" t="str">
        <f>IF($C112="","",VLOOKUP($C112,'Tracking List'!$A$5:$AL$883,I$4,FALSE))</f>
        <v/>
      </c>
      <c r="J112" s="147" t="str">
        <f>IF($C112="","",VLOOKUP($C112,'Tracking List'!$A$5:$AL$883,J$4,FALSE))</f>
        <v/>
      </c>
      <c r="K112" s="147" t="str">
        <f>IF($C112="","",VLOOKUP($C112,'Tracking List'!$A$5:$AL$883,K$4,FALSE))</f>
        <v/>
      </c>
      <c r="L112" s="168" t="str">
        <f>IF($C112="","",VLOOKUP($C112,'Tracking List'!$A$5:$AL$883,L$4,FALSE))</f>
        <v/>
      </c>
      <c r="M112" s="147" t="str">
        <f>IF($C112="","",VLOOKUP($C112,'Tracking List'!$A$5:$AL$883,M$4,FALSE))</f>
        <v/>
      </c>
      <c r="N112" s="148" t="str">
        <f>IF($C112="","",IF(VLOOKUP($C112,'Tracking List'!$A$5:$AL$883,N$3,FALSE)&gt;0,"Y",VLOOKUP($C112,'Tracking List'!$A$5:$AL$883,N$4,FALSE)))</f>
        <v/>
      </c>
      <c r="O112" s="148" t="str">
        <f>IF($C112="","",IF(VLOOKUP($C112,'Tracking List'!$A$5:$AL$883,O$3,FALSE)&gt;0,"Y",VLOOKUP($C112,'Tracking List'!$A$5:$AL$883,O$4,FALSE)))</f>
        <v/>
      </c>
      <c r="P112" s="147" t="str">
        <f>IF($C112="","",IF(VLOOKUP($C112,'Tracking List'!$A$5:$AL$883,P$4,FALSE)&gt;0,"Y",""))</f>
        <v/>
      </c>
      <c r="Q112" s="149"/>
      <c r="R112" s="150" t="str">
        <f>IF($C112="","",VLOOKUP($C112,'Tracking List'!$A$5:$AL$883,R$4,FALSE))</f>
        <v/>
      </c>
    </row>
    <row r="113" spans="3:18">
      <c r="C113" s="146"/>
      <c r="D113" s="147" t="str">
        <f>IF($C113="","",VLOOKUP($C113,'Tracking List'!$A$5:$AL$883,D$4,FALSE))</f>
        <v/>
      </c>
      <c r="E113" s="147" t="str">
        <f>IF($C113="","",VLOOKUP($C113,'Tracking List'!$A$5:$AL$883,E$4,FALSE))</f>
        <v/>
      </c>
      <c r="F113" s="147" t="str">
        <f>IF($C113="","",VLOOKUP($C113,'Tracking List'!$A$5:$AL$883,F$4,FALSE))</f>
        <v/>
      </c>
      <c r="G113" s="147" t="str">
        <f>IF($C113="","",VLOOKUP($C113,'Tracking List'!$A$5:$AL$883,G$4,FALSE))</f>
        <v/>
      </c>
      <c r="H113" s="147" t="str">
        <f>IF($C113="","",VLOOKUP($C113,'Tracking List'!$A$5:$AL$883,H$4,FALSE))</f>
        <v/>
      </c>
      <c r="I113" s="147" t="str">
        <f>IF($C113="","",VLOOKUP($C113,'Tracking List'!$A$5:$AL$883,I$4,FALSE))</f>
        <v/>
      </c>
      <c r="J113" s="147" t="str">
        <f>IF($C113="","",VLOOKUP($C113,'Tracking List'!$A$5:$AL$883,J$4,FALSE))</f>
        <v/>
      </c>
      <c r="K113" s="147" t="str">
        <f>IF($C113="","",VLOOKUP($C113,'Tracking List'!$A$5:$AL$883,K$4,FALSE))</f>
        <v/>
      </c>
      <c r="L113" s="168" t="str">
        <f>IF($C113="","",VLOOKUP($C113,'Tracking List'!$A$5:$AL$883,L$4,FALSE))</f>
        <v/>
      </c>
      <c r="M113" s="147" t="str">
        <f>IF($C113="","",VLOOKUP($C113,'Tracking List'!$A$5:$AL$883,M$4,FALSE))</f>
        <v/>
      </c>
      <c r="N113" s="148" t="str">
        <f>IF($C113="","",IF(VLOOKUP($C113,'Tracking List'!$A$5:$AL$883,N$3,FALSE)&gt;0,"Y",VLOOKUP($C113,'Tracking List'!$A$5:$AL$883,N$4,FALSE)))</f>
        <v/>
      </c>
      <c r="O113" s="148" t="str">
        <f>IF($C113="","",IF(VLOOKUP($C113,'Tracking List'!$A$5:$AL$883,O$3,FALSE)&gt;0,"Y",VLOOKUP($C113,'Tracking List'!$A$5:$AL$883,O$4,FALSE)))</f>
        <v/>
      </c>
      <c r="P113" s="147" t="str">
        <f>IF($C113="","",IF(VLOOKUP($C113,'Tracking List'!$A$5:$AL$883,P$4,FALSE)&gt;0,"Y",""))</f>
        <v/>
      </c>
      <c r="Q113" s="149"/>
      <c r="R113" s="150" t="str">
        <f>IF($C113="","",VLOOKUP($C113,'Tracking List'!$A$5:$AL$883,R$4,FALSE))</f>
        <v/>
      </c>
    </row>
    <row r="114" spans="3:18">
      <c r="C114" s="146"/>
      <c r="D114" s="147" t="str">
        <f>IF($C114="","",VLOOKUP($C114,'Tracking List'!$A$5:$AL$883,D$4,FALSE))</f>
        <v/>
      </c>
      <c r="E114" s="147" t="str">
        <f>IF($C114="","",VLOOKUP($C114,'Tracking List'!$A$5:$AL$883,E$4,FALSE))</f>
        <v/>
      </c>
      <c r="F114" s="147" t="str">
        <f>IF($C114="","",VLOOKUP($C114,'Tracking List'!$A$5:$AL$883,F$4,FALSE))</f>
        <v/>
      </c>
      <c r="G114" s="147" t="str">
        <f>IF($C114="","",VLOOKUP($C114,'Tracking List'!$A$5:$AL$883,G$4,FALSE))</f>
        <v/>
      </c>
      <c r="H114" s="147" t="str">
        <f>IF($C114="","",VLOOKUP($C114,'Tracking List'!$A$5:$AL$883,H$4,FALSE))</f>
        <v/>
      </c>
      <c r="I114" s="147" t="str">
        <f>IF($C114="","",VLOOKUP($C114,'Tracking List'!$A$5:$AL$883,I$4,FALSE))</f>
        <v/>
      </c>
      <c r="J114" s="147" t="str">
        <f>IF($C114="","",VLOOKUP($C114,'Tracking List'!$A$5:$AL$883,J$4,FALSE))</f>
        <v/>
      </c>
      <c r="K114" s="147" t="str">
        <f>IF($C114="","",VLOOKUP($C114,'Tracking List'!$A$5:$AL$883,K$4,FALSE))</f>
        <v/>
      </c>
      <c r="L114" s="168" t="str">
        <f>IF($C114="","",VLOOKUP($C114,'Tracking List'!$A$5:$AL$883,L$4,FALSE))</f>
        <v/>
      </c>
      <c r="M114" s="147" t="str">
        <f>IF($C114="","",VLOOKUP($C114,'Tracking List'!$A$5:$AL$883,M$4,FALSE))</f>
        <v/>
      </c>
      <c r="N114" s="148" t="str">
        <f>IF($C114="","",IF(VLOOKUP($C114,'Tracking List'!$A$5:$AL$883,N$3,FALSE)&gt;0,"Y",VLOOKUP($C114,'Tracking List'!$A$5:$AL$883,N$4,FALSE)))</f>
        <v/>
      </c>
      <c r="O114" s="148" t="str">
        <f>IF($C114="","",IF(VLOOKUP($C114,'Tracking List'!$A$5:$AL$883,O$3,FALSE)&gt;0,"Y",VLOOKUP($C114,'Tracking List'!$A$5:$AL$883,O$4,FALSE)))</f>
        <v/>
      </c>
      <c r="P114" s="147" t="str">
        <f>IF($C114="","",IF(VLOOKUP($C114,'Tracking List'!$A$5:$AL$883,P$4,FALSE)&gt;0,"Y",""))</f>
        <v/>
      </c>
      <c r="Q114" s="149"/>
      <c r="R114" s="150" t="str">
        <f>IF($C114="","",VLOOKUP($C114,'Tracking List'!$A$5:$AL$883,R$4,FALSE))</f>
        <v/>
      </c>
    </row>
    <row r="115" spans="3:18">
      <c r="C115" s="146"/>
      <c r="D115" s="147" t="str">
        <f>IF($C115="","",VLOOKUP($C115,'Tracking List'!$A$5:$AL$883,D$4,FALSE))</f>
        <v/>
      </c>
      <c r="E115" s="147" t="str">
        <f>IF($C115="","",VLOOKUP($C115,'Tracking List'!$A$5:$AL$883,E$4,FALSE))</f>
        <v/>
      </c>
      <c r="F115" s="147" t="str">
        <f>IF($C115="","",VLOOKUP($C115,'Tracking List'!$A$5:$AL$883,F$4,FALSE))</f>
        <v/>
      </c>
      <c r="G115" s="147" t="str">
        <f>IF($C115="","",VLOOKUP($C115,'Tracking List'!$A$5:$AL$883,G$4,FALSE))</f>
        <v/>
      </c>
      <c r="H115" s="147" t="str">
        <f>IF($C115="","",VLOOKUP($C115,'Tracking List'!$A$5:$AL$883,H$4,FALSE))</f>
        <v/>
      </c>
      <c r="I115" s="147" t="str">
        <f>IF($C115="","",VLOOKUP($C115,'Tracking List'!$A$5:$AL$883,I$4,FALSE))</f>
        <v/>
      </c>
      <c r="J115" s="147" t="str">
        <f>IF($C115="","",VLOOKUP($C115,'Tracking List'!$A$5:$AL$883,J$4,FALSE))</f>
        <v/>
      </c>
      <c r="K115" s="147" t="str">
        <f>IF($C115="","",VLOOKUP($C115,'Tracking List'!$A$5:$AL$883,K$4,FALSE))</f>
        <v/>
      </c>
      <c r="L115" s="168" t="str">
        <f>IF($C115="","",VLOOKUP($C115,'Tracking List'!$A$5:$AL$883,L$4,FALSE))</f>
        <v/>
      </c>
      <c r="M115" s="147" t="str">
        <f>IF($C115="","",VLOOKUP($C115,'Tracking List'!$A$5:$AL$883,M$4,FALSE))</f>
        <v/>
      </c>
      <c r="N115" s="148" t="str">
        <f>IF($C115="","",IF(VLOOKUP($C115,'Tracking List'!$A$5:$AL$883,N$3,FALSE)&gt;0,"Y",VLOOKUP($C115,'Tracking List'!$A$5:$AL$883,N$4,FALSE)))</f>
        <v/>
      </c>
      <c r="O115" s="148" t="str">
        <f>IF($C115="","",IF(VLOOKUP($C115,'Tracking List'!$A$5:$AL$883,O$3,FALSE)&gt;0,"Y",VLOOKUP($C115,'Tracking List'!$A$5:$AL$883,O$4,FALSE)))</f>
        <v/>
      </c>
      <c r="P115" s="147" t="str">
        <f>IF($C115="","",IF(VLOOKUP($C115,'Tracking List'!$A$5:$AL$883,P$4,FALSE)&gt;0,"Y",""))</f>
        <v/>
      </c>
      <c r="Q115" s="149"/>
      <c r="R115" s="150" t="str">
        <f>IF($C115="","",VLOOKUP($C115,'Tracking List'!$A$5:$AL$883,R$4,FALSE))</f>
        <v/>
      </c>
    </row>
    <row r="116" spans="3:18">
      <c r="C116" s="146"/>
      <c r="D116" s="147" t="str">
        <f>IF($C116="","",VLOOKUP($C116,'Tracking List'!$A$5:$AL$883,D$4,FALSE))</f>
        <v/>
      </c>
      <c r="E116" s="147" t="str">
        <f>IF($C116="","",VLOOKUP($C116,'Tracking List'!$A$5:$AL$883,E$4,FALSE))</f>
        <v/>
      </c>
      <c r="F116" s="147" t="str">
        <f>IF($C116="","",VLOOKUP($C116,'Tracking List'!$A$5:$AL$883,F$4,FALSE))</f>
        <v/>
      </c>
      <c r="G116" s="147" t="str">
        <f>IF($C116="","",VLOOKUP($C116,'Tracking List'!$A$5:$AL$883,G$4,FALSE))</f>
        <v/>
      </c>
      <c r="H116" s="147" t="str">
        <f>IF($C116="","",VLOOKUP($C116,'Tracking List'!$A$5:$AL$883,H$4,FALSE))</f>
        <v/>
      </c>
      <c r="I116" s="147" t="str">
        <f>IF($C116="","",VLOOKUP($C116,'Tracking List'!$A$5:$AL$883,I$4,FALSE))</f>
        <v/>
      </c>
      <c r="J116" s="147" t="str">
        <f>IF($C116="","",VLOOKUP($C116,'Tracking List'!$A$5:$AL$883,J$4,FALSE))</f>
        <v/>
      </c>
      <c r="K116" s="147" t="str">
        <f>IF($C116="","",VLOOKUP($C116,'Tracking List'!$A$5:$AL$883,K$4,FALSE))</f>
        <v/>
      </c>
      <c r="L116" s="168" t="str">
        <f>IF($C116="","",VLOOKUP($C116,'Tracking List'!$A$5:$AL$883,L$4,FALSE))</f>
        <v/>
      </c>
      <c r="M116" s="147" t="str">
        <f>IF($C116="","",VLOOKUP($C116,'Tracking List'!$A$5:$AL$883,M$4,FALSE))</f>
        <v/>
      </c>
      <c r="N116" s="148" t="str">
        <f>IF($C116="","",IF(VLOOKUP($C116,'Tracking List'!$A$5:$AL$883,N$3,FALSE)&gt;0,"Y",VLOOKUP($C116,'Tracking List'!$A$5:$AL$883,N$4,FALSE)))</f>
        <v/>
      </c>
      <c r="O116" s="148" t="str">
        <f>IF($C116="","",IF(VLOOKUP($C116,'Tracking List'!$A$5:$AL$883,O$3,FALSE)&gt;0,"Y",VLOOKUP($C116,'Tracking List'!$A$5:$AL$883,O$4,FALSE)))</f>
        <v/>
      </c>
      <c r="P116" s="147" t="str">
        <f>IF($C116="","",IF(VLOOKUP($C116,'Tracking List'!$A$5:$AL$883,P$4,FALSE)&gt;0,"Y",""))</f>
        <v/>
      </c>
      <c r="Q116" s="149"/>
      <c r="R116" s="150" t="str">
        <f>IF($C116="","",VLOOKUP($C116,'Tracking List'!$A$5:$AL$883,R$4,FALSE))</f>
        <v/>
      </c>
    </row>
    <row r="117" spans="3:18">
      <c r="C117" s="146"/>
      <c r="D117" s="147" t="str">
        <f>IF($C117="","",VLOOKUP($C117,'Tracking List'!$A$5:$AL$883,D$4,FALSE))</f>
        <v/>
      </c>
      <c r="E117" s="147" t="str">
        <f>IF($C117="","",VLOOKUP($C117,'Tracking List'!$A$5:$AL$883,E$4,FALSE))</f>
        <v/>
      </c>
      <c r="F117" s="147" t="str">
        <f>IF($C117="","",VLOOKUP($C117,'Tracking List'!$A$5:$AL$883,F$4,FALSE))</f>
        <v/>
      </c>
      <c r="G117" s="147" t="str">
        <f>IF($C117="","",VLOOKUP($C117,'Tracking List'!$A$5:$AL$883,G$4,FALSE))</f>
        <v/>
      </c>
      <c r="H117" s="147" t="str">
        <f>IF($C117="","",VLOOKUP($C117,'Tracking List'!$A$5:$AL$883,H$4,FALSE))</f>
        <v/>
      </c>
      <c r="I117" s="147" t="str">
        <f>IF($C117="","",VLOOKUP($C117,'Tracking List'!$A$5:$AL$883,I$4,FALSE))</f>
        <v/>
      </c>
      <c r="J117" s="147" t="str">
        <f>IF($C117="","",VLOOKUP($C117,'Tracking List'!$A$5:$AL$883,J$4,FALSE))</f>
        <v/>
      </c>
      <c r="K117" s="147" t="str">
        <f>IF($C117="","",VLOOKUP($C117,'Tracking List'!$A$5:$AL$883,K$4,FALSE))</f>
        <v/>
      </c>
      <c r="L117" s="168" t="str">
        <f>IF($C117="","",VLOOKUP($C117,'Tracking List'!$A$5:$AL$883,L$4,FALSE))</f>
        <v/>
      </c>
      <c r="M117" s="147" t="str">
        <f>IF($C117="","",VLOOKUP($C117,'Tracking List'!$A$5:$AL$883,M$4,FALSE))</f>
        <v/>
      </c>
      <c r="N117" s="148" t="str">
        <f>IF($C117="","",IF(VLOOKUP($C117,'Tracking List'!$A$5:$AL$883,N$3,FALSE)&gt;0,"Y",VLOOKUP($C117,'Tracking List'!$A$5:$AL$883,N$4,FALSE)))</f>
        <v/>
      </c>
      <c r="O117" s="148" t="str">
        <f>IF($C117="","",IF(VLOOKUP($C117,'Tracking List'!$A$5:$AL$883,O$3,FALSE)&gt;0,"Y",VLOOKUP($C117,'Tracking List'!$A$5:$AL$883,O$4,FALSE)))</f>
        <v/>
      </c>
      <c r="P117" s="147" t="str">
        <f>IF($C117="","",IF(VLOOKUP($C117,'Tracking List'!$A$5:$AL$883,P$4,FALSE)&gt;0,"Y",""))</f>
        <v/>
      </c>
      <c r="Q117" s="149"/>
      <c r="R117" s="150" t="str">
        <f>IF($C117="","",VLOOKUP($C117,'Tracking List'!$A$5:$AL$883,R$4,FALSE))</f>
        <v/>
      </c>
    </row>
    <row r="118" spans="3:18">
      <c r="C118" s="146"/>
      <c r="D118" s="147" t="str">
        <f>IF($C118="","",VLOOKUP($C118,'Tracking List'!$A$5:$AL$883,D$4,FALSE))</f>
        <v/>
      </c>
      <c r="E118" s="147" t="str">
        <f>IF($C118="","",VLOOKUP($C118,'Tracking List'!$A$5:$AL$883,E$4,FALSE))</f>
        <v/>
      </c>
      <c r="F118" s="147" t="str">
        <f>IF($C118="","",VLOOKUP($C118,'Tracking List'!$A$5:$AL$883,F$4,FALSE))</f>
        <v/>
      </c>
      <c r="G118" s="147" t="str">
        <f>IF($C118="","",VLOOKUP($C118,'Tracking List'!$A$5:$AL$883,G$4,FALSE))</f>
        <v/>
      </c>
      <c r="H118" s="147" t="str">
        <f>IF($C118="","",VLOOKUP($C118,'Tracking List'!$A$5:$AL$883,H$4,FALSE))</f>
        <v/>
      </c>
      <c r="I118" s="147" t="str">
        <f>IF($C118="","",VLOOKUP($C118,'Tracking List'!$A$5:$AL$883,I$4,FALSE))</f>
        <v/>
      </c>
      <c r="J118" s="147" t="str">
        <f>IF($C118="","",VLOOKUP($C118,'Tracking List'!$A$5:$AL$883,J$4,FALSE))</f>
        <v/>
      </c>
      <c r="K118" s="147" t="str">
        <f>IF($C118="","",VLOOKUP($C118,'Tracking List'!$A$5:$AL$883,K$4,FALSE))</f>
        <v/>
      </c>
      <c r="L118" s="168" t="str">
        <f>IF($C118="","",VLOOKUP($C118,'Tracking List'!$A$5:$AL$883,L$4,FALSE))</f>
        <v/>
      </c>
      <c r="M118" s="147" t="str">
        <f>IF($C118="","",VLOOKUP($C118,'Tracking List'!$A$5:$AL$883,M$4,FALSE))</f>
        <v/>
      </c>
      <c r="N118" s="148" t="str">
        <f>IF($C118="","",IF(VLOOKUP($C118,'Tracking List'!$A$5:$AL$883,N$3,FALSE)&gt;0,"Y",VLOOKUP($C118,'Tracking List'!$A$5:$AL$883,N$4,FALSE)))</f>
        <v/>
      </c>
      <c r="O118" s="148" t="str">
        <f>IF($C118="","",IF(VLOOKUP($C118,'Tracking List'!$A$5:$AL$883,O$3,FALSE)&gt;0,"Y",VLOOKUP($C118,'Tracking List'!$A$5:$AL$883,O$4,FALSE)))</f>
        <v/>
      </c>
      <c r="P118" s="147" t="str">
        <f>IF($C118="","",IF(VLOOKUP($C118,'Tracking List'!$A$5:$AL$883,P$4,FALSE)&gt;0,"Y",""))</f>
        <v/>
      </c>
      <c r="Q118" s="149"/>
      <c r="R118" s="150" t="str">
        <f>IF($C118="","",VLOOKUP($C118,'Tracking List'!$A$5:$AL$883,R$4,FALSE))</f>
        <v/>
      </c>
    </row>
    <row r="119" spans="3:18">
      <c r="C119" s="146"/>
      <c r="D119" s="147" t="str">
        <f>IF($C119="","",VLOOKUP($C119,'Tracking List'!$A$5:$AL$883,D$4,FALSE))</f>
        <v/>
      </c>
      <c r="E119" s="147" t="str">
        <f>IF($C119="","",VLOOKUP($C119,'Tracking List'!$A$5:$AL$883,E$4,FALSE))</f>
        <v/>
      </c>
      <c r="F119" s="147" t="str">
        <f>IF($C119="","",VLOOKUP($C119,'Tracking List'!$A$5:$AL$883,F$4,FALSE))</f>
        <v/>
      </c>
      <c r="G119" s="147" t="str">
        <f>IF($C119="","",VLOOKUP($C119,'Tracking List'!$A$5:$AL$883,G$4,FALSE))</f>
        <v/>
      </c>
      <c r="H119" s="147" t="str">
        <f>IF($C119="","",VLOOKUP($C119,'Tracking List'!$A$5:$AL$883,H$4,FALSE))</f>
        <v/>
      </c>
      <c r="I119" s="147" t="str">
        <f>IF($C119="","",VLOOKUP($C119,'Tracking List'!$A$5:$AL$883,I$4,FALSE))</f>
        <v/>
      </c>
      <c r="J119" s="147" t="str">
        <f>IF($C119="","",VLOOKUP($C119,'Tracking List'!$A$5:$AL$883,J$4,FALSE))</f>
        <v/>
      </c>
      <c r="K119" s="147" t="str">
        <f>IF($C119="","",VLOOKUP($C119,'Tracking List'!$A$5:$AL$883,K$4,FALSE))</f>
        <v/>
      </c>
      <c r="L119" s="168" t="str">
        <f>IF($C119="","",VLOOKUP($C119,'Tracking List'!$A$5:$AL$883,L$4,FALSE))</f>
        <v/>
      </c>
      <c r="M119" s="147" t="str">
        <f>IF($C119="","",VLOOKUP($C119,'Tracking List'!$A$5:$AL$883,M$4,FALSE))</f>
        <v/>
      </c>
      <c r="N119" s="148" t="str">
        <f>IF($C119="","",IF(VLOOKUP($C119,'Tracking List'!$A$5:$AL$883,N$3,FALSE)&gt;0,"Y",VLOOKUP($C119,'Tracking List'!$A$5:$AL$883,N$4,FALSE)))</f>
        <v/>
      </c>
      <c r="O119" s="148" t="str">
        <f>IF($C119="","",IF(VLOOKUP($C119,'Tracking List'!$A$5:$AL$883,O$3,FALSE)&gt;0,"Y",VLOOKUP($C119,'Tracking List'!$A$5:$AL$883,O$4,FALSE)))</f>
        <v/>
      </c>
      <c r="P119" s="147" t="str">
        <f>IF($C119="","",IF(VLOOKUP($C119,'Tracking List'!$A$5:$AL$883,P$4,FALSE)&gt;0,"Y",""))</f>
        <v/>
      </c>
      <c r="Q119" s="149"/>
      <c r="R119" s="150" t="str">
        <f>IF($C119="","",VLOOKUP($C119,'Tracking List'!$A$5:$AL$883,R$4,FALSE))</f>
        <v/>
      </c>
    </row>
    <row r="120" spans="3:18">
      <c r="C120" s="146"/>
      <c r="D120" s="147" t="str">
        <f>IF($C120="","",VLOOKUP($C120,'Tracking List'!$A$5:$AL$883,D$4,FALSE))</f>
        <v/>
      </c>
      <c r="E120" s="147" t="str">
        <f>IF($C120="","",VLOOKUP($C120,'Tracking List'!$A$5:$AL$883,E$4,FALSE))</f>
        <v/>
      </c>
      <c r="F120" s="147" t="str">
        <f>IF($C120="","",VLOOKUP($C120,'Tracking List'!$A$5:$AL$883,F$4,FALSE))</f>
        <v/>
      </c>
      <c r="G120" s="147" t="str">
        <f>IF($C120="","",VLOOKUP($C120,'Tracking List'!$A$5:$AL$883,G$4,FALSE))</f>
        <v/>
      </c>
      <c r="H120" s="147" t="str">
        <f>IF($C120="","",VLOOKUP($C120,'Tracking List'!$A$5:$AL$883,H$4,FALSE))</f>
        <v/>
      </c>
      <c r="I120" s="147" t="str">
        <f>IF($C120="","",VLOOKUP($C120,'Tracking List'!$A$5:$AL$883,I$4,FALSE))</f>
        <v/>
      </c>
      <c r="J120" s="147" t="str">
        <f>IF($C120="","",VLOOKUP($C120,'Tracking List'!$A$5:$AL$883,J$4,FALSE))</f>
        <v/>
      </c>
      <c r="K120" s="147" t="str">
        <f>IF($C120="","",VLOOKUP($C120,'Tracking List'!$A$5:$AL$883,K$4,FALSE))</f>
        <v/>
      </c>
      <c r="L120" s="168" t="str">
        <f>IF($C120="","",VLOOKUP($C120,'Tracking List'!$A$5:$AL$883,L$4,FALSE))</f>
        <v/>
      </c>
      <c r="M120" s="147" t="str">
        <f>IF($C120="","",VLOOKUP($C120,'Tracking List'!$A$5:$AL$883,M$4,FALSE))</f>
        <v/>
      </c>
      <c r="N120" s="148" t="str">
        <f>IF($C120="","",IF(VLOOKUP($C120,'Tracking List'!$A$5:$AL$883,N$3,FALSE)&gt;0,"Y",VLOOKUP($C120,'Tracking List'!$A$5:$AL$883,N$4,FALSE)))</f>
        <v/>
      </c>
      <c r="O120" s="148" t="str">
        <f>IF($C120="","",IF(VLOOKUP($C120,'Tracking List'!$A$5:$AL$883,O$3,FALSE)&gt;0,"Y",VLOOKUP($C120,'Tracking List'!$A$5:$AL$883,O$4,FALSE)))</f>
        <v/>
      </c>
      <c r="P120" s="147" t="str">
        <f>IF($C120="","",IF(VLOOKUP($C120,'Tracking List'!$A$5:$AL$883,P$4,FALSE)&gt;0,"Y",""))</f>
        <v/>
      </c>
      <c r="Q120" s="149"/>
      <c r="R120" s="150" t="str">
        <f>IF($C120="","",VLOOKUP($C120,'Tracking List'!$A$5:$AL$883,R$4,FALSE))</f>
        <v/>
      </c>
    </row>
    <row r="121" spans="3:18">
      <c r="C121" s="146"/>
      <c r="D121" s="147" t="str">
        <f>IF($C121="","",VLOOKUP($C121,'Tracking List'!$A$5:$AL$883,D$4,FALSE))</f>
        <v/>
      </c>
      <c r="E121" s="147" t="str">
        <f>IF($C121="","",VLOOKUP($C121,'Tracking List'!$A$5:$AL$883,E$4,FALSE))</f>
        <v/>
      </c>
      <c r="F121" s="147" t="str">
        <f>IF($C121="","",VLOOKUP($C121,'Tracking List'!$A$5:$AL$883,F$4,FALSE))</f>
        <v/>
      </c>
      <c r="G121" s="147" t="str">
        <f>IF($C121="","",VLOOKUP($C121,'Tracking List'!$A$5:$AL$883,G$4,FALSE))</f>
        <v/>
      </c>
      <c r="H121" s="147" t="str">
        <f>IF($C121="","",VLOOKUP($C121,'Tracking List'!$A$5:$AL$883,H$4,FALSE))</f>
        <v/>
      </c>
      <c r="I121" s="147" t="str">
        <f>IF($C121="","",VLOOKUP($C121,'Tracking List'!$A$5:$AL$883,I$4,FALSE))</f>
        <v/>
      </c>
      <c r="J121" s="147" t="str">
        <f>IF($C121="","",VLOOKUP($C121,'Tracking List'!$A$5:$AL$883,J$4,FALSE))</f>
        <v/>
      </c>
      <c r="K121" s="147" t="str">
        <f>IF($C121="","",VLOOKUP($C121,'Tracking List'!$A$5:$AL$883,K$4,FALSE))</f>
        <v/>
      </c>
      <c r="L121" s="168" t="str">
        <f>IF($C121="","",VLOOKUP($C121,'Tracking List'!$A$5:$AL$883,L$4,FALSE))</f>
        <v/>
      </c>
      <c r="M121" s="147" t="str">
        <f>IF($C121="","",VLOOKUP($C121,'Tracking List'!$A$5:$AL$883,M$4,FALSE))</f>
        <v/>
      </c>
      <c r="N121" s="148" t="str">
        <f>IF($C121="","",IF(VLOOKUP($C121,'Tracking List'!$A$5:$AL$883,N$3,FALSE)&gt;0,"Y",VLOOKUP($C121,'Tracking List'!$A$5:$AL$883,N$4,FALSE)))</f>
        <v/>
      </c>
      <c r="O121" s="148" t="str">
        <f>IF($C121="","",IF(VLOOKUP($C121,'Tracking List'!$A$5:$AL$883,O$3,FALSE)&gt;0,"Y",VLOOKUP($C121,'Tracking List'!$A$5:$AL$883,O$4,FALSE)))</f>
        <v/>
      </c>
      <c r="P121" s="147" t="str">
        <f>IF($C121="","",IF(VLOOKUP($C121,'Tracking List'!$A$5:$AL$883,P$4,FALSE)&gt;0,"Y",""))</f>
        <v/>
      </c>
      <c r="Q121" s="149"/>
      <c r="R121" s="150" t="str">
        <f>IF($C121="","",VLOOKUP($C121,'Tracking List'!$A$5:$AL$883,R$4,FALSE))</f>
        <v/>
      </c>
    </row>
    <row r="122" spans="3:18">
      <c r="C122" s="146"/>
      <c r="D122" s="147" t="str">
        <f>IF($C122="","",VLOOKUP($C122,'Tracking List'!$A$5:$AL$883,D$4,FALSE))</f>
        <v/>
      </c>
      <c r="E122" s="147" t="str">
        <f>IF($C122="","",VLOOKUP($C122,'Tracking List'!$A$5:$AL$883,E$4,FALSE))</f>
        <v/>
      </c>
      <c r="F122" s="147" t="str">
        <f>IF($C122="","",VLOOKUP($C122,'Tracking List'!$A$5:$AL$883,F$4,FALSE))</f>
        <v/>
      </c>
      <c r="G122" s="147" t="str">
        <f>IF($C122="","",VLOOKUP($C122,'Tracking List'!$A$5:$AL$883,G$4,FALSE))</f>
        <v/>
      </c>
      <c r="H122" s="147" t="str">
        <f>IF($C122="","",VLOOKUP($C122,'Tracking List'!$A$5:$AL$883,H$4,FALSE))</f>
        <v/>
      </c>
      <c r="I122" s="147" t="str">
        <f>IF($C122="","",VLOOKUP($C122,'Tracking List'!$A$5:$AL$883,I$4,FALSE))</f>
        <v/>
      </c>
      <c r="J122" s="147" t="str">
        <f>IF($C122="","",VLOOKUP($C122,'Tracking List'!$A$5:$AL$883,J$4,FALSE))</f>
        <v/>
      </c>
      <c r="K122" s="147" t="str">
        <f>IF($C122="","",VLOOKUP($C122,'Tracking List'!$A$5:$AL$883,K$4,FALSE))</f>
        <v/>
      </c>
      <c r="L122" s="168" t="str">
        <f>IF($C122="","",VLOOKUP($C122,'Tracking List'!$A$5:$AL$883,L$4,FALSE))</f>
        <v/>
      </c>
      <c r="M122" s="147" t="str">
        <f>IF($C122="","",VLOOKUP($C122,'Tracking List'!$A$5:$AL$883,M$4,FALSE))</f>
        <v/>
      </c>
      <c r="N122" s="148" t="str">
        <f>IF($C122="","",IF(VLOOKUP($C122,'Tracking List'!$A$5:$AL$883,N$3,FALSE)&gt;0,"Y",VLOOKUP($C122,'Tracking List'!$A$5:$AL$883,N$4,FALSE)))</f>
        <v/>
      </c>
      <c r="O122" s="148" t="str">
        <f>IF($C122="","",IF(VLOOKUP($C122,'Tracking List'!$A$5:$AL$883,O$3,FALSE)&gt;0,"Y",VLOOKUP($C122,'Tracking List'!$A$5:$AL$883,O$4,FALSE)))</f>
        <v/>
      </c>
      <c r="P122" s="147" t="str">
        <f>IF($C122="","",IF(VLOOKUP($C122,'Tracking List'!$A$5:$AL$883,P$4,FALSE)&gt;0,"Y",""))</f>
        <v/>
      </c>
      <c r="Q122" s="149"/>
      <c r="R122" s="150" t="str">
        <f>IF($C122="","",VLOOKUP($C122,'Tracking List'!$A$5:$AL$883,R$4,FALSE))</f>
        <v/>
      </c>
    </row>
    <row r="123" spans="3:18">
      <c r="C123" s="146"/>
      <c r="D123" s="147" t="str">
        <f>IF($C123="","",VLOOKUP($C123,'Tracking List'!$A$5:$AL$883,D$4,FALSE))</f>
        <v/>
      </c>
      <c r="E123" s="147" t="str">
        <f>IF($C123="","",VLOOKUP($C123,'Tracking List'!$A$5:$AL$883,E$4,FALSE))</f>
        <v/>
      </c>
      <c r="F123" s="147" t="str">
        <f>IF($C123="","",VLOOKUP($C123,'Tracking List'!$A$5:$AL$883,F$4,FALSE))</f>
        <v/>
      </c>
      <c r="G123" s="147" t="str">
        <f>IF($C123="","",VLOOKUP($C123,'Tracking List'!$A$5:$AL$883,G$4,FALSE))</f>
        <v/>
      </c>
      <c r="H123" s="147" t="str">
        <f>IF($C123="","",VLOOKUP($C123,'Tracking List'!$A$5:$AL$883,H$4,FALSE))</f>
        <v/>
      </c>
      <c r="I123" s="147" t="str">
        <f>IF($C123="","",VLOOKUP($C123,'Tracking List'!$A$5:$AL$883,I$4,FALSE))</f>
        <v/>
      </c>
      <c r="J123" s="147" t="str">
        <f>IF($C123="","",VLOOKUP($C123,'Tracking List'!$A$5:$AL$883,J$4,FALSE))</f>
        <v/>
      </c>
      <c r="K123" s="147" t="str">
        <f>IF($C123="","",VLOOKUP($C123,'Tracking List'!$A$5:$AL$883,K$4,FALSE))</f>
        <v/>
      </c>
      <c r="L123" s="168" t="str">
        <f>IF($C123="","",VLOOKUP($C123,'Tracking List'!$A$5:$AL$883,L$4,FALSE))</f>
        <v/>
      </c>
      <c r="M123" s="147" t="str">
        <f>IF($C123="","",VLOOKUP($C123,'Tracking List'!$A$5:$AL$883,M$4,FALSE))</f>
        <v/>
      </c>
      <c r="N123" s="148" t="str">
        <f>IF($C123="","",IF(VLOOKUP($C123,'Tracking List'!$A$5:$AL$883,N$3,FALSE)&gt;0,"Y",VLOOKUP($C123,'Tracking List'!$A$5:$AL$883,N$4,FALSE)))</f>
        <v/>
      </c>
      <c r="O123" s="148" t="str">
        <f>IF($C123="","",IF(VLOOKUP($C123,'Tracking List'!$A$5:$AL$883,O$3,FALSE)&gt;0,"Y",VLOOKUP($C123,'Tracking List'!$A$5:$AL$883,O$4,FALSE)))</f>
        <v/>
      </c>
      <c r="P123" s="147" t="str">
        <f>IF($C123="","",IF(VLOOKUP($C123,'Tracking List'!$A$5:$AL$883,P$4,FALSE)&gt;0,"Y",""))</f>
        <v/>
      </c>
      <c r="Q123" s="149"/>
      <c r="R123" s="150" t="str">
        <f>IF($C123="","",VLOOKUP($C123,'Tracking List'!$A$5:$AL$883,R$4,FALSE))</f>
        <v/>
      </c>
    </row>
    <row r="124" spans="3:18">
      <c r="C124" s="146"/>
      <c r="D124" s="147" t="str">
        <f>IF($C124="","",VLOOKUP($C124,'Tracking List'!$A$5:$AL$883,D$4,FALSE))</f>
        <v/>
      </c>
      <c r="E124" s="147" t="str">
        <f>IF($C124="","",VLOOKUP($C124,'Tracking List'!$A$5:$AL$883,E$4,FALSE))</f>
        <v/>
      </c>
      <c r="F124" s="147" t="str">
        <f>IF($C124="","",VLOOKUP($C124,'Tracking List'!$A$5:$AL$883,F$4,FALSE))</f>
        <v/>
      </c>
      <c r="G124" s="147" t="str">
        <f>IF($C124="","",VLOOKUP($C124,'Tracking List'!$A$5:$AL$883,G$4,FALSE))</f>
        <v/>
      </c>
      <c r="H124" s="147" t="str">
        <f>IF($C124="","",VLOOKUP($C124,'Tracking List'!$A$5:$AL$883,H$4,FALSE))</f>
        <v/>
      </c>
      <c r="I124" s="147" t="str">
        <f>IF($C124="","",VLOOKUP($C124,'Tracking List'!$A$5:$AL$883,I$4,FALSE))</f>
        <v/>
      </c>
      <c r="J124" s="147" t="str">
        <f>IF($C124="","",VLOOKUP($C124,'Tracking List'!$A$5:$AL$883,J$4,FALSE))</f>
        <v/>
      </c>
      <c r="K124" s="147" t="str">
        <f>IF($C124="","",VLOOKUP($C124,'Tracking List'!$A$5:$AL$883,K$4,FALSE))</f>
        <v/>
      </c>
      <c r="L124" s="168" t="str">
        <f>IF($C124="","",VLOOKUP($C124,'Tracking List'!$A$5:$AL$883,L$4,FALSE))</f>
        <v/>
      </c>
      <c r="M124" s="147" t="str">
        <f>IF($C124="","",VLOOKUP($C124,'Tracking List'!$A$5:$AL$883,M$4,FALSE))</f>
        <v/>
      </c>
      <c r="N124" s="148" t="str">
        <f>IF($C124="","",IF(VLOOKUP($C124,'Tracking List'!$A$5:$AL$883,N$3,FALSE)&gt;0,"Y",VLOOKUP($C124,'Tracking List'!$A$5:$AL$883,N$4,FALSE)))</f>
        <v/>
      </c>
      <c r="O124" s="148" t="str">
        <f>IF($C124="","",IF(VLOOKUP($C124,'Tracking List'!$A$5:$AL$883,O$3,FALSE)&gt;0,"Y",VLOOKUP($C124,'Tracking List'!$A$5:$AL$883,O$4,FALSE)))</f>
        <v/>
      </c>
      <c r="P124" s="147" t="str">
        <f>IF($C124="","",IF(VLOOKUP($C124,'Tracking List'!$A$5:$AL$883,P$4,FALSE)&gt;0,"Y",""))</f>
        <v/>
      </c>
      <c r="Q124" s="149"/>
      <c r="R124" s="150" t="str">
        <f>IF($C124="","",VLOOKUP($C124,'Tracking List'!$A$5:$AL$883,R$4,FALSE))</f>
        <v/>
      </c>
    </row>
    <row r="125" spans="3:18">
      <c r="C125" s="146"/>
      <c r="D125" s="147" t="str">
        <f>IF($C125="","",VLOOKUP($C125,'Tracking List'!$A$5:$AL$883,D$4,FALSE))</f>
        <v/>
      </c>
      <c r="E125" s="147" t="str">
        <f>IF($C125="","",VLOOKUP($C125,'Tracking List'!$A$5:$AL$883,E$4,FALSE))</f>
        <v/>
      </c>
      <c r="F125" s="147" t="str">
        <f>IF($C125="","",VLOOKUP($C125,'Tracking List'!$A$5:$AL$883,F$4,FALSE))</f>
        <v/>
      </c>
      <c r="G125" s="147" t="str">
        <f>IF($C125="","",VLOOKUP($C125,'Tracking List'!$A$5:$AL$883,G$4,FALSE))</f>
        <v/>
      </c>
      <c r="H125" s="147" t="str">
        <f>IF($C125="","",VLOOKUP($C125,'Tracking List'!$A$5:$AL$883,H$4,FALSE))</f>
        <v/>
      </c>
      <c r="I125" s="147" t="str">
        <f>IF($C125="","",VLOOKUP($C125,'Tracking List'!$A$5:$AL$883,I$4,FALSE))</f>
        <v/>
      </c>
      <c r="J125" s="147" t="str">
        <f>IF($C125="","",VLOOKUP($C125,'Tracking List'!$A$5:$AL$883,J$4,FALSE))</f>
        <v/>
      </c>
      <c r="K125" s="147" t="str">
        <f>IF($C125="","",VLOOKUP($C125,'Tracking List'!$A$5:$AL$883,K$4,FALSE))</f>
        <v/>
      </c>
      <c r="L125" s="168" t="str">
        <f>IF($C125="","",VLOOKUP($C125,'Tracking List'!$A$5:$AL$883,L$4,FALSE))</f>
        <v/>
      </c>
      <c r="M125" s="147" t="str">
        <f>IF($C125="","",VLOOKUP($C125,'Tracking List'!$A$5:$AL$883,M$4,FALSE))</f>
        <v/>
      </c>
      <c r="N125" s="148" t="str">
        <f>IF($C125="","",IF(VLOOKUP($C125,'Tracking List'!$A$5:$AL$883,N$3,FALSE)&gt;0,"Y",VLOOKUP($C125,'Tracking List'!$A$5:$AL$883,N$4,FALSE)))</f>
        <v/>
      </c>
      <c r="O125" s="148" t="str">
        <f>IF($C125="","",IF(VLOOKUP($C125,'Tracking List'!$A$5:$AL$883,O$3,FALSE)&gt;0,"Y",VLOOKUP($C125,'Tracking List'!$A$5:$AL$883,O$4,FALSE)))</f>
        <v/>
      </c>
      <c r="P125" s="147" t="str">
        <f>IF($C125="","",IF(VLOOKUP($C125,'Tracking List'!$A$5:$AL$883,P$4,FALSE)&gt;0,"Y",""))</f>
        <v/>
      </c>
      <c r="Q125" s="149"/>
      <c r="R125" s="150" t="str">
        <f>IF($C125="","",VLOOKUP($C125,'Tracking List'!$A$5:$AL$883,R$4,FALSE))</f>
        <v/>
      </c>
    </row>
    <row r="126" spans="3:18">
      <c r="C126" s="146"/>
      <c r="D126" s="147" t="str">
        <f>IF($C126="","",VLOOKUP($C126,'Tracking List'!$A$5:$AL$883,D$4,FALSE))</f>
        <v/>
      </c>
      <c r="E126" s="147" t="str">
        <f>IF($C126="","",VLOOKUP($C126,'Tracking List'!$A$5:$AL$883,E$4,FALSE))</f>
        <v/>
      </c>
      <c r="F126" s="147" t="str">
        <f>IF($C126="","",VLOOKUP($C126,'Tracking List'!$A$5:$AL$883,F$4,FALSE))</f>
        <v/>
      </c>
      <c r="G126" s="147" t="str">
        <f>IF($C126="","",VLOOKUP($C126,'Tracking List'!$A$5:$AL$883,G$4,FALSE))</f>
        <v/>
      </c>
      <c r="H126" s="147" t="str">
        <f>IF($C126="","",VLOOKUP($C126,'Tracking List'!$A$5:$AL$883,H$4,FALSE))</f>
        <v/>
      </c>
      <c r="I126" s="147" t="str">
        <f>IF($C126="","",VLOOKUP($C126,'Tracking List'!$A$5:$AL$883,I$4,FALSE))</f>
        <v/>
      </c>
      <c r="J126" s="147" t="str">
        <f>IF($C126="","",VLOOKUP($C126,'Tracking List'!$A$5:$AL$883,J$4,FALSE))</f>
        <v/>
      </c>
      <c r="K126" s="147" t="str">
        <f>IF($C126="","",VLOOKUP($C126,'Tracking List'!$A$5:$AL$883,K$4,FALSE))</f>
        <v/>
      </c>
      <c r="L126" s="168" t="str">
        <f>IF($C126="","",VLOOKUP($C126,'Tracking List'!$A$5:$AL$883,L$4,FALSE))</f>
        <v/>
      </c>
      <c r="M126" s="147" t="str">
        <f>IF($C126="","",VLOOKUP($C126,'Tracking List'!$A$5:$AL$883,M$4,FALSE))</f>
        <v/>
      </c>
      <c r="N126" s="148" t="str">
        <f>IF($C126="","",IF(VLOOKUP($C126,'Tracking List'!$A$5:$AL$883,N$3,FALSE)&gt;0,"Y",VLOOKUP($C126,'Tracking List'!$A$5:$AL$883,N$4,FALSE)))</f>
        <v/>
      </c>
      <c r="O126" s="148" t="str">
        <f>IF($C126="","",IF(VLOOKUP($C126,'Tracking List'!$A$5:$AL$883,O$3,FALSE)&gt;0,"Y",VLOOKUP($C126,'Tracking List'!$A$5:$AL$883,O$4,FALSE)))</f>
        <v/>
      </c>
      <c r="P126" s="147" t="str">
        <f>IF($C126="","",IF(VLOOKUP($C126,'Tracking List'!$A$5:$AL$883,P$4,FALSE)&gt;0,"Y",""))</f>
        <v/>
      </c>
      <c r="Q126" s="149"/>
      <c r="R126" s="150" t="str">
        <f>IF($C126="","",VLOOKUP($C126,'Tracking List'!$A$5:$AL$883,R$4,FALSE))</f>
        <v/>
      </c>
    </row>
    <row r="127" spans="3:18">
      <c r="C127" s="146"/>
      <c r="D127" s="147" t="str">
        <f>IF($C127="","",VLOOKUP($C127,'Tracking List'!$A$5:$AL$883,D$4,FALSE))</f>
        <v/>
      </c>
      <c r="E127" s="147" t="str">
        <f>IF($C127="","",VLOOKUP($C127,'Tracking List'!$A$5:$AL$883,E$4,FALSE))</f>
        <v/>
      </c>
      <c r="F127" s="147" t="str">
        <f>IF($C127="","",VLOOKUP($C127,'Tracking List'!$A$5:$AL$883,F$4,FALSE))</f>
        <v/>
      </c>
      <c r="G127" s="147" t="str">
        <f>IF($C127="","",VLOOKUP($C127,'Tracking List'!$A$5:$AL$883,G$4,FALSE))</f>
        <v/>
      </c>
      <c r="H127" s="147" t="str">
        <f>IF($C127="","",VLOOKUP($C127,'Tracking List'!$A$5:$AL$883,H$4,FALSE))</f>
        <v/>
      </c>
      <c r="I127" s="147" t="str">
        <f>IF($C127="","",VLOOKUP($C127,'Tracking List'!$A$5:$AL$883,I$4,FALSE))</f>
        <v/>
      </c>
      <c r="J127" s="147" t="str">
        <f>IF($C127="","",VLOOKUP($C127,'Tracking List'!$A$5:$AL$883,J$4,FALSE))</f>
        <v/>
      </c>
      <c r="K127" s="147" t="str">
        <f>IF($C127="","",VLOOKUP($C127,'Tracking List'!$A$5:$AL$883,K$4,FALSE))</f>
        <v/>
      </c>
      <c r="L127" s="168" t="str">
        <f>IF($C127="","",VLOOKUP($C127,'Tracking List'!$A$5:$AL$883,L$4,FALSE))</f>
        <v/>
      </c>
      <c r="M127" s="147" t="str">
        <f>IF($C127="","",VLOOKUP($C127,'Tracking List'!$A$5:$AL$883,M$4,FALSE))</f>
        <v/>
      </c>
      <c r="N127" s="148" t="str">
        <f>IF($C127="","",IF(VLOOKUP($C127,'Tracking List'!$A$5:$AL$883,N$3,FALSE)&gt;0,"Y",VLOOKUP($C127,'Tracking List'!$A$5:$AL$883,N$4,FALSE)))</f>
        <v/>
      </c>
      <c r="O127" s="148" t="str">
        <f>IF($C127="","",IF(VLOOKUP($C127,'Tracking List'!$A$5:$AL$883,O$3,FALSE)&gt;0,"Y",VLOOKUP($C127,'Tracking List'!$A$5:$AL$883,O$4,FALSE)))</f>
        <v/>
      </c>
      <c r="P127" s="147" t="str">
        <f>IF($C127="","",IF(VLOOKUP($C127,'Tracking List'!$A$5:$AL$883,P$4,FALSE)&gt;0,"Y",""))</f>
        <v/>
      </c>
      <c r="Q127" s="149"/>
      <c r="R127" s="150" t="str">
        <f>IF($C127="","",VLOOKUP($C127,'Tracking List'!$A$5:$AL$883,R$4,FALSE))</f>
        <v/>
      </c>
    </row>
    <row r="128" spans="3:18">
      <c r="C128" s="146"/>
      <c r="D128" s="147" t="str">
        <f>IF($C128="","",VLOOKUP($C128,'Tracking List'!$A$5:$AL$883,D$4,FALSE))</f>
        <v/>
      </c>
      <c r="E128" s="147" t="str">
        <f>IF($C128="","",VLOOKUP($C128,'Tracking List'!$A$5:$AL$883,E$4,FALSE))</f>
        <v/>
      </c>
      <c r="F128" s="147" t="str">
        <f>IF($C128="","",VLOOKUP($C128,'Tracking List'!$A$5:$AL$883,F$4,FALSE))</f>
        <v/>
      </c>
      <c r="G128" s="147" t="str">
        <f>IF($C128="","",VLOOKUP($C128,'Tracking List'!$A$5:$AL$883,G$4,FALSE))</f>
        <v/>
      </c>
      <c r="H128" s="147" t="str">
        <f>IF($C128="","",VLOOKUP($C128,'Tracking List'!$A$5:$AL$883,H$4,FALSE))</f>
        <v/>
      </c>
      <c r="I128" s="147" t="str">
        <f>IF($C128="","",VLOOKUP($C128,'Tracking List'!$A$5:$AL$883,I$4,FALSE))</f>
        <v/>
      </c>
      <c r="J128" s="147" t="str">
        <f>IF($C128="","",VLOOKUP($C128,'Tracking List'!$A$5:$AL$883,J$4,FALSE))</f>
        <v/>
      </c>
      <c r="K128" s="147" t="str">
        <f>IF($C128="","",VLOOKUP($C128,'Tracking List'!$A$5:$AL$883,K$4,FALSE))</f>
        <v/>
      </c>
      <c r="L128" s="168" t="str">
        <f>IF($C128="","",VLOOKUP($C128,'Tracking List'!$A$5:$AL$883,L$4,FALSE))</f>
        <v/>
      </c>
      <c r="M128" s="147" t="str">
        <f>IF($C128="","",VLOOKUP($C128,'Tracking List'!$A$5:$AL$883,M$4,FALSE))</f>
        <v/>
      </c>
      <c r="N128" s="148" t="str">
        <f>IF($C128="","",IF(VLOOKUP($C128,'Tracking List'!$A$5:$AL$883,N$3,FALSE)&gt;0,"Y",VLOOKUP($C128,'Tracking List'!$A$5:$AL$883,N$4,FALSE)))</f>
        <v/>
      </c>
      <c r="O128" s="148" t="str">
        <f>IF($C128="","",IF(VLOOKUP($C128,'Tracking List'!$A$5:$AL$883,O$3,FALSE)&gt;0,"Y",VLOOKUP($C128,'Tracking List'!$A$5:$AL$883,O$4,FALSE)))</f>
        <v/>
      </c>
      <c r="P128" s="147" t="str">
        <f>IF($C128="","",IF(VLOOKUP($C128,'Tracking List'!$A$5:$AL$883,P$4,FALSE)&gt;0,"Y",""))</f>
        <v/>
      </c>
      <c r="Q128" s="149"/>
      <c r="R128" s="150" t="str">
        <f>IF($C128="","",VLOOKUP($C128,'Tracking List'!$A$5:$AL$883,R$4,FALSE))</f>
        <v/>
      </c>
    </row>
    <row r="129" spans="3:18">
      <c r="C129" s="146"/>
      <c r="D129" s="147" t="str">
        <f>IF($C129="","",VLOOKUP($C129,'Tracking List'!$A$5:$AL$883,D$4,FALSE))</f>
        <v/>
      </c>
      <c r="E129" s="147" t="str">
        <f>IF($C129="","",VLOOKUP($C129,'Tracking List'!$A$5:$AL$883,E$4,FALSE))</f>
        <v/>
      </c>
      <c r="F129" s="147" t="str">
        <f>IF($C129="","",VLOOKUP($C129,'Tracking List'!$A$5:$AL$883,F$4,FALSE))</f>
        <v/>
      </c>
      <c r="G129" s="147" t="str">
        <f>IF($C129="","",VLOOKUP($C129,'Tracking List'!$A$5:$AL$883,G$4,FALSE))</f>
        <v/>
      </c>
      <c r="H129" s="147" t="str">
        <f>IF($C129="","",VLOOKUP($C129,'Tracking List'!$A$5:$AL$883,H$4,FALSE))</f>
        <v/>
      </c>
      <c r="I129" s="147" t="str">
        <f>IF($C129="","",VLOOKUP($C129,'Tracking List'!$A$5:$AL$883,I$4,FALSE))</f>
        <v/>
      </c>
      <c r="J129" s="147" t="str">
        <f>IF($C129="","",VLOOKUP($C129,'Tracking List'!$A$5:$AL$883,J$4,FALSE))</f>
        <v/>
      </c>
      <c r="K129" s="147" t="str">
        <f>IF($C129="","",VLOOKUP($C129,'Tracking List'!$A$5:$AL$883,K$4,FALSE))</f>
        <v/>
      </c>
      <c r="L129" s="168" t="str">
        <f>IF($C129="","",VLOOKUP($C129,'Tracking List'!$A$5:$AL$883,L$4,FALSE))</f>
        <v/>
      </c>
      <c r="M129" s="147" t="str">
        <f>IF($C129="","",VLOOKUP($C129,'Tracking List'!$A$5:$AL$883,M$4,FALSE))</f>
        <v/>
      </c>
      <c r="N129" s="148" t="str">
        <f>IF($C129="","",IF(VLOOKUP($C129,'Tracking List'!$A$5:$AL$883,N$3,FALSE)&gt;0,"Y",VLOOKUP($C129,'Tracking List'!$A$5:$AL$883,N$4,FALSE)))</f>
        <v/>
      </c>
      <c r="O129" s="148" t="str">
        <f>IF($C129="","",IF(VLOOKUP($C129,'Tracking List'!$A$5:$AL$883,O$3,FALSE)&gt;0,"Y",VLOOKUP($C129,'Tracking List'!$A$5:$AL$883,O$4,FALSE)))</f>
        <v/>
      </c>
      <c r="P129" s="147" t="str">
        <f>IF($C129="","",IF(VLOOKUP($C129,'Tracking List'!$A$5:$AL$883,P$4,FALSE)&gt;0,"Y",""))</f>
        <v/>
      </c>
      <c r="Q129" s="149"/>
      <c r="R129" s="150" t="str">
        <f>IF($C129="","",VLOOKUP($C129,'Tracking List'!$A$5:$AL$883,R$4,FALSE))</f>
        <v/>
      </c>
    </row>
    <row r="130" spans="3:18">
      <c r="C130" s="146"/>
      <c r="D130" s="147" t="str">
        <f>IF($C130="","",VLOOKUP($C130,'Tracking List'!$A$5:$AL$883,D$4,FALSE))</f>
        <v/>
      </c>
      <c r="E130" s="147" t="str">
        <f>IF($C130="","",VLOOKUP($C130,'Tracking List'!$A$5:$AL$883,E$4,FALSE))</f>
        <v/>
      </c>
      <c r="F130" s="147" t="str">
        <f>IF($C130="","",VLOOKUP($C130,'Tracking List'!$A$5:$AL$883,F$4,FALSE))</f>
        <v/>
      </c>
      <c r="G130" s="147" t="str">
        <f>IF($C130="","",VLOOKUP($C130,'Tracking List'!$A$5:$AL$883,G$4,FALSE))</f>
        <v/>
      </c>
      <c r="H130" s="147" t="str">
        <f>IF($C130="","",VLOOKUP($C130,'Tracking List'!$A$5:$AL$883,H$4,FALSE))</f>
        <v/>
      </c>
      <c r="I130" s="147" t="str">
        <f>IF($C130="","",VLOOKUP($C130,'Tracking List'!$A$5:$AL$883,I$4,FALSE))</f>
        <v/>
      </c>
      <c r="J130" s="147" t="str">
        <f>IF($C130="","",VLOOKUP($C130,'Tracking List'!$A$5:$AL$883,J$4,FALSE))</f>
        <v/>
      </c>
      <c r="K130" s="147" t="str">
        <f>IF($C130="","",VLOOKUP($C130,'Tracking List'!$A$5:$AL$883,K$4,FALSE))</f>
        <v/>
      </c>
      <c r="L130" s="168" t="str">
        <f>IF($C130="","",VLOOKUP($C130,'Tracking List'!$A$5:$AL$883,L$4,FALSE))</f>
        <v/>
      </c>
      <c r="M130" s="147" t="str">
        <f>IF($C130="","",VLOOKUP($C130,'Tracking List'!$A$5:$AL$883,M$4,FALSE))</f>
        <v/>
      </c>
      <c r="N130" s="148" t="str">
        <f>IF($C130="","",IF(VLOOKUP($C130,'Tracking List'!$A$5:$AL$883,N$3,FALSE)&gt;0,"Y",VLOOKUP($C130,'Tracking List'!$A$5:$AL$883,N$4,FALSE)))</f>
        <v/>
      </c>
      <c r="O130" s="148" t="str">
        <f>IF($C130="","",IF(VLOOKUP($C130,'Tracking List'!$A$5:$AL$883,O$3,FALSE)&gt;0,"Y",VLOOKUP($C130,'Tracking List'!$A$5:$AL$883,O$4,FALSE)))</f>
        <v/>
      </c>
      <c r="P130" s="147" t="str">
        <f>IF($C130="","",IF(VLOOKUP($C130,'Tracking List'!$A$5:$AL$883,P$4,FALSE)&gt;0,"Y",""))</f>
        <v/>
      </c>
      <c r="Q130" s="149"/>
      <c r="R130" s="150" t="str">
        <f>IF($C130="","",VLOOKUP($C130,'Tracking List'!$A$5:$AL$883,R$4,FALSE))</f>
        <v/>
      </c>
    </row>
    <row r="131" spans="3:18">
      <c r="C131" s="146"/>
      <c r="D131" s="147" t="str">
        <f>IF($C131="","",VLOOKUP($C131,'Tracking List'!$A$5:$AL$883,D$4,FALSE))</f>
        <v/>
      </c>
      <c r="E131" s="147" t="str">
        <f>IF($C131="","",VLOOKUP($C131,'Tracking List'!$A$5:$AL$883,E$4,FALSE))</f>
        <v/>
      </c>
      <c r="F131" s="147" t="str">
        <f>IF($C131="","",VLOOKUP($C131,'Tracking List'!$A$5:$AL$883,F$4,FALSE))</f>
        <v/>
      </c>
      <c r="G131" s="147" t="str">
        <f>IF($C131="","",VLOOKUP($C131,'Tracking List'!$A$5:$AL$883,G$4,FALSE))</f>
        <v/>
      </c>
      <c r="H131" s="147" t="str">
        <f>IF($C131="","",VLOOKUP($C131,'Tracking List'!$A$5:$AL$883,H$4,FALSE))</f>
        <v/>
      </c>
      <c r="I131" s="147" t="str">
        <f>IF($C131="","",VLOOKUP($C131,'Tracking List'!$A$5:$AL$883,I$4,FALSE))</f>
        <v/>
      </c>
      <c r="J131" s="147" t="str">
        <f>IF($C131="","",VLOOKUP($C131,'Tracking List'!$A$5:$AL$883,J$4,FALSE))</f>
        <v/>
      </c>
      <c r="K131" s="147" t="str">
        <f>IF($C131="","",VLOOKUP($C131,'Tracking List'!$A$5:$AL$883,K$4,FALSE))</f>
        <v/>
      </c>
      <c r="L131" s="168" t="str">
        <f>IF($C131="","",VLOOKUP($C131,'Tracking List'!$A$5:$AL$883,L$4,FALSE))</f>
        <v/>
      </c>
      <c r="M131" s="147" t="str">
        <f>IF($C131="","",VLOOKUP($C131,'Tracking List'!$A$5:$AL$883,M$4,FALSE))</f>
        <v/>
      </c>
      <c r="N131" s="148" t="str">
        <f>IF($C131="","",IF(VLOOKUP($C131,'Tracking List'!$A$5:$AL$883,N$3,FALSE)&gt;0,"Y",VLOOKUP($C131,'Tracking List'!$A$5:$AL$883,N$4,FALSE)))</f>
        <v/>
      </c>
      <c r="O131" s="148" t="str">
        <f>IF($C131="","",IF(VLOOKUP($C131,'Tracking List'!$A$5:$AL$883,O$3,FALSE)&gt;0,"Y",VLOOKUP($C131,'Tracking List'!$A$5:$AL$883,O$4,FALSE)))</f>
        <v/>
      </c>
      <c r="P131" s="147" t="str">
        <f>IF($C131="","",IF(VLOOKUP($C131,'Tracking List'!$A$5:$AL$883,P$4,FALSE)&gt;0,"Y",""))</f>
        <v/>
      </c>
      <c r="Q131" s="149"/>
      <c r="R131" s="150" t="str">
        <f>IF($C131="","",VLOOKUP($C131,'Tracking List'!$A$5:$AL$883,R$4,FALSE))</f>
        <v/>
      </c>
    </row>
    <row r="132" spans="3:18">
      <c r="C132" s="146"/>
      <c r="D132" s="147" t="str">
        <f>IF($C132="","",VLOOKUP($C132,'Tracking List'!$A$5:$AL$883,D$4,FALSE))</f>
        <v/>
      </c>
      <c r="E132" s="147" t="str">
        <f>IF($C132="","",VLOOKUP($C132,'Tracking List'!$A$5:$AL$883,E$4,FALSE))</f>
        <v/>
      </c>
      <c r="F132" s="147" t="str">
        <f>IF($C132="","",VLOOKUP($C132,'Tracking List'!$A$5:$AL$883,F$4,FALSE))</f>
        <v/>
      </c>
      <c r="G132" s="147" t="str">
        <f>IF($C132="","",VLOOKUP($C132,'Tracking List'!$A$5:$AL$883,G$4,FALSE))</f>
        <v/>
      </c>
      <c r="H132" s="147" t="str">
        <f>IF($C132="","",VLOOKUP($C132,'Tracking List'!$A$5:$AL$883,H$4,FALSE))</f>
        <v/>
      </c>
      <c r="I132" s="147" t="str">
        <f>IF($C132="","",VLOOKUP($C132,'Tracking List'!$A$5:$AL$883,I$4,FALSE))</f>
        <v/>
      </c>
      <c r="J132" s="147" t="str">
        <f>IF($C132="","",VLOOKUP($C132,'Tracking List'!$A$5:$AL$883,J$4,FALSE))</f>
        <v/>
      </c>
      <c r="K132" s="147" t="str">
        <f>IF($C132="","",VLOOKUP($C132,'Tracking List'!$A$5:$AL$883,K$4,FALSE))</f>
        <v/>
      </c>
      <c r="L132" s="168" t="str">
        <f>IF($C132="","",VLOOKUP($C132,'Tracking List'!$A$5:$AL$883,L$4,FALSE))</f>
        <v/>
      </c>
      <c r="M132" s="147" t="str">
        <f>IF($C132="","",VLOOKUP($C132,'Tracking List'!$A$5:$AL$883,M$4,FALSE))</f>
        <v/>
      </c>
      <c r="N132" s="148" t="str">
        <f>IF($C132="","",IF(VLOOKUP($C132,'Tracking List'!$A$5:$AL$883,N$3,FALSE)&gt;0,"Y",VLOOKUP($C132,'Tracking List'!$A$5:$AL$883,N$4,FALSE)))</f>
        <v/>
      </c>
      <c r="O132" s="148" t="str">
        <f>IF($C132="","",IF(VLOOKUP($C132,'Tracking List'!$A$5:$AL$883,O$3,FALSE)&gt;0,"Y",VLOOKUP($C132,'Tracking List'!$A$5:$AL$883,O$4,FALSE)))</f>
        <v/>
      </c>
      <c r="P132" s="147" t="str">
        <f>IF($C132="","",IF(VLOOKUP($C132,'Tracking List'!$A$5:$AL$883,P$4,FALSE)&gt;0,"Y",""))</f>
        <v/>
      </c>
      <c r="Q132" s="149"/>
      <c r="R132" s="150" t="str">
        <f>IF($C132="","",VLOOKUP($C132,'Tracking List'!$A$5:$AL$883,R$4,FALSE))</f>
        <v/>
      </c>
    </row>
    <row r="133" spans="3:18">
      <c r="C133" s="146"/>
      <c r="D133" s="147" t="str">
        <f>IF($C133="","",VLOOKUP($C133,'Tracking List'!$A$5:$AL$883,D$4,FALSE))</f>
        <v/>
      </c>
      <c r="E133" s="147" t="str">
        <f>IF($C133="","",VLOOKUP($C133,'Tracking List'!$A$5:$AL$883,E$4,FALSE))</f>
        <v/>
      </c>
      <c r="F133" s="147" t="str">
        <f>IF($C133="","",VLOOKUP($C133,'Tracking List'!$A$5:$AL$883,F$4,FALSE))</f>
        <v/>
      </c>
      <c r="G133" s="147" t="str">
        <f>IF($C133="","",VLOOKUP($C133,'Tracking List'!$A$5:$AL$883,G$4,FALSE))</f>
        <v/>
      </c>
      <c r="H133" s="147" t="str">
        <f>IF($C133="","",VLOOKUP($C133,'Tracking List'!$A$5:$AL$883,H$4,FALSE))</f>
        <v/>
      </c>
      <c r="I133" s="147" t="str">
        <f>IF($C133="","",VLOOKUP($C133,'Tracking List'!$A$5:$AL$883,I$4,FALSE))</f>
        <v/>
      </c>
      <c r="J133" s="147" t="str">
        <f>IF($C133="","",VLOOKUP($C133,'Tracking List'!$A$5:$AL$883,J$4,FALSE))</f>
        <v/>
      </c>
      <c r="K133" s="147" t="str">
        <f>IF($C133="","",VLOOKUP($C133,'Tracking List'!$A$5:$AL$883,K$4,FALSE))</f>
        <v/>
      </c>
      <c r="L133" s="168" t="str">
        <f>IF($C133="","",VLOOKUP($C133,'Tracking List'!$A$5:$AL$883,L$4,FALSE))</f>
        <v/>
      </c>
      <c r="M133" s="147" t="str">
        <f>IF($C133="","",VLOOKUP($C133,'Tracking List'!$A$5:$AL$883,M$4,FALSE))</f>
        <v/>
      </c>
      <c r="N133" s="148" t="str">
        <f>IF($C133="","",IF(VLOOKUP($C133,'Tracking List'!$A$5:$AL$883,N$3,FALSE)&gt;0,"Y",VLOOKUP($C133,'Tracking List'!$A$5:$AL$883,N$4,FALSE)))</f>
        <v/>
      </c>
      <c r="O133" s="148" t="str">
        <f>IF($C133="","",IF(VLOOKUP($C133,'Tracking List'!$A$5:$AL$883,O$3,FALSE)&gt;0,"Y",VLOOKUP($C133,'Tracking List'!$A$5:$AL$883,O$4,FALSE)))</f>
        <v/>
      </c>
      <c r="P133" s="147" t="str">
        <f>IF($C133="","",IF(VLOOKUP($C133,'Tracking List'!$A$5:$AL$883,P$4,FALSE)&gt;0,"Y",""))</f>
        <v/>
      </c>
      <c r="Q133" s="149"/>
      <c r="R133" s="150" t="str">
        <f>IF($C133="","",VLOOKUP($C133,'Tracking List'!$A$5:$AL$883,R$4,FALSE))</f>
        <v/>
      </c>
    </row>
    <row r="134" spans="3:18">
      <c r="C134" s="146"/>
      <c r="D134" s="147" t="str">
        <f>IF($C134="","",VLOOKUP($C134,'Tracking List'!$A$5:$AL$883,D$4,FALSE))</f>
        <v/>
      </c>
      <c r="E134" s="147" t="str">
        <f>IF($C134="","",VLOOKUP($C134,'Tracking List'!$A$5:$AL$883,E$4,FALSE))</f>
        <v/>
      </c>
      <c r="F134" s="147" t="str">
        <f>IF($C134="","",VLOOKUP($C134,'Tracking List'!$A$5:$AL$883,F$4,FALSE))</f>
        <v/>
      </c>
      <c r="G134" s="147" t="str">
        <f>IF($C134="","",VLOOKUP($C134,'Tracking List'!$A$5:$AL$883,G$4,FALSE))</f>
        <v/>
      </c>
      <c r="H134" s="147" t="str">
        <f>IF($C134="","",VLOOKUP($C134,'Tracking List'!$A$5:$AL$883,H$4,FALSE))</f>
        <v/>
      </c>
      <c r="I134" s="147" t="str">
        <f>IF($C134="","",VLOOKUP($C134,'Tracking List'!$A$5:$AL$883,I$4,FALSE))</f>
        <v/>
      </c>
      <c r="J134" s="147" t="str">
        <f>IF($C134="","",VLOOKUP($C134,'Tracking List'!$A$5:$AL$883,J$4,FALSE))</f>
        <v/>
      </c>
      <c r="K134" s="147" t="str">
        <f>IF($C134="","",VLOOKUP($C134,'Tracking List'!$A$5:$AL$883,K$4,FALSE))</f>
        <v/>
      </c>
      <c r="L134" s="168" t="str">
        <f>IF($C134="","",VLOOKUP($C134,'Tracking List'!$A$5:$AL$883,L$4,FALSE))</f>
        <v/>
      </c>
      <c r="M134" s="147" t="str">
        <f>IF($C134="","",VLOOKUP($C134,'Tracking List'!$A$5:$AL$883,M$4,FALSE))</f>
        <v/>
      </c>
      <c r="N134" s="148" t="str">
        <f>IF($C134="","",IF(VLOOKUP($C134,'Tracking List'!$A$5:$AL$883,N$3,FALSE)&gt;0,"Y",VLOOKUP($C134,'Tracking List'!$A$5:$AL$883,N$4,FALSE)))</f>
        <v/>
      </c>
      <c r="O134" s="148" t="str">
        <f>IF($C134="","",IF(VLOOKUP($C134,'Tracking List'!$A$5:$AL$883,O$3,FALSE)&gt;0,"Y",VLOOKUP($C134,'Tracking List'!$A$5:$AL$883,O$4,FALSE)))</f>
        <v/>
      </c>
      <c r="P134" s="147" t="str">
        <f>IF($C134="","",IF(VLOOKUP($C134,'Tracking List'!$A$5:$AL$883,P$4,FALSE)&gt;0,"Y",""))</f>
        <v/>
      </c>
      <c r="Q134" s="149"/>
      <c r="R134" s="150" t="str">
        <f>IF($C134="","",VLOOKUP($C134,'Tracking List'!$A$5:$AL$883,R$4,FALSE))</f>
        <v/>
      </c>
    </row>
    <row r="135" spans="3:18">
      <c r="C135" s="146"/>
      <c r="D135" s="147" t="str">
        <f>IF($C135="","",VLOOKUP($C135,'Tracking List'!$A$5:$AL$883,D$4,FALSE))</f>
        <v/>
      </c>
      <c r="E135" s="147" t="str">
        <f>IF($C135="","",VLOOKUP($C135,'Tracking List'!$A$5:$AL$883,E$4,FALSE))</f>
        <v/>
      </c>
      <c r="F135" s="147" t="str">
        <f>IF($C135="","",VLOOKUP($C135,'Tracking List'!$A$5:$AL$883,F$4,FALSE))</f>
        <v/>
      </c>
      <c r="G135" s="147" t="str">
        <f>IF($C135="","",VLOOKUP($C135,'Tracking List'!$A$5:$AL$883,G$4,FALSE))</f>
        <v/>
      </c>
      <c r="H135" s="147" t="str">
        <f>IF($C135="","",VLOOKUP($C135,'Tracking List'!$A$5:$AL$883,H$4,FALSE))</f>
        <v/>
      </c>
      <c r="I135" s="147" t="str">
        <f>IF($C135="","",VLOOKUP($C135,'Tracking List'!$A$5:$AL$883,I$4,FALSE))</f>
        <v/>
      </c>
      <c r="J135" s="147" t="str">
        <f>IF($C135="","",VLOOKUP($C135,'Tracking List'!$A$5:$AL$883,J$4,FALSE))</f>
        <v/>
      </c>
      <c r="K135" s="147" t="str">
        <f>IF($C135="","",VLOOKUP($C135,'Tracking List'!$A$5:$AL$883,K$4,FALSE))</f>
        <v/>
      </c>
      <c r="L135" s="168" t="str">
        <f>IF($C135="","",VLOOKUP($C135,'Tracking List'!$A$5:$AL$883,L$4,FALSE))</f>
        <v/>
      </c>
      <c r="M135" s="147" t="str">
        <f>IF($C135="","",VLOOKUP($C135,'Tracking List'!$A$5:$AL$883,M$4,FALSE))</f>
        <v/>
      </c>
      <c r="N135" s="148" t="str">
        <f>IF($C135="","",IF(VLOOKUP($C135,'Tracking List'!$A$5:$AL$883,N$3,FALSE)&gt;0,"Y",VLOOKUP($C135,'Tracking List'!$A$5:$AL$883,N$4,FALSE)))</f>
        <v/>
      </c>
      <c r="O135" s="148" t="str">
        <f>IF($C135="","",IF(VLOOKUP($C135,'Tracking List'!$A$5:$AL$883,O$3,FALSE)&gt;0,"Y",VLOOKUP($C135,'Tracking List'!$A$5:$AL$883,O$4,FALSE)))</f>
        <v/>
      </c>
      <c r="P135" s="147" t="str">
        <f>IF($C135="","",IF(VLOOKUP($C135,'Tracking List'!$A$5:$AL$883,P$4,FALSE)&gt;0,"Y",""))</f>
        <v/>
      </c>
      <c r="Q135" s="149"/>
      <c r="R135" s="150" t="str">
        <f>IF($C135="","",VLOOKUP($C135,'Tracking List'!$A$5:$AL$883,R$4,FALSE))</f>
        <v/>
      </c>
    </row>
    <row r="136" spans="3:18">
      <c r="C136" s="146"/>
      <c r="D136" s="147" t="str">
        <f>IF($C136="","",VLOOKUP($C136,'Tracking List'!$A$5:$AL$883,D$4,FALSE))</f>
        <v/>
      </c>
      <c r="E136" s="147" t="str">
        <f>IF($C136="","",VLOOKUP($C136,'Tracking List'!$A$5:$AL$883,E$4,FALSE))</f>
        <v/>
      </c>
      <c r="F136" s="147" t="str">
        <f>IF($C136="","",VLOOKUP($C136,'Tracking List'!$A$5:$AL$883,F$4,FALSE))</f>
        <v/>
      </c>
      <c r="G136" s="147" t="str">
        <f>IF($C136="","",VLOOKUP($C136,'Tracking List'!$A$5:$AL$883,G$4,FALSE))</f>
        <v/>
      </c>
      <c r="H136" s="147" t="str">
        <f>IF($C136="","",VLOOKUP($C136,'Tracking List'!$A$5:$AL$883,H$4,FALSE))</f>
        <v/>
      </c>
      <c r="I136" s="147" t="str">
        <f>IF($C136="","",VLOOKUP($C136,'Tracking List'!$A$5:$AL$883,I$4,FALSE))</f>
        <v/>
      </c>
      <c r="J136" s="147" t="str">
        <f>IF($C136="","",VLOOKUP($C136,'Tracking List'!$A$5:$AL$883,J$4,FALSE))</f>
        <v/>
      </c>
      <c r="K136" s="147" t="str">
        <f>IF($C136="","",VLOOKUP($C136,'Tracking List'!$A$5:$AL$883,K$4,FALSE))</f>
        <v/>
      </c>
      <c r="L136" s="168" t="str">
        <f>IF($C136="","",VLOOKUP($C136,'Tracking List'!$A$5:$AL$883,L$4,FALSE))</f>
        <v/>
      </c>
      <c r="M136" s="147" t="str">
        <f>IF($C136="","",VLOOKUP($C136,'Tracking List'!$A$5:$AL$883,M$4,FALSE))</f>
        <v/>
      </c>
      <c r="N136" s="148" t="str">
        <f>IF($C136="","",IF(VLOOKUP($C136,'Tracking List'!$A$5:$AL$883,N$3,FALSE)&gt;0,"Y",VLOOKUP($C136,'Tracking List'!$A$5:$AL$883,N$4,FALSE)))</f>
        <v/>
      </c>
      <c r="O136" s="148" t="str">
        <f>IF($C136="","",IF(VLOOKUP($C136,'Tracking List'!$A$5:$AL$883,O$3,FALSE)&gt;0,"Y",VLOOKUP($C136,'Tracking List'!$A$5:$AL$883,O$4,FALSE)))</f>
        <v/>
      </c>
      <c r="P136" s="147" t="str">
        <f>IF($C136="","",IF(VLOOKUP($C136,'Tracking List'!$A$5:$AL$883,P$4,FALSE)&gt;0,"Y",""))</f>
        <v/>
      </c>
      <c r="Q136" s="149"/>
      <c r="R136" s="150" t="str">
        <f>IF($C136="","",VLOOKUP($C136,'Tracking List'!$A$5:$AL$883,R$4,FALSE))</f>
        <v/>
      </c>
    </row>
    <row r="137" spans="3:18">
      <c r="C137" s="146"/>
      <c r="D137" s="147" t="str">
        <f>IF($C137="","",VLOOKUP($C137,'Tracking List'!$A$5:$AL$883,D$4,FALSE))</f>
        <v/>
      </c>
      <c r="E137" s="147" t="str">
        <f>IF($C137="","",VLOOKUP($C137,'Tracking List'!$A$5:$AL$883,E$4,FALSE))</f>
        <v/>
      </c>
      <c r="F137" s="147" t="str">
        <f>IF($C137="","",VLOOKUP($C137,'Tracking List'!$A$5:$AL$883,F$4,FALSE))</f>
        <v/>
      </c>
      <c r="G137" s="147" t="str">
        <f>IF($C137="","",VLOOKUP($C137,'Tracking List'!$A$5:$AL$883,G$4,FALSE))</f>
        <v/>
      </c>
      <c r="H137" s="147" t="str">
        <f>IF($C137="","",VLOOKUP($C137,'Tracking List'!$A$5:$AL$883,H$4,FALSE))</f>
        <v/>
      </c>
      <c r="I137" s="147" t="str">
        <f>IF($C137="","",VLOOKUP($C137,'Tracking List'!$A$5:$AL$883,I$4,FALSE))</f>
        <v/>
      </c>
      <c r="J137" s="147" t="str">
        <f>IF($C137="","",VLOOKUP($C137,'Tracking List'!$A$5:$AL$883,J$4,FALSE))</f>
        <v/>
      </c>
      <c r="K137" s="147" t="str">
        <f>IF($C137="","",VLOOKUP($C137,'Tracking List'!$A$5:$AL$883,K$4,FALSE))</f>
        <v/>
      </c>
      <c r="L137" s="168" t="str">
        <f>IF($C137="","",VLOOKUP($C137,'Tracking List'!$A$5:$AL$883,L$4,FALSE))</f>
        <v/>
      </c>
      <c r="M137" s="147" t="str">
        <f>IF($C137="","",VLOOKUP($C137,'Tracking List'!$A$5:$AL$883,M$4,FALSE))</f>
        <v/>
      </c>
      <c r="N137" s="148" t="str">
        <f>IF($C137="","",IF(VLOOKUP($C137,'Tracking List'!$A$5:$AL$883,N$3,FALSE)&gt;0,"Y",VLOOKUP($C137,'Tracking List'!$A$5:$AL$883,N$4,FALSE)))</f>
        <v/>
      </c>
      <c r="O137" s="148" t="str">
        <f>IF($C137="","",IF(VLOOKUP($C137,'Tracking List'!$A$5:$AL$883,O$3,FALSE)&gt;0,"Y",VLOOKUP($C137,'Tracking List'!$A$5:$AL$883,O$4,FALSE)))</f>
        <v/>
      </c>
      <c r="P137" s="147" t="str">
        <f>IF($C137="","",IF(VLOOKUP($C137,'Tracking List'!$A$5:$AL$883,P$4,FALSE)&gt;0,"Y",""))</f>
        <v/>
      </c>
      <c r="Q137" s="149"/>
      <c r="R137" s="150" t="str">
        <f>IF($C137="","",VLOOKUP($C137,'Tracking List'!$A$5:$AL$883,R$4,FALSE))</f>
        <v/>
      </c>
    </row>
    <row r="138" spans="3:18">
      <c r="C138" s="146"/>
      <c r="D138" s="147" t="str">
        <f>IF($C138="","",VLOOKUP($C138,'Tracking List'!$A$5:$AL$883,D$4,FALSE))</f>
        <v/>
      </c>
      <c r="E138" s="147" t="str">
        <f>IF($C138="","",VLOOKUP($C138,'Tracking List'!$A$5:$AL$883,E$4,FALSE))</f>
        <v/>
      </c>
      <c r="F138" s="147" t="str">
        <f>IF($C138="","",VLOOKUP($C138,'Tracking List'!$A$5:$AL$883,F$4,FALSE))</f>
        <v/>
      </c>
      <c r="G138" s="147" t="str">
        <f>IF($C138="","",VLOOKUP($C138,'Tracking List'!$A$5:$AL$883,G$4,FALSE))</f>
        <v/>
      </c>
      <c r="H138" s="147" t="str">
        <f>IF($C138="","",VLOOKUP($C138,'Tracking List'!$A$5:$AL$883,H$4,FALSE))</f>
        <v/>
      </c>
      <c r="I138" s="147" t="str">
        <f>IF($C138="","",VLOOKUP($C138,'Tracking List'!$A$5:$AL$883,I$4,FALSE))</f>
        <v/>
      </c>
      <c r="J138" s="147" t="str">
        <f>IF($C138="","",VLOOKUP($C138,'Tracking List'!$A$5:$AL$883,J$4,FALSE))</f>
        <v/>
      </c>
      <c r="K138" s="147" t="str">
        <f>IF($C138="","",VLOOKUP($C138,'Tracking List'!$A$5:$AL$883,K$4,FALSE))</f>
        <v/>
      </c>
      <c r="L138" s="168" t="str">
        <f>IF($C138="","",VLOOKUP($C138,'Tracking List'!$A$5:$AL$883,L$4,FALSE))</f>
        <v/>
      </c>
      <c r="M138" s="147" t="str">
        <f>IF($C138="","",VLOOKUP($C138,'Tracking List'!$A$5:$AL$883,M$4,FALSE))</f>
        <v/>
      </c>
      <c r="N138" s="148" t="str">
        <f>IF($C138="","",IF(VLOOKUP($C138,'Tracking List'!$A$5:$AL$883,N$3,FALSE)&gt;0,"Y",VLOOKUP($C138,'Tracking List'!$A$5:$AL$883,N$4,FALSE)))</f>
        <v/>
      </c>
      <c r="O138" s="148" t="str">
        <f>IF($C138="","",IF(VLOOKUP($C138,'Tracking List'!$A$5:$AL$883,O$3,FALSE)&gt;0,"Y",VLOOKUP($C138,'Tracking List'!$A$5:$AL$883,O$4,FALSE)))</f>
        <v/>
      </c>
      <c r="P138" s="147" t="str">
        <f>IF($C138="","",IF(VLOOKUP($C138,'Tracking List'!$A$5:$AL$883,P$4,FALSE)&gt;0,"Y",""))</f>
        <v/>
      </c>
      <c r="Q138" s="149"/>
      <c r="R138" s="150" t="str">
        <f>IF($C138="","",VLOOKUP($C138,'Tracking List'!$A$5:$AL$883,R$4,FALSE))</f>
        <v/>
      </c>
    </row>
    <row r="139" spans="3:18">
      <c r="C139" s="146"/>
      <c r="D139" s="147" t="str">
        <f>IF($C139="","",VLOOKUP($C139,'Tracking List'!$A$5:$AL$883,D$4,FALSE))</f>
        <v/>
      </c>
      <c r="E139" s="147" t="str">
        <f>IF($C139="","",VLOOKUP($C139,'Tracking List'!$A$5:$AL$883,E$4,FALSE))</f>
        <v/>
      </c>
      <c r="F139" s="147" t="str">
        <f>IF($C139="","",VLOOKUP($C139,'Tracking List'!$A$5:$AL$883,F$4,FALSE))</f>
        <v/>
      </c>
      <c r="G139" s="147" t="str">
        <f>IF($C139="","",VLOOKUP($C139,'Tracking List'!$A$5:$AL$883,G$4,FALSE))</f>
        <v/>
      </c>
      <c r="H139" s="147" t="str">
        <f>IF($C139="","",VLOOKUP($C139,'Tracking List'!$A$5:$AL$883,H$4,FALSE))</f>
        <v/>
      </c>
      <c r="I139" s="147" t="str">
        <f>IF($C139="","",VLOOKUP($C139,'Tracking List'!$A$5:$AL$883,I$4,FALSE))</f>
        <v/>
      </c>
      <c r="J139" s="147" t="str">
        <f>IF($C139="","",VLOOKUP($C139,'Tracking List'!$A$5:$AL$883,J$4,FALSE))</f>
        <v/>
      </c>
      <c r="K139" s="147" t="str">
        <f>IF($C139="","",VLOOKUP($C139,'Tracking List'!$A$5:$AL$883,K$4,FALSE))</f>
        <v/>
      </c>
      <c r="L139" s="168" t="str">
        <f>IF($C139="","",VLOOKUP($C139,'Tracking List'!$A$5:$AL$883,L$4,FALSE))</f>
        <v/>
      </c>
      <c r="M139" s="147" t="str">
        <f>IF($C139="","",VLOOKUP($C139,'Tracking List'!$A$5:$AL$883,M$4,FALSE))</f>
        <v/>
      </c>
      <c r="N139" s="148" t="str">
        <f>IF($C139="","",IF(VLOOKUP($C139,'Tracking List'!$A$5:$AL$883,N$3,FALSE)&gt;0,"Y",VLOOKUP($C139,'Tracking List'!$A$5:$AL$883,N$4,FALSE)))</f>
        <v/>
      </c>
      <c r="O139" s="148" t="str">
        <f>IF($C139="","",IF(VLOOKUP($C139,'Tracking List'!$A$5:$AL$883,O$3,FALSE)&gt;0,"Y",VLOOKUP($C139,'Tracking List'!$A$5:$AL$883,O$4,FALSE)))</f>
        <v/>
      </c>
      <c r="P139" s="147" t="str">
        <f>IF($C139="","",IF(VLOOKUP($C139,'Tracking List'!$A$5:$AL$883,P$4,FALSE)&gt;0,"Y",""))</f>
        <v/>
      </c>
      <c r="Q139" s="149"/>
      <c r="R139" s="150" t="str">
        <f>IF($C139="","",VLOOKUP($C139,'Tracking List'!$A$5:$AL$883,R$4,FALSE))</f>
        <v/>
      </c>
    </row>
    <row r="140" spans="3:18">
      <c r="C140" s="146"/>
      <c r="D140" s="147" t="str">
        <f>IF($C140="","",VLOOKUP($C140,'Tracking List'!$A$5:$AL$883,D$4,FALSE))</f>
        <v/>
      </c>
      <c r="E140" s="147" t="str">
        <f>IF($C140="","",VLOOKUP($C140,'Tracking List'!$A$5:$AL$883,E$4,FALSE))</f>
        <v/>
      </c>
      <c r="F140" s="147" t="str">
        <f>IF($C140="","",VLOOKUP($C140,'Tracking List'!$A$5:$AL$883,F$4,FALSE))</f>
        <v/>
      </c>
      <c r="G140" s="147" t="str">
        <f>IF($C140="","",VLOOKUP($C140,'Tracking List'!$A$5:$AL$883,G$4,FALSE))</f>
        <v/>
      </c>
      <c r="H140" s="147" t="str">
        <f>IF($C140="","",VLOOKUP($C140,'Tracking List'!$A$5:$AL$883,H$4,FALSE))</f>
        <v/>
      </c>
      <c r="I140" s="147" t="str">
        <f>IF($C140="","",VLOOKUP($C140,'Tracking List'!$A$5:$AL$883,I$4,FALSE))</f>
        <v/>
      </c>
      <c r="J140" s="147" t="str">
        <f>IF($C140="","",VLOOKUP($C140,'Tracking List'!$A$5:$AL$883,J$4,FALSE))</f>
        <v/>
      </c>
      <c r="K140" s="147" t="str">
        <f>IF($C140="","",VLOOKUP($C140,'Tracking List'!$A$5:$AL$883,K$4,FALSE))</f>
        <v/>
      </c>
      <c r="L140" s="168" t="str">
        <f>IF($C140="","",VLOOKUP($C140,'Tracking List'!$A$5:$AL$883,L$4,FALSE))</f>
        <v/>
      </c>
      <c r="M140" s="147" t="str">
        <f>IF($C140="","",VLOOKUP($C140,'Tracking List'!$A$5:$AL$883,M$4,FALSE))</f>
        <v/>
      </c>
      <c r="N140" s="148" t="str">
        <f>IF($C140="","",IF(VLOOKUP($C140,'Tracking List'!$A$5:$AL$883,N$3,FALSE)&gt;0,"Y",VLOOKUP($C140,'Tracking List'!$A$5:$AL$883,N$4,FALSE)))</f>
        <v/>
      </c>
      <c r="O140" s="148" t="str">
        <f>IF($C140="","",IF(VLOOKUP($C140,'Tracking List'!$A$5:$AL$883,O$3,FALSE)&gt;0,"Y",VLOOKUP($C140,'Tracking List'!$A$5:$AL$883,O$4,FALSE)))</f>
        <v/>
      </c>
      <c r="P140" s="147" t="str">
        <f>IF($C140="","",IF(VLOOKUP($C140,'Tracking List'!$A$5:$AL$883,P$4,FALSE)&gt;0,"Y",""))</f>
        <v/>
      </c>
      <c r="Q140" s="149"/>
      <c r="R140" s="150" t="str">
        <f>IF($C140="","",VLOOKUP($C140,'Tracking List'!$A$5:$AL$883,R$4,FALSE))</f>
        <v/>
      </c>
    </row>
    <row r="141" spans="3:18">
      <c r="C141" s="146"/>
      <c r="D141" s="147" t="str">
        <f>IF($C141="","",VLOOKUP($C141,'Tracking List'!$A$5:$AL$883,D$4,FALSE))</f>
        <v/>
      </c>
      <c r="E141" s="147" t="str">
        <f>IF($C141="","",VLOOKUP($C141,'Tracking List'!$A$5:$AL$883,E$4,FALSE))</f>
        <v/>
      </c>
      <c r="F141" s="147" t="str">
        <f>IF($C141="","",VLOOKUP($C141,'Tracking List'!$A$5:$AL$883,F$4,FALSE))</f>
        <v/>
      </c>
      <c r="G141" s="147" t="str">
        <f>IF($C141="","",VLOOKUP($C141,'Tracking List'!$A$5:$AL$883,G$4,FALSE))</f>
        <v/>
      </c>
      <c r="H141" s="147" t="str">
        <f>IF($C141="","",VLOOKUP($C141,'Tracking List'!$A$5:$AL$883,H$4,FALSE))</f>
        <v/>
      </c>
      <c r="I141" s="147" t="str">
        <f>IF($C141="","",VLOOKUP($C141,'Tracking List'!$A$5:$AL$883,I$4,FALSE))</f>
        <v/>
      </c>
      <c r="J141" s="147" t="str">
        <f>IF($C141="","",VLOOKUP($C141,'Tracking List'!$A$5:$AL$883,J$4,FALSE))</f>
        <v/>
      </c>
      <c r="K141" s="147" t="str">
        <f>IF($C141="","",VLOOKUP($C141,'Tracking List'!$A$5:$AL$883,K$4,FALSE))</f>
        <v/>
      </c>
      <c r="L141" s="168" t="str">
        <f>IF($C141="","",VLOOKUP($C141,'Tracking List'!$A$5:$AL$883,L$4,FALSE))</f>
        <v/>
      </c>
      <c r="M141" s="147" t="str">
        <f>IF($C141="","",VLOOKUP($C141,'Tracking List'!$A$5:$AL$883,M$4,FALSE))</f>
        <v/>
      </c>
      <c r="N141" s="148" t="str">
        <f>IF($C141="","",IF(VLOOKUP($C141,'Tracking List'!$A$5:$AL$883,N$3,FALSE)&gt;0,"Y",VLOOKUP($C141,'Tracking List'!$A$5:$AL$883,N$4,FALSE)))</f>
        <v/>
      </c>
      <c r="O141" s="148" t="str">
        <f>IF($C141="","",IF(VLOOKUP($C141,'Tracking List'!$A$5:$AL$883,O$3,FALSE)&gt;0,"Y",VLOOKUP($C141,'Tracking List'!$A$5:$AL$883,O$4,FALSE)))</f>
        <v/>
      </c>
      <c r="P141" s="147" t="str">
        <f>IF($C141="","",IF(VLOOKUP($C141,'Tracking List'!$A$5:$AL$883,P$4,FALSE)&gt;0,"Y",""))</f>
        <v/>
      </c>
      <c r="Q141" s="149"/>
      <c r="R141" s="150" t="str">
        <f>IF($C141="","",VLOOKUP($C141,'Tracking List'!$A$5:$AL$883,R$4,FALSE))</f>
        <v/>
      </c>
    </row>
    <row r="142" spans="3:18">
      <c r="C142" s="146"/>
      <c r="D142" s="147" t="str">
        <f>IF($C142="","",VLOOKUP($C142,'Tracking List'!$A$5:$AL$883,D$4,FALSE))</f>
        <v/>
      </c>
      <c r="E142" s="147" t="str">
        <f>IF($C142="","",VLOOKUP($C142,'Tracking List'!$A$5:$AL$883,E$4,FALSE))</f>
        <v/>
      </c>
      <c r="F142" s="147" t="str">
        <f>IF($C142="","",VLOOKUP($C142,'Tracking List'!$A$5:$AL$883,F$4,FALSE))</f>
        <v/>
      </c>
      <c r="G142" s="147" t="str">
        <f>IF($C142="","",VLOOKUP($C142,'Tracking List'!$A$5:$AL$883,G$4,FALSE))</f>
        <v/>
      </c>
      <c r="H142" s="147" t="str">
        <f>IF($C142="","",VLOOKUP($C142,'Tracking List'!$A$5:$AL$883,H$4,FALSE))</f>
        <v/>
      </c>
      <c r="I142" s="147" t="str">
        <f>IF($C142="","",VLOOKUP($C142,'Tracking List'!$A$5:$AL$883,I$4,FALSE))</f>
        <v/>
      </c>
      <c r="J142" s="147" t="str">
        <f>IF($C142="","",VLOOKUP($C142,'Tracking List'!$A$5:$AL$883,J$4,FALSE))</f>
        <v/>
      </c>
      <c r="K142" s="147" t="str">
        <f>IF($C142="","",VLOOKUP($C142,'Tracking List'!$A$5:$AL$883,K$4,FALSE))</f>
        <v/>
      </c>
      <c r="L142" s="168" t="str">
        <f>IF($C142="","",VLOOKUP($C142,'Tracking List'!$A$5:$AL$883,L$4,FALSE))</f>
        <v/>
      </c>
      <c r="M142" s="147" t="str">
        <f>IF($C142="","",VLOOKUP($C142,'Tracking List'!$A$5:$AL$883,M$4,FALSE))</f>
        <v/>
      </c>
      <c r="N142" s="148" t="str">
        <f>IF($C142="","",IF(VLOOKUP($C142,'Tracking List'!$A$5:$AL$883,N$3,FALSE)&gt;0,"Y",VLOOKUP($C142,'Tracking List'!$A$5:$AL$883,N$4,FALSE)))</f>
        <v/>
      </c>
      <c r="O142" s="148" t="str">
        <f>IF($C142="","",IF(VLOOKUP($C142,'Tracking List'!$A$5:$AL$883,O$3,FALSE)&gt;0,"Y",VLOOKUP($C142,'Tracking List'!$A$5:$AL$883,O$4,FALSE)))</f>
        <v/>
      </c>
      <c r="P142" s="147" t="str">
        <f>IF($C142="","",IF(VLOOKUP($C142,'Tracking List'!$A$5:$AL$883,P$4,FALSE)&gt;0,"Y",""))</f>
        <v/>
      </c>
      <c r="Q142" s="149"/>
      <c r="R142" s="150" t="str">
        <f>IF($C142="","",VLOOKUP($C142,'Tracking List'!$A$5:$AL$883,R$4,FALSE))</f>
        <v/>
      </c>
    </row>
    <row r="143" spans="3:18">
      <c r="C143" s="146"/>
      <c r="D143" s="147" t="str">
        <f>IF($C143="","",VLOOKUP($C143,'Tracking List'!$A$5:$AL$883,D$4,FALSE))</f>
        <v/>
      </c>
      <c r="E143" s="147" t="str">
        <f>IF($C143="","",VLOOKUP($C143,'Tracking List'!$A$5:$AL$883,E$4,FALSE))</f>
        <v/>
      </c>
      <c r="F143" s="147" t="str">
        <f>IF($C143="","",VLOOKUP($C143,'Tracking List'!$A$5:$AL$883,F$4,FALSE))</f>
        <v/>
      </c>
      <c r="G143" s="147" t="str">
        <f>IF($C143="","",VLOOKUP($C143,'Tracking List'!$A$5:$AL$883,G$4,FALSE))</f>
        <v/>
      </c>
      <c r="H143" s="147" t="str">
        <f>IF($C143="","",VLOOKUP($C143,'Tracking List'!$A$5:$AL$883,H$4,FALSE))</f>
        <v/>
      </c>
      <c r="I143" s="147" t="str">
        <f>IF($C143="","",VLOOKUP($C143,'Tracking List'!$A$5:$AL$883,I$4,FALSE))</f>
        <v/>
      </c>
      <c r="J143" s="147" t="str">
        <f>IF($C143="","",VLOOKUP($C143,'Tracking List'!$A$5:$AL$883,J$4,FALSE))</f>
        <v/>
      </c>
      <c r="K143" s="147" t="str">
        <f>IF($C143="","",VLOOKUP($C143,'Tracking List'!$A$5:$AL$883,K$4,FALSE))</f>
        <v/>
      </c>
      <c r="L143" s="168" t="str">
        <f>IF($C143="","",VLOOKUP($C143,'Tracking List'!$A$5:$AL$883,L$4,FALSE))</f>
        <v/>
      </c>
      <c r="M143" s="147" t="str">
        <f>IF($C143="","",VLOOKUP($C143,'Tracking List'!$A$5:$AL$883,M$4,FALSE))</f>
        <v/>
      </c>
      <c r="N143" s="148" t="str">
        <f>IF($C143="","",IF(VLOOKUP($C143,'Tracking List'!$A$5:$AL$883,N$3,FALSE)&gt;0,"Y",VLOOKUP($C143,'Tracking List'!$A$5:$AL$883,N$4,FALSE)))</f>
        <v/>
      </c>
      <c r="O143" s="148" t="str">
        <f>IF($C143="","",IF(VLOOKUP($C143,'Tracking List'!$A$5:$AL$883,O$3,FALSE)&gt;0,"Y",VLOOKUP($C143,'Tracking List'!$A$5:$AL$883,O$4,FALSE)))</f>
        <v/>
      </c>
      <c r="P143" s="147" t="str">
        <f>IF($C143="","",IF(VLOOKUP($C143,'Tracking List'!$A$5:$AL$883,P$4,FALSE)&gt;0,"Y",""))</f>
        <v/>
      </c>
      <c r="Q143" s="149"/>
      <c r="R143" s="150" t="str">
        <f>IF($C143="","",VLOOKUP($C143,'Tracking List'!$A$5:$AL$883,R$4,FALSE))</f>
        <v/>
      </c>
    </row>
    <row r="144" spans="3:18">
      <c r="C144" s="146"/>
      <c r="D144" s="147" t="str">
        <f>IF($C144="","",VLOOKUP($C144,'Tracking List'!$A$5:$AL$883,D$4,FALSE))</f>
        <v/>
      </c>
      <c r="E144" s="147" t="str">
        <f>IF($C144="","",VLOOKUP($C144,'Tracking List'!$A$5:$AL$883,E$4,FALSE))</f>
        <v/>
      </c>
      <c r="F144" s="147" t="str">
        <f>IF($C144="","",VLOOKUP($C144,'Tracking List'!$A$5:$AL$883,F$4,FALSE))</f>
        <v/>
      </c>
      <c r="G144" s="147" t="str">
        <f>IF($C144="","",VLOOKUP($C144,'Tracking List'!$A$5:$AL$883,G$4,FALSE))</f>
        <v/>
      </c>
      <c r="H144" s="147" t="str">
        <f>IF($C144="","",VLOOKUP($C144,'Tracking List'!$A$5:$AL$883,H$4,FALSE))</f>
        <v/>
      </c>
      <c r="I144" s="147" t="str">
        <f>IF($C144="","",VLOOKUP($C144,'Tracking List'!$A$5:$AL$883,I$4,FALSE))</f>
        <v/>
      </c>
      <c r="J144" s="147" t="str">
        <f>IF($C144="","",VLOOKUP($C144,'Tracking List'!$A$5:$AL$883,J$4,FALSE))</f>
        <v/>
      </c>
      <c r="K144" s="147" t="str">
        <f>IF($C144="","",VLOOKUP($C144,'Tracking List'!$A$5:$AL$883,K$4,FALSE))</f>
        <v/>
      </c>
      <c r="L144" s="168" t="str">
        <f>IF($C144="","",VLOOKUP($C144,'Tracking List'!$A$5:$AL$883,L$4,FALSE))</f>
        <v/>
      </c>
      <c r="M144" s="147" t="str">
        <f>IF($C144="","",VLOOKUP($C144,'Tracking List'!$A$5:$AL$883,M$4,FALSE))</f>
        <v/>
      </c>
      <c r="N144" s="148" t="str">
        <f>IF($C144="","",IF(VLOOKUP($C144,'Tracking List'!$A$5:$AL$883,N$3,FALSE)&gt;0,"Y",VLOOKUP($C144,'Tracking List'!$A$5:$AL$883,N$4,FALSE)))</f>
        <v/>
      </c>
      <c r="O144" s="148" t="str">
        <f>IF($C144="","",IF(VLOOKUP($C144,'Tracking List'!$A$5:$AL$883,O$3,FALSE)&gt;0,"Y",VLOOKUP($C144,'Tracking List'!$A$5:$AL$883,O$4,FALSE)))</f>
        <v/>
      </c>
      <c r="P144" s="147" t="str">
        <f>IF($C144="","",IF(VLOOKUP($C144,'Tracking List'!$A$5:$AL$883,P$4,FALSE)&gt;0,"Y",""))</f>
        <v/>
      </c>
      <c r="Q144" s="149"/>
      <c r="R144" s="150" t="str">
        <f>IF($C144="","",VLOOKUP($C144,'Tracking List'!$A$5:$AL$883,R$4,FALSE))</f>
        <v/>
      </c>
    </row>
    <row r="145" spans="3:18">
      <c r="C145" s="146"/>
      <c r="D145" s="147" t="str">
        <f>IF($C145="","",VLOOKUP($C145,'Tracking List'!$A$5:$AL$883,D$4,FALSE))</f>
        <v/>
      </c>
      <c r="E145" s="147" t="str">
        <f>IF($C145="","",VLOOKUP($C145,'Tracking List'!$A$5:$AL$883,E$4,FALSE))</f>
        <v/>
      </c>
      <c r="F145" s="147" t="str">
        <f>IF($C145="","",VLOOKUP($C145,'Tracking List'!$A$5:$AL$883,F$4,FALSE))</f>
        <v/>
      </c>
      <c r="G145" s="147" t="str">
        <f>IF($C145="","",VLOOKUP($C145,'Tracking List'!$A$5:$AL$883,G$4,FALSE))</f>
        <v/>
      </c>
      <c r="H145" s="147" t="str">
        <f>IF($C145="","",VLOOKUP($C145,'Tracking List'!$A$5:$AL$883,H$4,FALSE))</f>
        <v/>
      </c>
      <c r="I145" s="147" t="str">
        <f>IF($C145="","",VLOOKUP($C145,'Tracking List'!$A$5:$AL$883,I$4,FALSE))</f>
        <v/>
      </c>
      <c r="J145" s="147" t="str">
        <f>IF($C145="","",VLOOKUP($C145,'Tracking List'!$A$5:$AL$883,J$4,FALSE))</f>
        <v/>
      </c>
      <c r="K145" s="147" t="str">
        <f>IF($C145="","",VLOOKUP($C145,'Tracking List'!$A$5:$AL$883,K$4,FALSE))</f>
        <v/>
      </c>
      <c r="L145" s="168" t="str">
        <f>IF($C145="","",VLOOKUP($C145,'Tracking List'!$A$5:$AL$883,L$4,FALSE))</f>
        <v/>
      </c>
      <c r="M145" s="147" t="str">
        <f>IF($C145="","",VLOOKUP($C145,'Tracking List'!$A$5:$AL$883,M$4,FALSE))</f>
        <v/>
      </c>
      <c r="N145" s="148" t="str">
        <f>IF($C145="","",IF(VLOOKUP($C145,'Tracking List'!$A$5:$AL$883,N$3,FALSE)&gt;0,"Y",VLOOKUP($C145,'Tracking List'!$A$5:$AL$883,N$4,FALSE)))</f>
        <v/>
      </c>
      <c r="O145" s="148" t="str">
        <f>IF($C145="","",IF(VLOOKUP($C145,'Tracking List'!$A$5:$AL$883,O$3,FALSE)&gt;0,"Y",VLOOKUP($C145,'Tracking List'!$A$5:$AL$883,O$4,FALSE)))</f>
        <v/>
      </c>
      <c r="P145" s="147" t="str">
        <f>IF($C145="","",IF(VLOOKUP($C145,'Tracking List'!$A$5:$AL$883,P$4,FALSE)&gt;0,"Y",""))</f>
        <v/>
      </c>
      <c r="Q145" s="149"/>
      <c r="R145" s="150" t="str">
        <f>IF($C145="","",VLOOKUP($C145,'Tracking List'!$A$5:$AL$883,R$4,FALSE))</f>
        <v/>
      </c>
    </row>
    <row r="146" spans="3:18">
      <c r="C146" s="146"/>
      <c r="D146" s="147" t="str">
        <f>IF($C146="","",VLOOKUP($C146,'Tracking List'!$A$5:$AL$883,D$4,FALSE))</f>
        <v/>
      </c>
      <c r="E146" s="147" t="str">
        <f>IF($C146="","",VLOOKUP($C146,'Tracking List'!$A$5:$AL$883,E$4,FALSE))</f>
        <v/>
      </c>
      <c r="F146" s="147" t="str">
        <f>IF($C146="","",VLOOKUP($C146,'Tracking List'!$A$5:$AL$883,F$4,FALSE))</f>
        <v/>
      </c>
      <c r="G146" s="147" t="str">
        <f>IF($C146="","",VLOOKUP($C146,'Tracking List'!$A$5:$AL$883,G$4,FALSE))</f>
        <v/>
      </c>
      <c r="H146" s="147" t="str">
        <f>IF($C146="","",VLOOKUP($C146,'Tracking List'!$A$5:$AL$883,H$4,FALSE))</f>
        <v/>
      </c>
      <c r="I146" s="147" t="str">
        <f>IF($C146="","",VLOOKUP($C146,'Tracking List'!$A$5:$AL$883,I$4,FALSE))</f>
        <v/>
      </c>
      <c r="J146" s="147" t="str">
        <f>IF($C146="","",VLOOKUP($C146,'Tracking List'!$A$5:$AL$883,J$4,FALSE))</f>
        <v/>
      </c>
      <c r="K146" s="147" t="str">
        <f>IF($C146="","",VLOOKUP($C146,'Tracking List'!$A$5:$AL$883,K$4,FALSE))</f>
        <v/>
      </c>
      <c r="L146" s="168" t="str">
        <f>IF($C146="","",VLOOKUP($C146,'Tracking List'!$A$5:$AL$883,L$4,FALSE))</f>
        <v/>
      </c>
      <c r="M146" s="147" t="str">
        <f>IF($C146="","",VLOOKUP($C146,'Tracking List'!$A$5:$AL$883,M$4,FALSE))</f>
        <v/>
      </c>
      <c r="N146" s="148" t="str">
        <f>IF($C146="","",IF(VLOOKUP($C146,'Tracking List'!$A$5:$AL$883,N$3,FALSE)&gt;0,"Y",VLOOKUP($C146,'Tracking List'!$A$5:$AL$883,N$4,FALSE)))</f>
        <v/>
      </c>
      <c r="O146" s="148" t="str">
        <f>IF($C146="","",IF(VLOOKUP($C146,'Tracking List'!$A$5:$AL$883,O$3,FALSE)&gt;0,"Y",VLOOKUP($C146,'Tracking List'!$A$5:$AL$883,O$4,FALSE)))</f>
        <v/>
      </c>
      <c r="P146" s="147" t="str">
        <f>IF($C146="","",IF(VLOOKUP($C146,'Tracking List'!$A$5:$AL$883,P$4,FALSE)&gt;0,"Y",""))</f>
        <v/>
      </c>
      <c r="Q146" s="149"/>
      <c r="R146" s="150" t="str">
        <f>IF($C146="","",VLOOKUP($C146,'Tracking List'!$A$5:$AL$883,R$4,FALSE))</f>
        <v/>
      </c>
    </row>
    <row r="147" spans="3:18">
      <c r="C147" s="146"/>
      <c r="D147" s="147" t="str">
        <f>IF($C147="","",VLOOKUP($C147,'Tracking List'!$A$5:$AL$883,D$4,FALSE))</f>
        <v/>
      </c>
      <c r="E147" s="147" t="str">
        <f>IF($C147="","",VLOOKUP($C147,'Tracking List'!$A$5:$AL$883,E$4,FALSE))</f>
        <v/>
      </c>
      <c r="F147" s="147" t="str">
        <f>IF($C147="","",VLOOKUP($C147,'Tracking List'!$A$5:$AL$883,F$4,FALSE))</f>
        <v/>
      </c>
      <c r="G147" s="147" t="str">
        <f>IF($C147="","",VLOOKUP($C147,'Tracking List'!$A$5:$AL$883,G$4,FALSE))</f>
        <v/>
      </c>
      <c r="H147" s="147" t="str">
        <f>IF($C147="","",VLOOKUP($C147,'Tracking List'!$A$5:$AL$883,H$4,FALSE))</f>
        <v/>
      </c>
      <c r="I147" s="147" t="str">
        <f>IF($C147="","",VLOOKUP($C147,'Tracking List'!$A$5:$AL$883,I$4,FALSE))</f>
        <v/>
      </c>
      <c r="J147" s="147" t="str">
        <f>IF($C147="","",VLOOKUP($C147,'Tracking List'!$A$5:$AL$883,J$4,FALSE))</f>
        <v/>
      </c>
      <c r="K147" s="147" t="str">
        <f>IF($C147="","",VLOOKUP($C147,'Tracking List'!$A$5:$AL$883,K$4,FALSE))</f>
        <v/>
      </c>
      <c r="L147" s="168" t="str">
        <f>IF($C147="","",VLOOKUP($C147,'Tracking List'!$A$5:$AL$883,L$4,FALSE))</f>
        <v/>
      </c>
      <c r="M147" s="147" t="str">
        <f>IF($C147="","",VLOOKUP($C147,'Tracking List'!$A$5:$AL$883,M$4,FALSE))</f>
        <v/>
      </c>
      <c r="N147" s="148" t="str">
        <f>IF($C147="","",IF(VLOOKUP($C147,'Tracking List'!$A$5:$AL$883,N$3,FALSE)&gt;0,"Y",VLOOKUP($C147,'Tracking List'!$A$5:$AL$883,N$4,FALSE)))</f>
        <v/>
      </c>
      <c r="O147" s="148" t="str">
        <f>IF($C147="","",IF(VLOOKUP($C147,'Tracking List'!$A$5:$AL$883,O$3,FALSE)&gt;0,"Y",VLOOKUP($C147,'Tracking List'!$A$5:$AL$883,O$4,FALSE)))</f>
        <v/>
      </c>
      <c r="P147" s="147" t="str">
        <f>IF($C147="","",IF(VLOOKUP($C147,'Tracking List'!$A$5:$AL$883,P$4,FALSE)&gt;0,"Y",""))</f>
        <v/>
      </c>
      <c r="Q147" s="149"/>
      <c r="R147" s="150" t="str">
        <f>IF($C147="","",VLOOKUP($C147,'Tracking List'!$A$5:$AL$883,R$4,FALSE))</f>
        <v/>
      </c>
    </row>
    <row r="148" spans="3:18">
      <c r="C148" s="146"/>
      <c r="D148" s="147" t="str">
        <f>IF($C148="","",VLOOKUP($C148,'Tracking List'!$A$5:$AL$883,D$4,FALSE))</f>
        <v/>
      </c>
      <c r="E148" s="147" t="str">
        <f>IF($C148="","",VLOOKUP($C148,'Tracking List'!$A$5:$AL$883,E$4,FALSE))</f>
        <v/>
      </c>
      <c r="F148" s="147" t="str">
        <f>IF($C148="","",VLOOKUP($C148,'Tracking List'!$A$5:$AL$883,F$4,FALSE))</f>
        <v/>
      </c>
      <c r="G148" s="147" t="str">
        <f>IF($C148="","",VLOOKUP($C148,'Tracking List'!$A$5:$AL$883,G$4,FALSE))</f>
        <v/>
      </c>
      <c r="H148" s="147" t="str">
        <f>IF($C148="","",VLOOKUP($C148,'Tracking List'!$A$5:$AL$883,H$4,FALSE))</f>
        <v/>
      </c>
      <c r="I148" s="147" t="str">
        <f>IF($C148="","",VLOOKUP($C148,'Tracking List'!$A$5:$AL$883,I$4,FALSE))</f>
        <v/>
      </c>
      <c r="J148" s="147" t="str">
        <f>IF($C148="","",VLOOKUP($C148,'Tracking List'!$A$5:$AL$883,J$4,FALSE))</f>
        <v/>
      </c>
      <c r="K148" s="147" t="str">
        <f>IF($C148="","",VLOOKUP($C148,'Tracking List'!$A$5:$AL$883,K$4,FALSE))</f>
        <v/>
      </c>
      <c r="L148" s="168" t="str">
        <f>IF($C148="","",VLOOKUP($C148,'Tracking List'!$A$5:$AL$883,L$4,FALSE))</f>
        <v/>
      </c>
      <c r="M148" s="147" t="str">
        <f>IF($C148="","",VLOOKUP($C148,'Tracking List'!$A$5:$AL$883,M$4,FALSE))</f>
        <v/>
      </c>
      <c r="N148" s="148" t="str">
        <f>IF($C148="","",IF(VLOOKUP($C148,'Tracking List'!$A$5:$AL$883,N$3,FALSE)&gt;0,"Y",VLOOKUP($C148,'Tracking List'!$A$5:$AL$883,N$4,FALSE)))</f>
        <v/>
      </c>
      <c r="O148" s="148" t="str">
        <f>IF($C148="","",IF(VLOOKUP($C148,'Tracking List'!$A$5:$AL$883,O$3,FALSE)&gt;0,"Y",VLOOKUP($C148,'Tracking List'!$A$5:$AL$883,O$4,FALSE)))</f>
        <v/>
      </c>
      <c r="P148" s="147" t="str">
        <f>IF($C148="","",IF(VLOOKUP($C148,'Tracking List'!$A$5:$AL$883,P$4,FALSE)&gt;0,"Y",""))</f>
        <v/>
      </c>
      <c r="Q148" s="149"/>
      <c r="R148" s="150" t="str">
        <f>IF($C148="","",VLOOKUP($C148,'Tracking List'!$A$5:$AL$883,R$4,FALSE))</f>
        <v/>
      </c>
    </row>
    <row r="149" spans="3:18">
      <c r="C149" s="146"/>
      <c r="D149" s="147" t="str">
        <f>IF($C149="","",VLOOKUP($C149,'Tracking List'!$A$5:$AL$883,D$4,FALSE))</f>
        <v/>
      </c>
      <c r="E149" s="147" t="str">
        <f>IF($C149="","",VLOOKUP($C149,'Tracking List'!$A$5:$AL$883,E$4,FALSE))</f>
        <v/>
      </c>
      <c r="F149" s="147" t="str">
        <f>IF($C149="","",VLOOKUP($C149,'Tracking List'!$A$5:$AL$883,F$4,FALSE))</f>
        <v/>
      </c>
      <c r="G149" s="147" t="str">
        <f>IF($C149="","",VLOOKUP($C149,'Tracking List'!$A$5:$AL$883,G$4,FALSE))</f>
        <v/>
      </c>
      <c r="H149" s="147" t="str">
        <f>IF($C149="","",VLOOKUP($C149,'Tracking List'!$A$5:$AL$883,H$4,FALSE))</f>
        <v/>
      </c>
      <c r="I149" s="147" t="str">
        <f>IF($C149="","",VLOOKUP($C149,'Tracking List'!$A$5:$AL$883,I$4,FALSE))</f>
        <v/>
      </c>
      <c r="J149" s="147" t="str">
        <f>IF($C149="","",VLOOKUP($C149,'Tracking List'!$A$5:$AL$883,J$4,FALSE))</f>
        <v/>
      </c>
      <c r="K149" s="147" t="str">
        <f>IF($C149="","",VLOOKUP($C149,'Tracking List'!$A$5:$AL$883,K$4,FALSE))</f>
        <v/>
      </c>
      <c r="L149" s="168" t="str">
        <f>IF($C149="","",VLOOKUP($C149,'Tracking List'!$A$5:$AL$883,L$4,FALSE))</f>
        <v/>
      </c>
      <c r="M149" s="147" t="str">
        <f>IF($C149="","",VLOOKUP($C149,'Tracking List'!$A$5:$AL$883,M$4,FALSE))</f>
        <v/>
      </c>
      <c r="N149" s="148" t="str">
        <f>IF($C149="","",IF(VLOOKUP($C149,'Tracking List'!$A$5:$AL$883,N$3,FALSE)&gt;0,"Y",VLOOKUP($C149,'Tracking List'!$A$5:$AL$883,N$4,FALSE)))</f>
        <v/>
      </c>
      <c r="O149" s="148" t="str">
        <f>IF($C149="","",IF(VLOOKUP($C149,'Tracking List'!$A$5:$AL$883,O$3,FALSE)&gt;0,"Y",VLOOKUP($C149,'Tracking List'!$A$5:$AL$883,O$4,FALSE)))</f>
        <v/>
      </c>
      <c r="P149" s="147" t="str">
        <f>IF($C149="","",IF(VLOOKUP($C149,'Tracking List'!$A$5:$AL$883,P$4,FALSE)&gt;0,"Y",""))</f>
        <v/>
      </c>
      <c r="Q149" s="149"/>
      <c r="R149" s="150" t="str">
        <f>IF($C149="","",VLOOKUP($C149,'Tracking List'!$A$5:$AL$883,R$4,FALSE))</f>
        <v/>
      </c>
    </row>
    <row r="150" spans="3:18">
      <c r="C150" s="146"/>
      <c r="D150" s="147" t="str">
        <f>IF($C150="","",VLOOKUP($C150,'Tracking List'!$A$5:$AL$883,D$4,FALSE))</f>
        <v/>
      </c>
      <c r="E150" s="147" t="str">
        <f>IF($C150="","",VLOOKUP($C150,'Tracking List'!$A$5:$AL$883,E$4,FALSE))</f>
        <v/>
      </c>
      <c r="F150" s="147" t="str">
        <f>IF($C150="","",VLOOKUP($C150,'Tracking List'!$A$5:$AL$883,F$4,FALSE))</f>
        <v/>
      </c>
      <c r="G150" s="147" t="str">
        <f>IF($C150="","",VLOOKUP($C150,'Tracking List'!$A$5:$AL$883,G$4,FALSE))</f>
        <v/>
      </c>
      <c r="H150" s="147" t="str">
        <f>IF($C150="","",VLOOKUP($C150,'Tracking List'!$A$5:$AL$883,H$4,FALSE))</f>
        <v/>
      </c>
      <c r="I150" s="147" t="str">
        <f>IF($C150="","",VLOOKUP($C150,'Tracking List'!$A$5:$AL$883,I$4,FALSE))</f>
        <v/>
      </c>
      <c r="J150" s="147" t="str">
        <f>IF($C150="","",VLOOKUP($C150,'Tracking List'!$A$5:$AL$883,J$4,FALSE))</f>
        <v/>
      </c>
      <c r="K150" s="147" t="str">
        <f>IF($C150="","",VLOOKUP($C150,'Tracking List'!$A$5:$AL$883,K$4,FALSE))</f>
        <v/>
      </c>
      <c r="L150" s="168" t="str">
        <f>IF($C150="","",VLOOKUP($C150,'Tracking List'!$A$5:$AL$883,L$4,FALSE))</f>
        <v/>
      </c>
      <c r="M150" s="147" t="str">
        <f>IF($C150="","",VLOOKUP($C150,'Tracking List'!$A$5:$AL$883,M$4,FALSE))</f>
        <v/>
      </c>
      <c r="N150" s="148" t="str">
        <f>IF($C150="","",IF(VLOOKUP($C150,'Tracking List'!$A$5:$AL$883,N$3,FALSE)&gt;0,"Y",VLOOKUP($C150,'Tracking List'!$A$5:$AL$883,N$4,FALSE)))</f>
        <v/>
      </c>
      <c r="O150" s="148" t="str">
        <f>IF($C150="","",IF(VLOOKUP($C150,'Tracking List'!$A$5:$AL$883,O$3,FALSE)&gt;0,"Y",VLOOKUP($C150,'Tracking List'!$A$5:$AL$883,O$4,FALSE)))</f>
        <v/>
      </c>
      <c r="P150" s="147" t="str">
        <f>IF($C150="","",IF(VLOOKUP($C150,'Tracking List'!$A$5:$AL$883,P$4,FALSE)&gt;0,"Y",""))</f>
        <v/>
      </c>
      <c r="Q150" s="149"/>
      <c r="R150" s="150" t="str">
        <f>IF($C150="","",VLOOKUP($C150,'Tracking List'!$A$5:$AL$883,R$4,FALSE))</f>
        <v/>
      </c>
    </row>
    <row r="151" spans="3:18">
      <c r="C151" s="146"/>
      <c r="D151" s="147" t="str">
        <f>IF($C151="","",VLOOKUP($C151,'Tracking List'!$A$5:$AL$883,D$4,FALSE))</f>
        <v/>
      </c>
      <c r="E151" s="147" t="str">
        <f>IF($C151="","",VLOOKUP($C151,'Tracking List'!$A$5:$AL$883,E$4,FALSE))</f>
        <v/>
      </c>
      <c r="F151" s="147" t="str">
        <f>IF($C151="","",VLOOKUP($C151,'Tracking List'!$A$5:$AL$883,F$4,FALSE))</f>
        <v/>
      </c>
      <c r="G151" s="147" t="str">
        <f>IF($C151="","",VLOOKUP($C151,'Tracking List'!$A$5:$AL$883,G$4,FALSE))</f>
        <v/>
      </c>
      <c r="H151" s="147" t="str">
        <f>IF($C151="","",VLOOKUP($C151,'Tracking List'!$A$5:$AL$883,H$4,FALSE))</f>
        <v/>
      </c>
      <c r="I151" s="147" t="str">
        <f>IF($C151="","",VLOOKUP($C151,'Tracking List'!$A$5:$AL$883,I$4,FALSE))</f>
        <v/>
      </c>
      <c r="J151" s="147" t="str">
        <f>IF($C151="","",VLOOKUP($C151,'Tracking List'!$A$5:$AL$883,J$4,FALSE))</f>
        <v/>
      </c>
      <c r="K151" s="147" t="str">
        <f>IF($C151="","",VLOOKUP($C151,'Tracking List'!$A$5:$AL$883,K$4,FALSE))</f>
        <v/>
      </c>
      <c r="L151" s="168" t="str">
        <f>IF($C151="","",VLOOKUP($C151,'Tracking List'!$A$5:$AL$883,L$4,FALSE))</f>
        <v/>
      </c>
      <c r="M151" s="147" t="str">
        <f>IF($C151="","",VLOOKUP($C151,'Tracking List'!$A$5:$AL$883,M$4,FALSE))</f>
        <v/>
      </c>
      <c r="N151" s="148" t="str">
        <f>IF($C151="","",IF(VLOOKUP($C151,'Tracking List'!$A$5:$AL$883,N$3,FALSE)&gt;0,"Y",VLOOKUP($C151,'Tracking List'!$A$5:$AL$883,N$4,FALSE)))</f>
        <v/>
      </c>
      <c r="O151" s="148" t="str">
        <f>IF($C151="","",IF(VLOOKUP($C151,'Tracking List'!$A$5:$AL$883,O$3,FALSE)&gt;0,"Y",VLOOKUP($C151,'Tracking List'!$A$5:$AL$883,O$4,FALSE)))</f>
        <v/>
      </c>
      <c r="P151" s="147" t="str">
        <f>IF($C151="","",IF(VLOOKUP($C151,'Tracking List'!$A$5:$AL$883,P$4,FALSE)&gt;0,"Y",""))</f>
        <v/>
      </c>
      <c r="Q151" s="149"/>
      <c r="R151" s="150" t="str">
        <f>IF($C151="","",VLOOKUP($C151,'Tracking List'!$A$5:$AL$883,R$4,FALSE))</f>
        <v/>
      </c>
    </row>
    <row r="152" spans="3:18">
      <c r="C152" s="146"/>
      <c r="D152" s="147" t="str">
        <f>IF($C152="","",VLOOKUP($C152,'Tracking List'!$A$5:$AL$883,D$4,FALSE))</f>
        <v/>
      </c>
      <c r="E152" s="147" t="str">
        <f>IF($C152="","",VLOOKUP($C152,'Tracking List'!$A$5:$AL$883,E$4,FALSE))</f>
        <v/>
      </c>
      <c r="F152" s="147" t="str">
        <f>IF($C152="","",VLOOKUP($C152,'Tracking List'!$A$5:$AL$883,F$4,FALSE))</f>
        <v/>
      </c>
      <c r="G152" s="147" t="str">
        <f>IF($C152="","",VLOOKUP($C152,'Tracking List'!$A$5:$AL$883,G$4,FALSE))</f>
        <v/>
      </c>
      <c r="H152" s="147" t="str">
        <f>IF($C152="","",VLOOKUP($C152,'Tracking List'!$A$5:$AL$883,H$4,FALSE))</f>
        <v/>
      </c>
      <c r="I152" s="147" t="str">
        <f>IF($C152="","",VLOOKUP($C152,'Tracking List'!$A$5:$AL$883,I$4,FALSE))</f>
        <v/>
      </c>
      <c r="J152" s="147" t="str">
        <f>IF($C152="","",VLOOKUP($C152,'Tracking List'!$A$5:$AL$883,J$4,FALSE))</f>
        <v/>
      </c>
      <c r="K152" s="147" t="str">
        <f>IF($C152="","",VLOOKUP($C152,'Tracking List'!$A$5:$AL$883,K$4,FALSE))</f>
        <v/>
      </c>
      <c r="L152" s="168" t="str">
        <f>IF($C152="","",VLOOKUP($C152,'Tracking List'!$A$5:$AL$883,L$4,FALSE))</f>
        <v/>
      </c>
      <c r="M152" s="147" t="str">
        <f>IF($C152="","",VLOOKUP($C152,'Tracking List'!$A$5:$AL$883,M$4,FALSE))</f>
        <v/>
      </c>
      <c r="N152" s="148" t="str">
        <f>IF($C152="","",IF(VLOOKUP($C152,'Tracking List'!$A$5:$AL$883,N$3,FALSE)&gt;0,"Y",VLOOKUP($C152,'Tracking List'!$A$5:$AL$883,N$4,FALSE)))</f>
        <v/>
      </c>
      <c r="O152" s="148" t="str">
        <f>IF($C152="","",IF(VLOOKUP($C152,'Tracking List'!$A$5:$AL$883,O$3,FALSE)&gt;0,"Y",VLOOKUP($C152,'Tracking List'!$A$5:$AL$883,O$4,FALSE)))</f>
        <v/>
      </c>
      <c r="P152" s="147" t="str">
        <f>IF($C152="","",IF(VLOOKUP($C152,'Tracking List'!$A$5:$AL$883,P$4,FALSE)&gt;0,"Y",""))</f>
        <v/>
      </c>
      <c r="Q152" s="149"/>
      <c r="R152" s="150" t="str">
        <f>IF($C152="","",VLOOKUP($C152,'Tracking List'!$A$5:$AL$883,R$4,FALSE))</f>
        <v/>
      </c>
    </row>
    <row r="153" spans="3:18">
      <c r="C153" s="146"/>
      <c r="D153" s="147" t="str">
        <f>IF($C153="","",VLOOKUP($C153,'Tracking List'!$A$5:$AL$883,D$4,FALSE))</f>
        <v/>
      </c>
      <c r="E153" s="147" t="str">
        <f>IF($C153="","",VLOOKUP($C153,'Tracking List'!$A$5:$AL$883,E$4,FALSE))</f>
        <v/>
      </c>
      <c r="F153" s="147" t="str">
        <f>IF($C153="","",VLOOKUP($C153,'Tracking List'!$A$5:$AL$883,F$4,FALSE))</f>
        <v/>
      </c>
      <c r="G153" s="147" t="str">
        <f>IF($C153="","",VLOOKUP($C153,'Tracking List'!$A$5:$AL$883,G$4,FALSE))</f>
        <v/>
      </c>
      <c r="H153" s="147" t="str">
        <f>IF($C153="","",VLOOKUP($C153,'Tracking List'!$A$5:$AL$883,H$4,FALSE))</f>
        <v/>
      </c>
      <c r="I153" s="147" t="str">
        <f>IF($C153="","",VLOOKUP($C153,'Tracking List'!$A$5:$AL$883,I$4,FALSE))</f>
        <v/>
      </c>
      <c r="J153" s="147" t="str">
        <f>IF($C153="","",VLOOKUP($C153,'Tracking List'!$A$5:$AL$883,J$4,FALSE))</f>
        <v/>
      </c>
      <c r="K153" s="147" t="str">
        <f>IF($C153="","",VLOOKUP($C153,'Tracking List'!$A$5:$AL$883,K$4,FALSE))</f>
        <v/>
      </c>
      <c r="L153" s="168" t="str">
        <f>IF($C153="","",VLOOKUP($C153,'Tracking List'!$A$5:$AL$883,L$4,FALSE))</f>
        <v/>
      </c>
      <c r="M153" s="147" t="str">
        <f>IF($C153="","",VLOOKUP($C153,'Tracking List'!$A$5:$AL$883,M$4,FALSE))</f>
        <v/>
      </c>
      <c r="N153" s="148" t="str">
        <f>IF($C153="","",IF(VLOOKUP($C153,'Tracking List'!$A$5:$AL$883,N$3,FALSE)&gt;0,"Y",VLOOKUP($C153,'Tracking List'!$A$5:$AL$883,N$4,FALSE)))</f>
        <v/>
      </c>
      <c r="O153" s="148" t="str">
        <f>IF($C153="","",IF(VLOOKUP($C153,'Tracking List'!$A$5:$AL$883,O$3,FALSE)&gt;0,"Y",VLOOKUP($C153,'Tracking List'!$A$5:$AL$883,O$4,FALSE)))</f>
        <v/>
      </c>
      <c r="P153" s="147" t="str">
        <f>IF($C153="","",IF(VLOOKUP($C153,'Tracking List'!$A$5:$AL$883,P$4,FALSE)&gt;0,"Y",""))</f>
        <v/>
      </c>
      <c r="Q153" s="149"/>
      <c r="R153" s="150" t="str">
        <f>IF($C153="","",VLOOKUP($C153,'Tracking List'!$A$5:$AL$883,R$4,FALSE))</f>
        <v/>
      </c>
    </row>
    <row r="154" spans="3:18">
      <c r="C154" s="146"/>
      <c r="D154" s="147" t="str">
        <f>IF($C154="","",VLOOKUP($C154,'Tracking List'!$A$5:$AL$883,D$4,FALSE))</f>
        <v/>
      </c>
      <c r="E154" s="147" t="str">
        <f>IF($C154="","",VLOOKUP($C154,'Tracking List'!$A$5:$AL$883,E$4,FALSE))</f>
        <v/>
      </c>
      <c r="F154" s="147" t="str">
        <f>IF($C154="","",VLOOKUP($C154,'Tracking List'!$A$5:$AL$883,F$4,FALSE))</f>
        <v/>
      </c>
      <c r="G154" s="147" t="str">
        <f>IF($C154="","",VLOOKUP($C154,'Tracking List'!$A$5:$AL$883,G$4,FALSE))</f>
        <v/>
      </c>
      <c r="H154" s="147" t="str">
        <f>IF($C154="","",VLOOKUP($C154,'Tracking List'!$A$5:$AL$883,H$4,FALSE))</f>
        <v/>
      </c>
      <c r="I154" s="147" t="str">
        <f>IF($C154="","",VLOOKUP($C154,'Tracking List'!$A$5:$AL$883,I$4,FALSE))</f>
        <v/>
      </c>
      <c r="J154" s="147" t="str">
        <f>IF($C154="","",VLOOKUP($C154,'Tracking List'!$A$5:$AL$883,J$4,FALSE))</f>
        <v/>
      </c>
      <c r="K154" s="147" t="str">
        <f>IF($C154="","",VLOOKUP($C154,'Tracking List'!$A$5:$AL$883,K$4,FALSE))</f>
        <v/>
      </c>
      <c r="L154" s="168" t="str">
        <f>IF($C154="","",VLOOKUP($C154,'Tracking List'!$A$5:$AL$883,L$4,FALSE))</f>
        <v/>
      </c>
      <c r="M154" s="147" t="str">
        <f>IF($C154="","",VLOOKUP($C154,'Tracking List'!$A$5:$AL$883,M$4,FALSE))</f>
        <v/>
      </c>
      <c r="N154" s="148" t="str">
        <f>IF($C154="","",IF(VLOOKUP($C154,'Tracking List'!$A$5:$AL$883,N$3,FALSE)&gt;0,"Y",VLOOKUP($C154,'Tracking List'!$A$5:$AL$883,N$4,FALSE)))</f>
        <v/>
      </c>
      <c r="O154" s="148" t="str">
        <f>IF($C154="","",IF(VLOOKUP($C154,'Tracking List'!$A$5:$AL$883,O$3,FALSE)&gt;0,"Y",VLOOKUP($C154,'Tracking List'!$A$5:$AL$883,O$4,FALSE)))</f>
        <v/>
      </c>
      <c r="P154" s="147" t="str">
        <f>IF($C154="","",IF(VLOOKUP($C154,'Tracking List'!$A$5:$AL$883,P$4,FALSE)&gt;0,"Y",""))</f>
        <v/>
      </c>
      <c r="Q154" s="149"/>
      <c r="R154" s="150" t="str">
        <f>IF($C154="","",VLOOKUP($C154,'Tracking List'!$A$5:$AL$883,R$4,FALSE))</f>
        <v/>
      </c>
    </row>
    <row r="155" spans="3:18">
      <c r="C155" s="146"/>
      <c r="D155" s="147" t="str">
        <f>IF($C155="","",VLOOKUP($C155,'Tracking List'!$A$5:$AL$883,D$4,FALSE))</f>
        <v/>
      </c>
      <c r="E155" s="147" t="str">
        <f>IF($C155="","",VLOOKUP($C155,'Tracking List'!$A$5:$AL$883,E$4,FALSE))</f>
        <v/>
      </c>
      <c r="F155" s="147" t="str">
        <f>IF($C155="","",VLOOKUP($C155,'Tracking List'!$A$5:$AL$883,F$4,FALSE))</f>
        <v/>
      </c>
      <c r="G155" s="147" t="str">
        <f>IF($C155="","",VLOOKUP($C155,'Tracking List'!$A$5:$AL$883,G$4,FALSE))</f>
        <v/>
      </c>
      <c r="H155" s="147" t="str">
        <f>IF($C155="","",VLOOKUP($C155,'Tracking List'!$A$5:$AL$883,H$4,FALSE))</f>
        <v/>
      </c>
      <c r="I155" s="147" t="str">
        <f>IF($C155="","",VLOOKUP($C155,'Tracking List'!$A$5:$AL$883,I$4,FALSE))</f>
        <v/>
      </c>
      <c r="J155" s="147" t="str">
        <f>IF($C155="","",VLOOKUP($C155,'Tracking List'!$A$5:$AL$883,J$4,FALSE))</f>
        <v/>
      </c>
      <c r="K155" s="147" t="str">
        <f>IF($C155="","",VLOOKUP($C155,'Tracking List'!$A$5:$AL$883,K$4,FALSE))</f>
        <v/>
      </c>
      <c r="L155" s="168" t="str">
        <f>IF($C155="","",VLOOKUP($C155,'Tracking List'!$A$5:$AL$883,L$4,FALSE))</f>
        <v/>
      </c>
      <c r="M155" s="147" t="str">
        <f>IF($C155="","",VLOOKUP($C155,'Tracking List'!$A$5:$AL$883,M$4,FALSE))</f>
        <v/>
      </c>
      <c r="N155" s="148" t="str">
        <f>IF($C155="","",IF(VLOOKUP($C155,'Tracking List'!$A$5:$AL$883,N$3,FALSE)&gt;0,"Y",VLOOKUP($C155,'Tracking List'!$A$5:$AL$883,N$4,FALSE)))</f>
        <v/>
      </c>
      <c r="O155" s="148" t="str">
        <f>IF($C155="","",IF(VLOOKUP($C155,'Tracking List'!$A$5:$AL$883,O$3,FALSE)&gt;0,"Y",VLOOKUP($C155,'Tracking List'!$A$5:$AL$883,O$4,FALSE)))</f>
        <v/>
      </c>
      <c r="P155" s="147" t="str">
        <f>IF($C155="","",IF(VLOOKUP($C155,'Tracking List'!$A$5:$AL$883,P$4,FALSE)&gt;0,"Y",""))</f>
        <v/>
      </c>
      <c r="Q155" s="149"/>
      <c r="R155" s="150" t="str">
        <f>IF($C155="","",VLOOKUP($C155,'Tracking List'!$A$5:$AL$883,R$4,FALSE))</f>
        <v/>
      </c>
    </row>
    <row r="156" spans="3:18">
      <c r="C156" s="146"/>
      <c r="D156" s="147" t="str">
        <f>IF($C156="","",VLOOKUP($C156,'Tracking List'!$A$5:$AL$883,D$4,FALSE))</f>
        <v/>
      </c>
      <c r="E156" s="147" t="str">
        <f>IF($C156="","",VLOOKUP($C156,'Tracking List'!$A$5:$AL$883,E$4,FALSE))</f>
        <v/>
      </c>
      <c r="F156" s="147" t="str">
        <f>IF($C156="","",VLOOKUP($C156,'Tracking List'!$A$5:$AL$883,F$4,FALSE))</f>
        <v/>
      </c>
      <c r="G156" s="147" t="str">
        <f>IF($C156="","",VLOOKUP($C156,'Tracking List'!$A$5:$AL$883,G$4,FALSE))</f>
        <v/>
      </c>
      <c r="H156" s="147" t="str">
        <f>IF($C156="","",VLOOKUP($C156,'Tracking List'!$A$5:$AL$883,H$4,FALSE))</f>
        <v/>
      </c>
      <c r="I156" s="147" t="str">
        <f>IF($C156="","",VLOOKUP($C156,'Tracking List'!$A$5:$AL$883,I$4,FALSE))</f>
        <v/>
      </c>
      <c r="J156" s="147" t="str">
        <f>IF($C156="","",VLOOKUP($C156,'Tracking List'!$A$5:$AL$883,J$4,FALSE))</f>
        <v/>
      </c>
      <c r="K156" s="147" t="str">
        <f>IF($C156="","",VLOOKUP($C156,'Tracking List'!$A$5:$AL$883,K$4,FALSE))</f>
        <v/>
      </c>
      <c r="L156" s="168" t="str">
        <f>IF($C156="","",VLOOKUP($C156,'Tracking List'!$A$5:$AL$883,L$4,FALSE))</f>
        <v/>
      </c>
      <c r="M156" s="147" t="str">
        <f>IF($C156="","",VLOOKUP($C156,'Tracking List'!$A$5:$AL$883,M$4,FALSE))</f>
        <v/>
      </c>
      <c r="N156" s="148" t="str">
        <f>IF($C156="","",IF(VLOOKUP($C156,'Tracking List'!$A$5:$AL$883,N$3,FALSE)&gt;0,"Y",VLOOKUP($C156,'Tracking List'!$A$5:$AL$883,N$4,FALSE)))</f>
        <v/>
      </c>
      <c r="O156" s="148" t="str">
        <f>IF($C156="","",IF(VLOOKUP($C156,'Tracking List'!$A$5:$AL$883,O$3,FALSE)&gt;0,"Y",VLOOKUP($C156,'Tracking List'!$A$5:$AL$883,O$4,FALSE)))</f>
        <v/>
      </c>
      <c r="P156" s="147" t="str">
        <f>IF($C156="","",IF(VLOOKUP($C156,'Tracking List'!$A$5:$AL$883,P$4,FALSE)&gt;0,"Y",""))</f>
        <v/>
      </c>
      <c r="Q156" s="149"/>
      <c r="R156" s="150" t="str">
        <f>IF($C156="","",VLOOKUP($C156,'Tracking List'!$A$5:$AL$883,R$4,FALSE))</f>
        <v/>
      </c>
    </row>
    <row r="157" spans="3:18">
      <c r="C157" s="146"/>
      <c r="D157" s="147" t="str">
        <f>IF($C157="","",VLOOKUP($C157,'Tracking List'!$A$5:$AL$883,D$4,FALSE))</f>
        <v/>
      </c>
      <c r="E157" s="147" t="str">
        <f>IF($C157="","",VLOOKUP($C157,'Tracking List'!$A$5:$AL$883,E$4,FALSE))</f>
        <v/>
      </c>
      <c r="F157" s="147" t="str">
        <f>IF($C157="","",VLOOKUP($C157,'Tracking List'!$A$5:$AL$883,F$4,FALSE))</f>
        <v/>
      </c>
      <c r="G157" s="147" t="str">
        <f>IF($C157="","",VLOOKUP($C157,'Tracking List'!$A$5:$AL$883,G$4,FALSE))</f>
        <v/>
      </c>
      <c r="H157" s="147" t="str">
        <f>IF($C157="","",VLOOKUP($C157,'Tracking List'!$A$5:$AL$883,H$4,FALSE))</f>
        <v/>
      </c>
      <c r="I157" s="147" t="str">
        <f>IF($C157="","",VLOOKUP($C157,'Tracking List'!$A$5:$AL$883,I$4,FALSE))</f>
        <v/>
      </c>
      <c r="J157" s="147" t="str">
        <f>IF($C157="","",VLOOKUP($C157,'Tracking List'!$A$5:$AL$883,J$4,FALSE))</f>
        <v/>
      </c>
      <c r="K157" s="147" t="str">
        <f>IF($C157="","",VLOOKUP($C157,'Tracking List'!$A$5:$AL$883,K$4,FALSE))</f>
        <v/>
      </c>
      <c r="L157" s="168" t="str">
        <f>IF($C157="","",VLOOKUP($C157,'Tracking List'!$A$5:$AL$883,L$4,FALSE))</f>
        <v/>
      </c>
      <c r="M157" s="147" t="str">
        <f>IF($C157="","",VLOOKUP($C157,'Tracking List'!$A$5:$AL$883,M$4,FALSE))</f>
        <v/>
      </c>
      <c r="N157" s="148" t="str">
        <f>IF($C157="","",IF(VLOOKUP($C157,'Tracking List'!$A$5:$AL$883,N$3,FALSE)&gt;0,"Y",VLOOKUP($C157,'Tracking List'!$A$5:$AL$883,N$4,FALSE)))</f>
        <v/>
      </c>
      <c r="O157" s="148" t="str">
        <f>IF($C157="","",IF(VLOOKUP($C157,'Tracking List'!$A$5:$AL$883,O$3,FALSE)&gt;0,"Y",VLOOKUP($C157,'Tracking List'!$A$5:$AL$883,O$4,FALSE)))</f>
        <v/>
      </c>
      <c r="P157" s="147" t="str">
        <f>IF($C157="","",IF(VLOOKUP($C157,'Tracking List'!$A$5:$AL$883,P$4,FALSE)&gt;0,"Y",""))</f>
        <v/>
      </c>
      <c r="Q157" s="149"/>
      <c r="R157" s="150" t="str">
        <f>IF($C157="","",VLOOKUP($C157,'Tracking List'!$A$5:$AL$883,R$4,FALSE))</f>
        <v/>
      </c>
    </row>
    <row r="158" spans="3:18">
      <c r="C158" s="146"/>
      <c r="D158" s="147" t="str">
        <f>IF($C158="","",VLOOKUP($C158,'Tracking List'!$A$5:$AL$883,D$4,FALSE))</f>
        <v/>
      </c>
      <c r="E158" s="147" t="str">
        <f>IF($C158="","",VLOOKUP($C158,'Tracking List'!$A$5:$AL$883,E$4,FALSE))</f>
        <v/>
      </c>
      <c r="F158" s="147" t="str">
        <f>IF($C158="","",VLOOKUP($C158,'Tracking List'!$A$5:$AL$883,F$4,FALSE))</f>
        <v/>
      </c>
      <c r="G158" s="147" t="str">
        <f>IF($C158="","",VLOOKUP($C158,'Tracking List'!$A$5:$AL$883,G$4,FALSE))</f>
        <v/>
      </c>
      <c r="H158" s="147" t="str">
        <f>IF($C158="","",VLOOKUP($C158,'Tracking List'!$A$5:$AL$883,H$4,FALSE))</f>
        <v/>
      </c>
      <c r="I158" s="147" t="str">
        <f>IF($C158="","",VLOOKUP($C158,'Tracking List'!$A$5:$AL$883,I$4,FALSE))</f>
        <v/>
      </c>
      <c r="J158" s="147" t="str">
        <f>IF($C158="","",VLOOKUP($C158,'Tracking List'!$A$5:$AL$883,J$4,FALSE))</f>
        <v/>
      </c>
      <c r="K158" s="147" t="str">
        <f>IF($C158="","",VLOOKUP($C158,'Tracking List'!$A$5:$AL$883,K$4,FALSE))</f>
        <v/>
      </c>
      <c r="L158" s="168" t="str">
        <f>IF($C158="","",VLOOKUP($C158,'Tracking List'!$A$5:$AL$883,L$4,FALSE))</f>
        <v/>
      </c>
      <c r="M158" s="147" t="str">
        <f>IF($C158="","",VLOOKUP($C158,'Tracking List'!$A$5:$AL$883,M$4,FALSE))</f>
        <v/>
      </c>
      <c r="N158" s="148" t="str">
        <f>IF($C158="","",IF(VLOOKUP($C158,'Tracking List'!$A$5:$AL$883,N$3,FALSE)&gt;0,"Y",VLOOKUP($C158,'Tracking List'!$A$5:$AL$883,N$4,FALSE)))</f>
        <v/>
      </c>
      <c r="O158" s="148" t="str">
        <f>IF($C158="","",IF(VLOOKUP($C158,'Tracking List'!$A$5:$AL$883,O$3,FALSE)&gt;0,"Y",VLOOKUP($C158,'Tracking List'!$A$5:$AL$883,O$4,FALSE)))</f>
        <v/>
      </c>
      <c r="P158" s="147" t="str">
        <f>IF($C158="","",IF(VLOOKUP($C158,'Tracking List'!$A$5:$AL$883,P$4,FALSE)&gt;0,"Y",""))</f>
        <v/>
      </c>
      <c r="Q158" s="149"/>
      <c r="R158" s="150" t="str">
        <f>IF($C158="","",VLOOKUP($C158,'Tracking List'!$A$5:$AL$883,R$4,FALSE))</f>
        <v/>
      </c>
    </row>
    <row r="159" spans="3:18">
      <c r="C159" s="146"/>
      <c r="D159" s="147" t="str">
        <f>IF($C159="","",VLOOKUP($C159,'Tracking List'!$A$5:$AL$883,D$4,FALSE))</f>
        <v/>
      </c>
      <c r="E159" s="147" t="str">
        <f>IF($C159="","",VLOOKUP($C159,'Tracking List'!$A$5:$AL$883,E$4,FALSE))</f>
        <v/>
      </c>
      <c r="F159" s="147" t="str">
        <f>IF($C159="","",VLOOKUP($C159,'Tracking List'!$A$5:$AL$883,F$4,FALSE))</f>
        <v/>
      </c>
      <c r="G159" s="147" t="str">
        <f>IF($C159="","",VLOOKUP($C159,'Tracking List'!$A$5:$AL$883,G$4,FALSE))</f>
        <v/>
      </c>
      <c r="H159" s="147" t="str">
        <f>IF($C159="","",VLOOKUP($C159,'Tracking List'!$A$5:$AL$883,H$4,FALSE))</f>
        <v/>
      </c>
      <c r="I159" s="147" t="str">
        <f>IF($C159="","",VLOOKUP($C159,'Tracking List'!$A$5:$AL$883,I$4,FALSE))</f>
        <v/>
      </c>
      <c r="J159" s="147" t="str">
        <f>IF($C159="","",VLOOKUP($C159,'Tracking List'!$A$5:$AL$883,J$4,FALSE))</f>
        <v/>
      </c>
      <c r="K159" s="147" t="str">
        <f>IF($C159="","",VLOOKUP($C159,'Tracking List'!$A$5:$AL$883,K$4,FALSE))</f>
        <v/>
      </c>
      <c r="L159" s="168" t="str">
        <f>IF($C159="","",VLOOKUP($C159,'Tracking List'!$A$5:$AL$883,L$4,FALSE))</f>
        <v/>
      </c>
      <c r="M159" s="147" t="str">
        <f>IF($C159="","",VLOOKUP($C159,'Tracking List'!$A$5:$AL$883,M$4,FALSE))</f>
        <v/>
      </c>
      <c r="N159" s="148" t="str">
        <f>IF($C159="","",IF(VLOOKUP($C159,'Tracking List'!$A$5:$AL$883,N$3,FALSE)&gt;0,"Y",VLOOKUP($C159,'Tracking List'!$A$5:$AL$883,N$4,FALSE)))</f>
        <v/>
      </c>
      <c r="O159" s="148" t="str">
        <f>IF($C159="","",IF(VLOOKUP($C159,'Tracking List'!$A$5:$AL$883,O$3,FALSE)&gt;0,"Y",VLOOKUP($C159,'Tracking List'!$A$5:$AL$883,O$4,FALSE)))</f>
        <v/>
      </c>
      <c r="P159" s="147" t="str">
        <f>IF($C159="","",IF(VLOOKUP($C159,'Tracking List'!$A$5:$AL$883,P$4,FALSE)&gt;0,"Y",""))</f>
        <v/>
      </c>
      <c r="Q159" s="149"/>
      <c r="R159" s="150" t="str">
        <f>IF($C159="","",VLOOKUP($C159,'Tracking List'!$A$5:$AL$883,R$4,FALSE))</f>
        <v/>
      </c>
    </row>
    <row r="160" spans="3:18">
      <c r="C160" s="146"/>
      <c r="D160" s="147" t="str">
        <f>IF($C160="","",VLOOKUP($C160,'Tracking List'!$A$5:$AL$883,D$4,FALSE))</f>
        <v/>
      </c>
      <c r="E160" s="147" t="str">
        <f>IF($C160="","",VLOOKUP($C160,'Tracking List'!$A$5:$AL$883,E$4,FALSE))</f>
        <v/>
      </c>
      <c r="F160" s="147" t="str">
        <f>IF($C160="","",VLOOKUP($C160,'Tracking List'!$A$5:$AL$883,F$4,FALSE))</f>
        <v/>
      </c>
      <c r="G160" s="147" t="str">
        <f>IF($C160="","",VLOOKUP($C160,'Tracking List'!$A$5:$AL$883,G$4,FALSE))</f>
        <v/>
      </c>
      <c r="H160" s="147" t="str">
        <f>IF($C160="","",VLOOKUP($C160,'Tracking List'!$A$5:$AL$883,H$4,FALSE))</f>
        <v/>
      </c>
      <c r="I160" s="147" t="str">
        <f>IF($C160="","",VLOOKUP($C160,'Tracking List'!$A$5:$AL$883,I$4,FALSE))</f>
        <v/>
      </c>
      <c r="J160" s="147" t="str">
        <f>IF($C160="","",VLOOKUP($C160,'Tracking List'!$A$5:$AL$883,J$4,FALSE))</f>
        <v/>
      </c>
      <c r="K160" s="147" t="str">
        <f>IF($C160="","",VLOOKUP($C160,'Tracking List'!$A$5:$AL$883,K$4,FALSE))</f>
        <v/>
      </c>
      <c r="L160" s="168" t="str">
        <f>IF($C160="","",VLOOKUP($C160,'Tracking List'!$A$5:$AL$883,L$4,FALSE))</f>
        <v/>
      </c>
      <c r="M160" s="147" t="str">
        <f>IF($C160="","",VLOOKUP($C160,'Tracking List'!$A$5:$AL$883,M$4,FALSE))</f>
        <v/>
      </c>
      <c r="N160" s="148" t="str">
        <f>IF($C160="","",IF(VLOOKUP($C160,'Tracking List'!$A$5:$AL$883,N$3,FALSE)&gt;0,"Y",VLOOKUP($C160,'Tracking List'!$A$5:$AL$883,N$4,FALSE)))</f>
        <v/>
      </c>
      <c r="O160" s="148" t="str">
        <f>IF($C160="","",IF(VLOOKUP($C160,'Tracking List'!$A$5:$AL$883,O$3,FALSE)&gt;0,"Y",VLOOKUP($C160,'Tracking List'!$A$5:$AL$883,O$4,FALSE)))</f>
        <v/>
      </c>
      <c r="P160" s="147" t="str">
        <f>IF($C160="","",IF(VLOOKUP($C160,'Tracking List'!$A$5:$AL$883,P$4,FALSE)&gt;0,"Y",""))</f>
        <v/>
      </c>
      <c r="Q160" s="149"/>
      <c r="R160" s="150" t="str">
        <f>IF($C160="","",VLOOKUP($C160,'Tracking List'!$A$5:$AL$883,R$4,FALSE))</f>
        <v/>
      </c>
    </row>
    <row r="161" spans="3:18">
      <c r="C161" s="146"/>
      <c r="D161" s="147" t="str">
        <f>IF($C161="","",VLOOKUP($C161,'Tracking List'!$A$5:$AL$883,D$4,FALSE))</f>
        <v/>
      </c>
      <c r="E161" s="147" t="str">
        <f>IF($C161="","",VLOOKUP($C161,'Tracking List'!$A$5:$AL$883,E$4,FALSE))</f>
        <v/>
      </c>
      <c r="F161" s="147" t="str">
        <f>IF($C161="","",VLOOKUP($C161,'Tracking List'!$A$5:$AL$883,F$4,FALSE))</f>
        <v/>
      </c>
      <c r="G161" s="147" t="str">
        <f>IF($C161="","",VLOOKUP($C161,'Tracking List'!$A$5:$AL$883,G$4,FALSE))</f>
        <v/>
      </c>
      <c r="H161" s="147" t="str">
        <f>IF($C161="","",VLOOKUP($C161,'Tracking List'!$A$5:$AL$883,H$4,FALSE))</f>
        <v/>
      </c>
      <c r="I161" s="147" t="str">
        <f>IF($C161="","",VLOOKUP($C161,'Tracking List'!$A$5:$AL$883,I$4,FALSE))</f>
        <v/>
      </c>
      <c r="J161" s="147" t="str">
        <f>IF($C161="","",VLOOKUP($C161,'Tracking List'!$A$5:$AL$883,J$4,FALSE))</f>
        <v/>
      </c>
      <c r="K161" s="147" t="str">
        <f>IF($C161="","",VLOOKUP($C161,'Tracking List'!$A$5:$AL$883,K$4,FALSE))</f>
        <v/>
      </c>
      <c r="L161" s="168" t="str">
        <f>IF($C161="","",VLOOKUP($C161,'Tracking List'!$A$5:$AL$883,L$4,FALSE))</f>
        <v/>
      </c>
      <c r="M161" s="147" t="str">
        <f>IF($C161="","",VLOOKUP($C161,'Tracking List'!$A$5:$AL$883,M$4,FALSE))</f>
        <v/>
      </c>
      <c r="N161" s="148" t="str">
        <f>IF($C161="","",IF(VLOOKUP($C161,'Tracking List'!$A$5:$AL$883,N$3,FALSE)&gt;0,"Y",VLOOKUP($C161,'Tracking List'!$A$5:$AL$883,N$4,FALSE)))</f>
        <v/>
      </c>
      <c r="O161" s="148" t="str">
        <f>IF($C161="","",IF(VLOOKUP($C161,'Tracking List'!$A$5:$AL$883,O$3,FALSE)&gt;0,"Y",VLOOKUP($C161,'Tracking List'!$A$5:$AL$883,O$4,FALSE)))</f>
        <v/>
      </c>
      <c r="P161" s="147" t="str">
        <f>IF($C161="","",IF(VLOOKUP($C161,'Tracking List'!$A$5:$AL$883,P$4,FALSE)&gt;0,"Y",""))</f>
        <v/>
      </c>
      <c r="Q161" s="149"/>
      <c r="R161" s="150" t="str">
        <f>IF($C161="","",VLOOKUP($C161,'Tracking List'!$A$5:$AL$883,R$4,FALSE))</f>
        <v/>
      </c>
    </row>
    <row r="162" spans="3:18">
      <c r="C162" s="146"/>
      <c r="D162" s="147" t="str">
        <f>IF($C162="","",VLOOKUP($C162,'Tracking List'!$A$5:$AL$883,D$4,FALSE))</f>
        <v/>
      </c>
      <c r="E162" s="147" t="str">
        <f>IF($C162="","",VLOOKUP($C162,'Tracking List'!$A$5:$AL$883,E$4,FALSE))</f>
        <v/>
      </c>
      <c r="F162" s="147" t="str">
        <f>IF($C162="","",VLOOKUP($C162,'Tracking List'!$A$5:$AL$883,F$4,FALSE))</f>
        <v/>
      </c>
      <c r="G162" s="147" t="str">
        <f>IF($C162="","",VLOOKUP($C162,'Tracking List'!$A$5:$AL$883,G$4,FALSE))</f>
        <v/>
      </c>
      <c r="H162" s="147" t="str">
        <f>IF($C162="","",VLOOKUP($C162,'Tracking List'!$A$5:$AL$883,H$4,FALSE))</f>
        <v/>
      </c>
      <c r="I162" s="147" t="str">
        <f>IF($C162="","",VLOOKUP($C162,'Tracking List'!$A$5:$AL$883,I$4,FALSE))</f>
        <v/>
      </c>
      <c r="J162" s="147" t="str">
        <f>IF($C162="","",VLOOKUP($C162,'Tracking List'!$A$5:$AL$883,J$4,FALSE))</f>
        <v/>
      </c>
      <c r="K162" s="147" t="str">
        <f>IF($C162="","",VLOOKUP($C162,'Tracking List'!$A$5:$AL$883,K$4,FALSE))</f>
        <v/>
      </c>
      <c r="L162" s="168" t="str">
        <f>IF($C162="","",VLOOKUP($C162,'Tracking List'!$A$5:$AL$883,L$4,FALSE))</f>
        <v/>
      </c>
      <c r="M162" s="147" t="str">
        <f>IF($C162="","",VLOOKUP($C162,'Tracking List'!$A$5:$AL$883,M$4,FALSE))</f>
        <v/>
      </c>
      <c r="N162" s="148" t="str">
        <f>IF($C162="","",IF(VLOOKUP($C162,'Tracking List'!$A$5:$AL$883,N$3,FALSE)&gt;0,"Y",VLOOKUP($C162,'Tracking List'!$A$5:$AL$883,N$4,FALSE)))</f>
        <v/>
      </c>
      <c r="O162" s="148" t="str">
        <f>IF($C162="","",IF(VLOOKUP($C162,'Tracking List'!$A$5:$AL$883,O$3,FALSE)&gt;0,"Y",VLOOKUP($C162,'Tracking List'!$A$5:$AL$883,O$4,FALSE)))</f>
        <v/>
      </c>
      <c r="P162" s="147" t="str">
        <f>IF($C162="","",IF(VLOOKUP($C162,'Tracking List'!$A$5:$AL$883,P$4,FALSE)&gt;0,"Y",""))</f>
        <v/>
      </c>
      <c r="Q162" s="149"/>
      <c r="R162" s="150" t="str">
        <f>IF($C162="","",VLOOKUP($C162,'Tracking List'!$A$5:$AL$883,R$4,FALSE))</f>
        <v/>
      </c>
    </row>
    <row r="163" spans="3:18">
      <c r="C163" s="146"/>
      <c r="D163" s="147" t="str">
        <f>IF($C163="","",VLOOKUP($C163,'Tracking List'!$A$5:$AL$883,D$4,FALSE))</f>
        <v/>
      </c>
      <c r="E163" s="147" t="str">
        <f>IF($C163="","",VLOOKUP($C163,'Tracking List'!$A$5:$AL$883,E$4,FALSE))</f>
        <v/>
      </c>
      <c r="F163" s="147" t="str">
        <f>IF($C163="","",VLOOKUP($C163,'Tracking List'!$A$5:$AL$883,F$4,FALSE))</f>
        <v/>
      </c>
      <c r="G163" s="147" t="str">
        <f>IF($C163="","",VLOOKUP($C163,'Tracking List'!$A$5:$AL$883,G$4,FALSE))</f>
        <v/>
      </c>
      <c r="H163" s="147" t="str">
        <f>IF($C163="","",VLOOKUP($C163,'Tracking List'!$A$5:$AL$883,H$4,FALSE))</f>
        <v/>
      </c>
      <c r="I163" s="147" t="str">
        <f>IF($C163="","",VLOOKUP($C163,'Tracking List'!$A$5:$AL$883,I$4,FALSE))</f>
        <v/>
      </c>
      <c r="J163" s="147" t="str">
        <f>IF($C163="","",VLOOKUP($C163,'Tracking List'!$A$5:$AL$883,J$4,FALSE))</f>
        <v/>
      </c>
      <c r="K163" s="147" t="str">
        <f>IF($C163="","",VLOOKUP($C163,'Tracking List'!$A$5:$AL$883,K$4,FALSE))</f>
        <v/>
      </c>
      <c r="L163" s="168" t="str">
        <f>IF($C163="","",VLOOKUP($C163,'Tracking List'!$A$5:$AL$883,L$4,FALSE))</f>
        <v/>
      </c>
      <c r="M163" s="147" t="str">
        <f>IF($C163="","",VLOOKUP($C163,'Tracking List'!$A$5:$AL$883,M$4,FALSE))</f>
        <v/>
      </c>
      <c r="N163" s="148" t="str">
        <f>IF($C163="","",IF(VLOOKUP($C163,'Tracking List'!$A$5:$AL$883,N$3,FALSE)&gt;0,"Y",VLOOKUP($C163,'Tracking List'!$A$5:$AL$883,N$4,FALSE)))</f>
        <v/>
      </c>
      <c r="O163" s="148" t="str">
        <f>IF($C163="","",IF(VLOOKUP($C163,'Tracking List'!$A$5:$AL$883,O$3,FALSE)&gt;0,"Y",VLOOKUP($C163,'Tracking List'!$A$5:$AL$883,O$4,FALSE)))</f>
        <v/>
      </c>
      <c r="P163" s="147" t="str">
        <f>IF($C163="","",IF(VLOOKUP($C163,'Tracking List'!$A$5:$AL$883,P$4,FALSE)&gt;0,"Y",""))</f>
        <v/>
      </c>
      <c r="Q163" s="149"/>
      <c r="R163" s="150" t="str">
        <f>IF($C163="","",VLOOKUP($C163,'Tracking List'!$A$5:$AL$883,R$4,FALSE))</f>
        <v/>
      </c>
    </row>
    <row r="164" spans="3:18">
      <c r="C164" s="146"/>
      <c r="D164" s="147" t="str">
        <f>IF($C164="","",VLOOKUP($C164,'Tracking List'!$A$5:$AL$883,D$4,FALSE))</f>
        <v/>
      </c>
      <c r="E164" s="147" t="str">
        <f>IF($C164="","",VLOOKUP($C164,'Tracking List'!$A$5:$AL$883,E$4,FALSE))</f>
        <v/>
      </c>
      <c r="F164" s="147" t="str">
        <f>IF($C164="","",VLOOKUP($C164,'Tracking List'!$A$5:$AL$883,F$4,FALSE))</f>
        <v/>
      </c>
      <c r="G164" s="147" t="str">
        <f>IF($C164="","",VLOOKUP($C164,'Tracking List'!$A$5:$AL$883,G$4,FALSE))</f>
        <v/>
      </c>
      <c r="H164" s="147" t="str">
        <f>IF($C164="","",VLOOKUP($C164,'Tracking List'!$A$5:$AL$883,H$4,FALSE))</f>
        <v/>
      </c>
      <c r="I164" s="147" t="str">
        <f>IF($C164="","",VLOOKUP($C164,'Tracking List'!$A$5:$AL$883,I$4,FALSE))</f>
        <v/>
      </c>
      <c r="J164" s="147" t="str">
        <f>IF($C164="","",VLOOKUP($C164,'Tracking List'!$A$5:$AL$883,J$4,FALSE))</f>
        <v/>
      </c>
      <c r="K164" s="147" t="str">
        <f>IF($C164="","",VLOOKUP($C164,'Tracking List'!$A$5:$AL$883,K$4,FALSE))</f>
        <v/>
      </c>
      <c r="L164" s="168" t="str">
        <f>IF($C164="","",VLOOKUP($C164,'Tracking List'!$A$5:$AL$883,L$4,FALSE))</f>
        <v/>
      </c>
      <c r="M164" s="147" t="str">
        <f>IF($C164="","",VLOOKUP($C164,'Tracking List'!$A$5:$AL$883,M$4,FALSE))</f>
        <v/>
      </c>
      <c r="N164" s="148" t="str">
        <f>IF($C164="","",IF(VLOOKUP($C164,'Tracking List'!$A$5:$AL$883,N$3,FALSE)&gt;0,"Y",VLOOKUP($C164,'Tracking List'!$A$5:$AL$883,N$4,FALSE)))</f>
        <v/>
      </c>
      <c r="O164" s="148" t="str">
        <f>IF($C164="","",IF(VLOOKUP($C164,'Tracking List'!$A$5:$AL$883,O$3,FALSE)&gt;0,"Y",VLOOKUP($C164,'Tracking List'!$A$5:$AL$883,O$4,FALSE)))</f>
        <v/>
      </c>
      <c r="P164" s="147" t="str">
        <f>IF($C164="","",IF(VLOOKUP($C164,'Tracking List'!$A$5:$AL$883,P$4,FALSE)&gt;0,"Y",""))</f>
        <v/>
      </c>
      <c r="Q164" s="149"/>
      <c r="R164" s="150" t="str">
        <f>IF($C164="","",VLOOKUP($C164,'Tracking List'!$A$5:$AL$883,R$4,FALSE))</f>
        <v/>
      </c>
    </row>
    <row r="165" spans="3:18">
      <c r="C165" s="146"/>
      <c r="D165" s="147" t="str">
        <f>IF($C165="","",VLOOKUP($C165,'Tracking List'!$A$5:$AL$883,D$4,FALSE))</f>
        <v/>
      </c>
      <c r="E165" s="147" t="str">
        <f>IF($C165="","",VLOOKUP($C165,'Tracking List'!$A$5:$AL$883,E$4,FALSE))</f>
        <v/>
      </c>
      <c r="F165" s="147" t="str">
        <f>IF($C165="","",VLOOKUP($C165,'Tracking List'!$A$5:$AL$883,F$4,FALSE))</f>
        <v/>
      </c>
      <c r="G165" s="147" t="str">
        <f>IF($C165="","",VLOOKUP($C165,'Tracking List'!$A$5:$AL$883,G$4,FALSE))</f>
        <v/>
      </c>
      <c r="H165" s="147" t="str">
        <f>IF($C165="","",VLOOKUP($C165,'Tracking List'!$A$5:$AL$883,H$4,FALSE))</f>
        <v/>
      </c>
      <c r="I165" s="147" t="str">
        <f>IF($C165="","",VLOOKUP($C165,'Tracking List'!$A$5:$AL$883,I$4,FALSE))</f>
        <v/>
      </c>
      <c r="J165" s="147" t="str">
        <f>IF($C165="","",VLOOKUP($C165,'Tracking List'!$A$5:$AL$883,J$4,FALSE))</f>
        <v/>
      </c>
      <c r="K165" s="147" t="str">
        <f>IF($C165="","",VLOOKUP($C165,'Tracking List'!$A$5:$AL$883,K$4,FALSE))</f>
        <v/>
      </c>
      <c r="L165" s="168" t="str">
        <f>IF($C165="","",VLOOKUP($C165,'Tracking List'!$A$5:$AL$883,L$4,FALSE))</f>
        <v/>
      </c>
      <c r="M165" s="147" t="str">
        <f>IF($C165="","",VLOOKUP($C165,'Tracking List'!$A$5:$AL$883,M$4,FALSE))</f>
        <v/>
      </c>
      <c r="N165" s="148" t="str">
        <f>IF($C165="","",IF(VLOOKUP($C165,'Tracking List'!$A$5:$AL$883,N$3,FALSE)&gt;0,"Y",VLOOKUP($C165,'Tracking List'!$A$5:$AL$883,N$4,FALSE)))</f>
        <v/>
      </c>
      <c r="O165" s="148" t="str">
        <f>IF($C165="","",IF(VLOOKUP($C165,'Tracking List'!$A$5:$AL$883,O$3,FALSE)&gt;0,"Y",VLOOKUP($C165,'Tracking List'!$A$5:$AL$883,O$4,FALSE)))</f>
        <v/>
      </c>
      <c r="P165" s="147" t="str">
        <f>IF($C165="","",IF(VLOOKUP($C165,'Tracking List'!$A$5:$AL$883,P$4,FALSE)&gt;0,"Y",""))</f>
        <v/>
      </c>
      <c r="Q165" s="149"/>
      <c r="R165" s="150" t="str">
        <f>IF($C165="","",VLOOKUP($C165,'Tracking List'!$A$5:$AL$883,R$4,FALSE))</f>
        <v/>
      </c>
    </row>
    <row r="166" spans="3:18">
      <c r="C166" s="146"/>
      <c r="D166" s="147" t="str">
        <f>IF($C166="","",VLOOKUP($C166,'Tracking List'!$A$5:$AL$883,D$4,FALSE))</f>
        <v/>
      </c>
      <c r="E166" s="147" t="str">
        <f>IF($C166="","",VLOOKUP($C166,'Tracking List'!$A$5:$AL$883,E$4,FALSE))</f>
        <v/>
      </c>
      <c r="F166" s="147" t="str">
        <f>IF($C166="","",VLOOKUP($C166,'Tracking List'!$A$5:$AL$883,F$4,FALSE))</f>
        <v/>
      </c>
      <c r="G166" s="147" t="str">
        <f>IF($C166="","",VLOOKUP($C166,'Tracking List'!$A$5:$AL$883,G$4,FALSE))</f>
        <v/>
      </c>
      <c r="H166" s="147" t="str">
        <f>IF($C166="","",VLOOKUP($C166,'Tracking List'!$A$5:$AL$883,H$4,FALSE))</f>
        <v/>
      </c>
      <c r="I166" s="147" t="str">
        <f>IF($C166="","",VLOOKUP($C166,'Tracking List'!$A$5:$AL$883,I$4,FALSE))</f>
        <v/>
      </c>
      <c r="J166" s="147" t="str">
        <f>IF($C166="","",VLOOKUP($C166,'Tracking List'!$A$5:$AL$883,J$4,FALSE))</f>
        <v/>
      </c>
      <c r="K166" s="147" t="str">
        <f>IF($C166="","",VLOOKUP($C166,'Tracking List'!$A$5:$AL$883,K$4,FALSE))</f>
        <v/>
      </c>
      <c r="L166" s="168" t="str">
        <f>IF($C166="","",VLOOKUP($C166,'Tracking List'!$A$5:$AL$883,L$4,FALSE))</f>
        <v/>
      </c>
      <c r="M166" s="147" t="str">
        <f>IF($C166="","",VLOOKUP($C166,'Tracking List'!$A$5:$AL$883,M$4,FALSE))</f>
        <v/>
      </c>
      <c r="N166" s="148" t="str">
        <f>IF($C166="","",IF(VLOOKUP($C166,'Tracking List'!$A$5:$AL$883,N$3,FALSE)&gt;0,"Y",VLOOKUP($C166,'Tracking List'!$A$5:$AL$883,N$4,FALSE)))</f>
        <v/>
      </c>
      <c r="O166" s="148" t="str">
        <f>IF($C166="","",IF(VLOOKUP($C166,'Tracking List'!$A$5:$AL$883,O$3,FALSE)&gt;0,"Y",VLOOKUP($C166,'Tracking List'!$A$5:$AL$883,O$4,FALSE)))</f>
        <v/>
      </c>
      <c r="P166" s="147" t="str">
        <f>IF($C166="","",IF(VLOOKUP($C166,'Tracking List'!$A$5:$AL$883,P$4,FALSE)&gt;0,"Y",""))</f>
        <v/>
      </c>
      <c r="Q166" s="149"/>
      <c r="R166" s="150" t="str">
        <f>IF($C166="","",VLOOKUP($C166,'Tracking List'!$A$5:$AL$883,R$4,FALSE))</f>
        <v/>
      </c>
    </row>
    <row r="167" spans="3:18">
      <c r="C167" s="146"/>
      <c r="D167" s="147" t="str">
        <f>IF($C167="","",VLOOKUP($C167,'Tracking List'!$A$5:$AL$883,D$4,FALSE))</f>
        <v/>
      </c>
      <c r="E167" s="147" t="str">
        <f>IF($C167="","",VLOOKUP($C167,'Tracking List'!$A$5:$AL$883,E$4,FALSE))</f>
        <v/>
      </c>
      <c r="F167" s="147" t="str">
        <f>IF($C167="","",VLOOKUP($C167,'Tracking List'!$A$5:$AL$883,F$4,FALSE))</f>
        <v/>
      </c>
      <c r="G167" s="147" t="str">
        <f>IF($C167="","",VLOOKUP($C167,'Tracking List'!$A$5:$AL$883,G$4,FALSE))</f>
        <v/>
      </c>
      <c r="H167" s="147" t="str">
        <f>IF($C167="","",VLOOKUP($C167,'Tracking List'!$A$5:$AL$883,H$4,FALSE))</f>
        <v/>
      </c>
      <c r="I167" s="147" t="str">
        <f>IF($C167="","",VLOOKUP($C167,'Tracking List'!$A$5:$AL$883,I$4,FALSE))</f>
        <v/>
      </c>
      <c r="J167" s="147" t="str">
        <f>IF($C167="","",VLOOKUP($C167,'Tracking List'!$A$5:$AL$883,J$4,FALSE))</f>
        <v/>
      </c>
      <c r="K167" s="147" t="str">
        <f>IF($C167="","",VLOOKUP($C167,'Tracking List'!$A$5:$AL$883,K$4,FALSE))</f>
        <v/>
      </c>
      <c r="L167" s="168" t="str">
        <f>IF($C167="","",VLOOKUP($C167,'Tracking List'!$A$5:$AL$883,L$4,FALSE))</f>
        <v/>
      </c>
      <c r="M167" s="147" t="str">
        <f>IF($C167="","",VLOOKUP($C167,'Tracking List'!$A$5:$AL$883,M$4,FALSE))</f>
        <v/>
      </c>
      <c r="N167" s="148" t="str">
        <f>IF($C167="","",IF(VLOOKUP($C167,'Tracking List'!$A$5:$AL$883,N$3,FALSE)&gt;0,"Y",VLOOKUP($C167,'Tracking List'!$A$5:$AL$883,N$4,FALSE)))</f>
        <v/>
      </c>
      <c r="O167" s="148" t="str">
        <f>IF($C167="","",IF(VLOOKUP($C167,'Tracking List'!$A$5:$AL$883,O$3,FALSE)&gt;0,"Y",VLOOKUP($C167,'Tracking List'!$A$5:$AL$883,O$4,FALSE)))</f>
        <v/>
      </c>
      <c r="P167" s="147" t="str">
        <f>IF($C167="","",IF(VLOOKUP($C167,'Tracking List'!$A$5:$AL$883,P$4,FALSE)&gt;0,"Y",""))</f>
        <v/>
      </c>
      <c r="Q167" s="149"/>
      <c r="R167" s="150" t="str">
        <f>IF($C167="","",VLOOKUP($C167,'Tracking List'!$A$5:$AL$883,R$4,FALSE))</f>
        <v/>
      </c>
    </row>
    <row r="168" spans="3:18">
      <c r="C168" s="146"/>
      <c r="D168" s="147" t="str">
        <f>IF($C168="","",VLOOKUP($C168,'Tracking List'!$A$5:$AL$883,D$4,FALSE))</f>
        <v/>
      </c>
      <c r="E168" s="147" t="str">
        <f>IF($C168="","",VLOOKUP($C168,'Tracking List'!$A$5:$AL$883,E$4,FALSE))</f>
        <v/>
      </c>
      <c r="F168" s="147" t="str">
        <f>IF($C168="","",VLOOKUP($C168,'Tracking List'!$A$5:$AL$883,F$4,FALSE))</f>
        <v/>
      </c>
      <c r="G168" s="147" t="str">
        <f>IF($C168="","",VLOOKUP($C168,'Tracking List'!$A$5:$AL$883,G$4,FALSE))</f>
        <v/>
      </c>
      <c r="H168" s="147" t="str">
        <f>IF($C168="","",VLOOKUP($C168,'Tracking List'!$A$5:$AL$883,H$4,FALSE))</f>
        <v/>
      </c>
      <c r="I168" s="147" t="str">
        <f>IF($C168="","",VLOOKUP($C168,'Tracking List'!$A$5:$AL$883,I$4,FALSE))</f>
        <v/>
      </c>
      <c r="J168" s="147" t="str">
        <f>IF($C168="","",VLOOKUP($C168,'Tracking List'!$A$5:$AL$883,J$4,FALSE))</f>
        <v/>
      </c>
      <c r="K168" s="147" t="str">
        <f>IF($C168="","",VLOOKUP($C168,'Tracking List'!$A$5:$AL$883,K$4,FALSE))</f>
        <v/>
      </c>
      <c r="L168" s="168" t="str">
        <f>IF($C168="","",VLOOKUP($C168,'Tracking List'!$A$5:$AL$883,L$4,FALSE))</f>
        <v/>
      </c>
      <c r="M168" s="147" t="str">
        <f>IF($C168="","",VLOOKUP($C168,'Tracking List'!$A$5:$AL$883,M$4,FALSE))</f>
        <v/>
      </c>
      <c r="N168" s="148" t="str">
        <f>IF($C168="","",IF(VLOOKUP($C168,'Tracking List'!$A$5:$AL$883,N$3,FALSE)&gt;0,"Y",VLOOKUP($C168,'Tracking List'!$A$5:$AL$883,N$4,FALSE)))</f>
        <v/>
      </c>
      <c r="O168" s="148" t="str">
        <f>IF($C168="","",IF(VLOOKUP($C168,'Tracking List'!$A$5:$AL$883,O$3,FALSE)&gt;0,"Y",VLOOKUP($C168,'Tracking List'!$A$5:$AL$883,O$4,FALSE)))</f>
        <v/>
      </c>
      <c r="P168" s="147" t="str">
        <f>IF($C168="","",IF(VLOOKUP($C168,'Tracking List'!$A$5:$AL$883,P$4,FALSE)&gt;0,"Y",""))</f>
        <v/>
      </c>
      <c r="Q168" s="149"/>
      <c r="R168" s="150" t="str">
        <f>IF($C168="","",VLOOKUP($C168,'Tracking List'!$A$5:$AL$883,R$4,FALSE))</f>
        <v/>
      </c>
    </row>
    <row r="169" spans="3:18">
      <c r="C169" s="146"/>
      <c r="D169" s="147" t="str">
        <f>IF($C169="","",VLOOKUP($C169,'Tracking List'!$A$5:$AL$883,D$4,FALSE))</f>
        <v/>
      </c>
      <c r="E169" s="147" t="str">
        <f>IF($C169="","",VLOOKUP($C169,'Tracking List'!$A$5:$AL$883,E$4,FALSE))</f>
        <v/>
      </c>
      <c r="F169" s="147" t="str">
        <f>IF($C169="","",VLOOKUP($C169,'Tracking List'!$A$5:$AL$883,F$4,FALSE))</f>
        <v/>
      </c>
      <c r="G169" s="147" t="str">
        <f>IF($C169="","",VLOOKUP($C169,'Tracking List'!$A$5:$AL$883,G$4,FALSE))</f>
        <v/>
      </c>
      <c r="H169" s="147" t="str">
        <f>IF($C169="","",VLOOKUP($C169,'Tracking List'!$A$5:$AL$883,H$4,FALSE))</f>
        <v/>
      </c>
      <c r="I169" s="147" t="str">
        <f>IF($C169="","",VLOOKUP($C169,'Tracking List'!$A$5:$AL$883,I$4,FALSE))</f>
        <v/>
      </c>
      <c r="J169" s="147" t="str">
        <f>IF($C169="","",VLOOKUP($C169,'Tracking List'!$A$5:$AL$883,J$4,FALSE))</f>
        <v/>
      </c>
      <c r="K169" s="147" t="str">
        <f>IF($C169="","",VLOOKUP($C169,'Tracking List'!$A$5:$AL$883,K$4,FALSE))</f>
        <v/>
      </c>
      <c r="L169" s="168" t="str">
        <f>IF($C169="","",VLOOKUP($C169,'Tracking List'!$A$5:$AL$883,L$4,FALSE))</f>
        <v/>
      </c>
      <c r="M169" s="147" t="str">
        <f>IF($C169="","",VLOOKUP($C169,'Tracking List'!$A$5:$AL$883,M$4,FALSE))</f>
        <v/>
      </c>
      <c r="N169" s="148" t="str">
        <f>IF($C169="","",IF(VLOOKUP($C169,'Tracking List'!$A$5:$AL$883,N$3,FALSE)&gt;0,"Y",VLOOKUP($C169,'Tracking List'!$A$5:$AL$883,N$4,FALSE)))</f>
        <v/>
      </c>
      <c r="O169" s="148" t="str">
        <f>IF($C169="","",IF(VLOOKUP($C169,'Tracking List'!$A$5:$AL$883,O$3,FALSE)&gt;0,"Y",VLOOKUP($C169,'Tracking List'!$A$5:$AL$883,O$4,FALSE)))</f>
        <v/>
      </c>
      <c r="P169" s="147" t="str">
        <f>IF($C169="","",IF(VLOOKUP($C169,'Tracking List'!$A$5:$AL$883,P$4,FALSE)&gt;0,"Y",""))</f>
        <v/>
      </c>
      <c r="Q169" s="149"/>
      <c r="R169" s="150" t="str">
        <f>IF($C169="","",VLOOKUP($C169,'Tracking List'!$A$5:$AL$883,R$4,FALSE))</f>
        <v/>
      </c>
    </row>
    <row r="170" spans="3:18">
      <c r="C170" s="146"/>
      <c r="D170" s="147" t="str">
        <f>IF($C170="","",VLOOKUP($C170,'Tracking List'!$A$5:$AL$883,D$4,FALSE))</f>
        <v/>
      </c>
      <c r="E170" s="147" t="str">
        <f>IF($C170="","",VLOOKUP($C170,'Tracking List'!$A$5:$AL$883,E$4,FALSE))</f>
        <v/>
      </c>
      <c r="F170" s="147" t="str">
        <f>IF($C170="","",VLOOKUP($C170,'Tracking List'!$A$5:$AL$883,F$4,FALSE))</f>
        <v/>
      </c>
      <c r="G170" s="147" t="str">
        <f>IF($C170="","",VLOOKUP($C170,'Tracking List'!$A$5:$AL$883,G$4,FALSE))</f>
        <v/>
      </c>
      <c r="H170" s="147" t="str">
        <f>IF($C170="","",VLOOKUP($C170,'Tracking List'!$A$5:$AL$883,H$4,FALSE))</f>
        <v/>
      </c>
      <c r="I170" s="147" t="str">
        <f>IF($C170="","",VLOOKUP($C170,'Tracking List'!$A$5:$AL$883,I$4,FALSE))</f>
        <v/>
      </c>
      <c r="J170" s="147" t="str">
        <f>IF($C170="","",VLOOKUP($C170,'Tracking List'!$A$5:$AL$883,J$4,FALSE))</f>
        <v/>
      </c>
      <c r="K170" s="147" t="str">
        <f>IF($C170="","",VLOOKUP($C170,'Tracking List'!$A$5:$AL$883,K$4,FALSE))</f>
        <v/>
      </c>
      <c r="L170" s="168" t="str">
        <f>IF($C170="","",VLOOKUP($C170,'Tracking List'!$A$5:$AL$883,L$4,FALSE))</f>
        <v/>
      </c>
      <c r="M170" s="147" t="str">
        <f>IF($C170="","",VLOOKUP($C170,'Tracking List'!$A$5:$AL$883,M$4,FALSE))</f>
        <v/>
      </c>
      <c r="N170" s="148" t="str">
        <f>IF($C170="","",IF(VLOOKUP($C170,'Tracking List'!$A$5:$AL$883,N$3,FALSE)&gt;0,"Y",VLOOKUP($C170,'Tracking List'!$A$5:$AL$883,N$4,FALSE)))</f>
        <v/>
      </c>
      <c r="O170" s="148" t="str">
        <f>IF($C170="","",IF(VLOOKUP($C170,'Tracking List'!$A$5:$AL$883,O$3,FALSE)&gt;0,"Y",VLOOKUP($C170,'Tracking List'!$A$5:$AL$883,O$4,FALSE)))</f>
        <v/>
      </c>
      <c r="P170" s="147" t="str">
        <f>IF($C170="","",IF(VLOOKUP($C170,'Tracking List'!$A$5:$AL$883,P$4,FALSE)&gt;0,"Y",""))</f>
        <v/>
      </c>
      <c r="Q170" s="149"/>
      <c r="R170" s="150" t="str">
        <f>IF($C170="","",VLOOKUP($C170,'Tracking List'!$A$5:$AL$883,R$4,FALSE))</f>
        <v/>
      </c>
    </row>
    <row r="171" spans="3:18">
      <c r="C171" s="146"/>
      <c r="D171" s="147" t="str">
        <f>IF($C171="","",VLOOKUP($C171,'Tracking List'!$A$5:$AL$883,D$4,FALSE))</f>
        <v/>
      </c>
      <c r="E171" s="147" t="str">
        <f>IF($C171="","",VLOOKUP($C171,'Tracking List'!$A$5:$AL$883,E$4,FALSE))</f>
        <v/>
      </c>
      <c r="F171" s="147" t="str">
        <f>IF($C171="","",VLOOKUP($C171,'Tracking List'!$A$5:$AL$883,F$4,FALSE))</f>
        <v/>
      </c>
      <c r="G171" s="147" t="str">
        <f>IF($C171="","",VLOOKUP($C171,'Tracking List'!$A$5:$AL$883,G$4,FALSE))</f>
        <v/>
      </c>
      <c r="H171" s="147" t="str">
        <f>IF($C171="","",VLOOKUP($C171,'Tracking List'!$A$5:$AL$883,H$4,FALSE))</f>
        <v/>
      </c>
      <c r="I171" s="147" t="str">
        <f>IF($C171="","",VLOOKUP($C171,'Tracking List'!$A$5:$AL$883,I$4,FALSE))</f>
        <v/>
      </c>
      <c r="J171" s="147" t="str">
        <f>IF($C171="","",VLOOKUP($C171,'Tracking List'!$A$5:$AL$883,J$4,FALSE))</f>
        <v/>
      </c>
      <c r="K171" s="147" t="str">
        <f>IF($C171="","",VLOOKUP($C171,'Tracking List'!$A$5:$AL$883,K$4,FALSE))</f>
        <v/>
      </c>
      <c r="L171" s="168" t="str">
        <f>IF($C171="","",VLOOKUP($C171,'Tracking List'!$A$5:$AL$883,L$4,FALSE))</f>
        <v/>
      </c>
      <c r="M171" s="147" t="str">
        <f>IF($C171="","",VLOOKUP($C171,'Tracking List'!$A$5:$AL$883,M$4,FALSE))</f>
        <v/>
      </c>
      <c r="N171" s="148" t="str">
        <f>IF($C171="","",IF(VLOOKUP($C171,'Tracking List'!$A$5:$AL$883,N$3,FALSE)&gt;0,"Y",VLOOKUP($C171,'Tracking List'!$A$5:$AL$883,N$4,FALSE)))</f>
        <v/>
      </c>
      <c r="O171" s="148" t="str">
        <f>IF($C171="","",IF(VLOOKUP($C171,'Tracking List'!$A$5:$AL$883,O$3,FALSE)&gt;0,"Y",VLOOKUP($C171,'Tracking List'!$A$5:$AL$883,O$4,FALSE)))</f>
        <v/>
      </c>
      <c r="P171" s="147" t="str">
        <f>IF($C171="","",IF(VLOOKUP($C171,'Tracking List'!$A$5:$AL$883,P$4,FALSE)&gt;0,"Y",""))</f>
        <v/>
      </c>
      <c r="Q171" s="149"/>
      <c r="R171" s="150" t="str">
        <f>IF($C171="","",VLOOKUP($C171,'Tracking List'!$A$5:$AL$883,R$4,FALSE))</f>
        <v/>
      </c>
    </row>
    <row r="172" spans="3:18">
      <c r="C172" s="146"/>
      <c r="D172" s="147" t="str">
        <f>IF($C172="","",VLOOKUP($C172,'Tracking List'!$A$5:$AL$883,D$4,FALSE))</f>
        <v/>
      </c>
      <c r="E172" s="147" t="str">
        <f>IF($C172="","",VLOOKUP($C172,'Tracking List'!$A$5:$AL$883,E$4,FALSE))</f>
        <v/>
      </c>
      <c r="F172" s="147" t="str">
        <f>IF($C172="","",VLOOKUP($C172,'Tracking List'!$A$5:$AL$883,F$4,FALSE))</f>
        <v/>
      </c>
      <c r="G172" s="147" t="str">
        <f>IF($C172="","",VLOOKUP($C172,'Tracking List'!$A$5:$AL$883,G$4,FALSE))</f>
        <v/>
      </c>
      <c r="H172" s="147" t="str">
        <f>IF($C172="","",VLOOKUP($C172,'Tracking List'!$A$5:$AL$883,H$4,FALSE))</f>
        <v/>
      </c>
      <c r="I172" s="147" t="str">
        <f>IF($C172="","",VLOOKUP($C172,'Tracking List'!$A$5:$AL$883,I$4,FALSE))</f>
        <v/>
      </c>
      <c r="J172" s="147" t="str">
        <f>IF($C172="","",VLOOKUP($C172,'Tracking List'!$A$5:$AL$883,J$4,FALSE))</f>
        <v/>
      </c>
      <c r="K172" s="147" t="str">
        <f>IF($C172="","",VLOOKUP($C172,'Tracking List'!$A$5:$AL$883,K$4,FALSE))</f>
        <v/>
      </c>
      <c r="L172" s="168" t="str">
        <f>IF($C172="","",VLOOKUP($C172,'Tracking List'!$A$5:$AL$883,L$4,FALSE))</f>
        <v/>
      </c>
      <c r="M172" s="147" t="str">
        <f>IF($C172="","",VLOOKUP($C172,'Tracking List'!$A$5:$AL$883,M$4,FALSE))</f>
        <v/>
      </c>
      <c r="N172" s="148" t="str">
        <f>IF($C172="","",IF(VLOOKUP($C172,'Tracking List'!$A$5:$AL$883,N$3,FALSE)&gt;0,"Y",VLOOKUP($C172,'Tracking List'!$A$5:$AL$883,N$4,FALSE)))</f>
        <v/>
      </c>
      <c r="O172" s="148" t="str">
        <f>IF($C172="","",IF(VLOOKUP($C172,'Tracking List'!$A$5:$AL$883,O$3,FALSE)&gt;0,"Y",VLOOKUP($C172,'Tracking List'!$A$5:$AL$883,O$4,FALSE)))</f>
        <v/>
      </c>
      <c r="P172" s="147" t="str">
        <f>IF($C172="","",IF(VLOOKUP($C172,'Tracking List'!$A$5:$AL$883,P$4,FALSE)&gt;0,"Y",""))</f>
        <v/>
      </c>
      <c r="Q172" s="149"/>
      <c r="R172" s="150" t="str">
        <f>IF($C172="","",VLOOKUP($C172,'Tracking List'!$A$5:$AL$883,R$4,FALSE))</f>
        <v/>
      </c>
    </row>
    <row r="173" spans="3:18">
      <c r="C173" s="146"/>
      <c r="D173" s="147" t="str">
        <f>IF($C173="","",VLOOKUP($C173,'Tracking List'!$A$5:$AL$883,D$4,FALSE))</f>
        <v/>
      </c>
      <c r="E173" s="147" t="str">
        <f>IF($C173="","",VLOOKUP($C173,'Tracking List'!$A$5:$AL$883,E$4,FALSE))</f>
        <v/>
      </c>
      <c r="F173" s="147" t="str">
        <f>IF($C173="","",VLOOKUP($C173,'Tracking List'!$A$5:$AL$883,F$4,FALSE))</f>
        <v/>
      </c>
      <c r="G173" s="147" t="str">
        <f>IF($C173="","",VLOOKUP($C173,'Tracking List'!$A$5:$AL$883,G$4,FALSE))</f>
        <v/>
      </c>
      <c r="H173" s="147" t="str">
        <f>IF($C173="","",VLOOKUP($C173,'Tracking List'!$A$5:$AL$883,H$4,FALSE))</f>
        <v/>
      </c>
      <c r="I173" s="147" t="str">
        <f>IF($C173="","",VLOOKUP($C173,'Tracking List'!$A$5:$AL$883,I$4,FALSE))</f>
        <v/>
      </c>
      <c r="J173" s="147" t="str">
        <f>IF($C173="","",VLOOKUP($C173,'Tracking List'!$A$5:$AL$883,J$4,FALSE))</f>
        <v/>
      </c>
      <c r="K173" s="147" t="str">
        <f>IF($C173="","",VLOOKUP($C173,'Tracking List'!$A$5:$AL$883,K$4,FALSE))</f>
        <v/>
      </c>
      <c r="L173" s="168" t="str">
        <f>IF($C173="","",VLOOKUP($C173,'Tracking List'!$A$5:$AL$883,L$4,FALSE))</f>
        <v/>
      </c>
      <c r="M173" s="147" t="str">
        <f>IF($C173="","",VLOOKUP($C173,'Tracking List'!$A$5:$AL$883,M$4,FALSE))</f>
        <v/>
      </c>
      <c r="N173" s="148" t="str">
        <f>IF($C173="","",IF(VLOOKUP($C173,'Tracking List'!$A$5:$AL$883,N$3,FALSE)&gt;0,"Y",VLOOKUP($C173,'Tracking List'!$A$5:$AL$883,N$4,FALSE)))</f>
        <v/>
      </c>
      <c r="O173" s="148" t="str">
        <f>IF($C173="","",IF(VLOOKUP($C173,'Tracking List'!$A$5:$AL$883,O$3,FALSE)&gt;0,"Y",VLOOKUP($C173,'Tracking List'!$A$5:$AL$883,O$4,FALSE)))</f>
        <v/>
      </c>
      <c r="P173" s="147" t="str">
        <f>IF($C173="","",IF(VLOOKUP($C173,'Tracking List'!$A$5:$AL$883,P$4,FALSE)&gt;0,"Y",""))</f>
        <v/>
      </c>
      <c r="Q173" s="149"/>
      <c r="R173" s="150" t="str">
        <f>IF($C173="","",VLOOKUP($C173,'Tracking List'!$A$5:$AL$883,R$4,FALSE))</f>
        <v/>
      </c>
    </row>
    <row r="174" spans="3:18">
      <c r="C174" s="146"/>
      <c r="D174" s="147" t="str">
        <f>IF($C174="","",VLOOKUP($C174,'Tracking List'!$A$5:$AL$883,D$4,FALSE))</f>
        <v/>
      </c>
      <c r="E174" s="147" t="str">
        <f>IF($C174="","",VLOOKUP($C174,'Tracking List'!$A$5:$AL$883,E$4,FALSE))</f>
        <v/>
      </c>
      <c r="F174" s="147" t="str">
        <f>IF($C174="","",VLOOKUP($C174,'Tracking List'!$A$5:$AL$883,F$4,FALSE))</f>
        <v/>
      </c>
      <c r="G174" s="147" t="str">
        <f>IF($C174="","",VLOOKUP($C174,'Tracking List'!$A$5:$AL$883,G$4,FALSE))</f>
        <v/>
      </c>
      <c r="H174" s="147" t="str">
        <f>IF($C174="","",VLOOKUP($C174,'Tracking List'!$A$5:$AL$883,H$4,FALSE))</f>
        <v/>
      </c>
      <c r="I174" s="147" t="str">
        <f>IF($C174="","",VLOOKUP($C174,'Tracking List'!$A$5:$AL$883,I$4,FALSE))</f>
        <v/>
      </c>
      <c r="J174" s="147" t="str">
        <f>IF($C174="","",VLOOKUP($C174,'Tracking List'!$A$5:$AL$883,J$4,FALSE))</f>
        <v/>
      </c>
      <c r="K174" s="147" t="str">
        <f>IF($C174="","",VLOOKUP($C174,'Tracking List'!$A$5:$AL$883,K$4,FALSE))</f>
        <v/>
      </c>
      <c r="L174" s="168" t="str">
        <f>IF($C174="","",VLOOKUP($C174,'Tracking List'!$A$5:$AL$883,L$4,FALSE))</f>
        <v/>
      </c>
      <c r="M174" s="147" t="str">
        <f>IF($C174="","",VLOOKUP($C174,'Tracking List'!$A$5:$AL$883,M$4,FALSE))</f>
        <v/>
      </c>
      <c r="N174" s="148" t="str">
        <f>IF($C174="","",IF(VLOOKUP($C174,'Tracking List'!$A$5:$AL$883,N$3,FALSE)&gt;0,"Y",VLOOKUP($C174,'Tracking List'!$A$5:$AL$883,N$4,FALSE)))</f>
        <v/>
      </c>
      <c r="O174" s="148" t="str">
        <f>IF($C174="","",IF(VLOOKUP($C174,'Tracking List'!$A$5:$AL$883,O$3,FALSE)&gt;0,"Y",VLOOKUP($C174,'Tracking List'!$A$5:$AL$883,O$4,FALSE)))</f>
        <v/>
      </c>
      <c r="P174" s="147" t="str">
        <f>IF($C174="","",IF(VLOOKUP($C174,'Tracking List'!$A$5:$AL$883,P$4,FALSE)&gt;0,"Y",""))</f>
        <v/>
      </c>
      <c r="Q174" s="149"/>
      <c r="R174" s="150" t="str">
        <f>IF($C174="","",VLOOKUP($C174,'Tracking List'!$A$5:$AL$883,R$4,FALSE))</f>
        <v/>
      </c>
    </row>
    <row r="175" spans="3:18">
      <c r="C175" s="146"/>
      <c r="D175" s="147" t="str">
        <f>IF($C175="","",VLOOKUP($C175,'Tracking List'!$A$5:$AL$883,D$4,FALSE))</f>
        <v/>
      </c>
      <c r="E175" s="147" t="str">
        <f>IF($C175="","",VLOOKUP($C175,'Tracking List'!$A$5:$AL$883,E$4,FALSE))</f>
        <v/>
      </c>
      <c r="F175" s="147" t="str">
        <f>IF($C175="","",VLOOKUP($C175,'Tracking List'!$A$5:$AL$883,F$4,FALSE))</f>
        <v/>
      </c>
      <c r="G175" s="147" t="str">
        <f>IF($C175="","",VLOOKUP($C175,'Tracking List'!$A$5:$AL$883,G$4,FALSE))</f>
        <v/>
      </c>
      <c r="H175" s="147" t="str">
        <f>IF($C175="","",VLOOKUP($C175,'Tracking List'!$A$5:$AL$883,H$4,FALSE))</f>
        <v/>
      </c>
      <c r="I175" s="147" t="str">
        <f>IF($C175="","",VLOOKUP($C175,'Tracking List'!$A$5:$AL$883,I$4,FALSE))</f>
        <v/>
      </c>
      <c r="J175" s="147" t="str">
        <f>IF($C175="","",VLOOKUP($C175,'Tracking List'!$A$5:$AL$883,J$4,FALSE))</f>
        <v/>
      </c>
      <c r="K175" s="147" t="str">
        <f>IF($C175="","",VLOOKUP($C175,'Tracking List'!$A$5:$AL$883,K$4,FALSE))</f>
        <v/>
      </c>
      <c r="L175" s="168" t="str">
        <f>IF($C175="","",VLOOKUP($C175,'Tracking List'!$A$5:$AL$883,L$4,FALSE))</f>
        <v/>
      </c>
      <c r="M175" s="147" t="str">
        <f>IF($C175="","",VLOOKUP($C175,'Tracking List'!$A$5:$AL$883,M$4,FALSE))</f>
        <v/>
      </c>
      <c r="N175" s="148" t="str">
        <f>IF($C175="","",IF(VLOOKUP($C175,'Tracking List'!$A$5:$AL$883,N$3,FALSE)&gt;0,"Y",VLOOKUP($C175,'Tracking List'!$A$5:$AL$883,N$4,FALSE)))</f>
        <v/>
      </c>
      <c r="O175" s="148" t="str">
        <f>IF($C175="","",IF(VLOOKUP($C175,'Tracking List'!$A$5:$AL$883,O$3,FALSE)&gt;0,"Y",VLOOKUP($C175,'Tracking List'!$A$5:$AL$883,O$4,FALSE)))</f>
        <v/>
      </c>
      <c r="P175" s="147" t="str">
        <f>IF($C175="","",IF(VLOOKUP($C175,'Tracking List'!$A$5:$AL$883,P$4,FALSE)&gt;0,"Y",""))</f>
        <v/>
      </c>
      <c r="Q175" s="149"/>
      <c r="R175" s="150" t="str">
        <f>IF($C175="","",VLOOKUP($C175,'Tracking List'!$A$5:$AL$883,R$4,FALSE))</f>
        <v/>
      </c>
    </row>
    <row r="176" spans="3:18">
      <c r="C176" s="146"/>
      <c r="D176" s="147" t="str">
        <f>IF($C176="","",VLOOKUP($C176,'Tracking List'!$A$5:$AL$883,D$4,FALSE))</f>
        <v/>
      </c>
      <c r="E176" s="147" t="str">
        <f>IF($C176="","",VLOOKUP($C176,'Tracking List'!$A$5:$AL$883,E$4,FALSE))</f>
        <v/>
      </c>
      <c r="F176" s="147" t="str">
        <f>IF($C176="","",VLOOKUP($C176,'Tracking List'!$A$5:$AL$883,F$4,FALSE))</f>
        <v/>
      </c>
      <c r="G176" s="147" t="str">
        <f>IF($C176="","",VLOOKUP($C176,'Tracking List'!$A$5:$AL$883,G$4,FALSE))</f>
        <v/>
      </c>
      <c r="H176" s="147" t="str">
        <f>IF($C176="","",VLOOKUP($C176,'Tracking List'!$A$5:$AL$883,H$4,FALSE))</f>
        <v/>
      </c>
      <c r="I176" s="147" t="str">
        <f>IF($C176="","",VLOOKUP($C176,'Tracking List'!$A$5:$AL$883,I$4,FALSE))</f>
        <v/>
      </c>
      <c r="J176" s="147" t="str">
        <f>IF($C176="","",VLOOKUP($C176,'Tracking List'!$A$5:$AL$883,J$4,FALSE))</f>
        <v/>
      </c>
      <c r="K176" s="147" t="str">
        <f>IF($C176="","",VLOOKUP($C176,'Tracking List'!$A$5:$AL$883,K$4,FALSE))</f>
        <v/>
      </c>
      <c r="L176" s="168" t="str">
        <f>IF($C176="","",VLOOKUP($C176,'Tracking List'!$A$5:$AL$883,L$4,FALSE))</f>
        <v/>
      </c>
      <c r="M176" s="147" t="str">
        <f>IF($C176="","",VLOOKUP($C176,'Tracking List'!$A$5:$AL$883,M$4,FALSE))</f>
        <v/>
      </c>
      <c r="N176" s="148" t="str">
        <f>IF($C176="","",IF(VLOOKUP($C176,'Tracking List'!$A$5:$AL$883,N$3,FALSE)&gt;0,"Y",VLOOKUP($C176,'Tracking List'!$A$5:$AL$883,N$4,FALSE)))</f>
        <v/>
      </c>
      <c r="O176" s="148" t="str">
        <f>IF($C176="","",IF(VLOOKUP($C176,'Tracking List'!$A$5:$AL$883,O$3,FALSE)&gt;0,"Y",VLOOKUP($C176,'Tracking List'!$A$5:$AL$883,O$4,FALSE)))</f>
        <v/>
      </c>
      <c r="P176" s="147" t="str">
        <f>IF($C176="","",IF(VLOOKUP($C176,'Tracking List'!$A$5:$AL$883,P$4,FALSE)&gt;0,"Y",""))</f>
        <v/>
      </c>
      <c r="Q176" s="149"/>
      <c r="R176" s="150" t="str">
        <f>IF($C176="","",VLOOKUP($C176,'Tracking List'!$A$5:$AL$883,R$4,FALSE))</f>
        <v/>
      </c>
    </row>
    <row r="177" spans="3:18">
      <c r="C177" s="146"/>
      <c r="D177" s="147" t="str">
        <f>IF($C177="","",VLOOKUP($C177,'Tracking List'!$A$5:$AL$883,D$4,FALSE))</f>
        <v/>
      </c>
      <c r="E177" s="147" t="str">
        <f>IF($C177="","",VLOOKUP($C177,'Tracking List'!$A$5:$AL$883,E$4,FALSE))</f>
        <v/>
      </c>
      <c r="F177" s="147" t="str">
        <f>IF($C177="","",VLOOKUP($C177,'Tracking List'!$A$5:$AL$883,F$4,FALSE))</f>
        <v/>
      </c>
      <c r="G177" s="147" t="str">
        <f>IF($C177="","",VLOOKUP($C177,'Tracking List'!$A$5:$AL$883,G$4,FALSE))</f>
        <v/>
      </c>
      <c r="H177" s="147" t="str">
        <f>IF($C177="","",VLOOKUP($C177,'Tracking List'!$A$5:$AL$883,H$4,FALSE))</f>
        <v/>
      </c>
      <c r="I177" s="147" t="str">
        <f>IF($C177="","",VLOOKUP($C177,'Tracking List'!$A$5:$AL$883,I$4,FALSE))</f>
        <v/>
      </c>
      <c r="J177" s="147" t="str">
        <f>IF($C177="","",VLOOKUP($C177,'Tracking List'!$A$5:$AL$883,J$4,FALSE))</f>
        <v/>
      </c>
      <c r="K177" s="147" t="str">
        <f>IF($C177="","",VLOOKUP($C177,'Tracking List'!$A$5:$AL$883,K$4,FALSE))</f>
        <v/>
      </c>
      <c r="L177" s="168" t="str">
        <f>IF($C177="","",VLOOKUP($C177,'Tracking List'!$A$5:$AL$883,L$4,FALSE))</f>
        <v/>
      </c>
      <c r="M177" s="147" t="str">
        <f>IF($C177="","",VLOOKUP($C177,'Tracking List'!$A$5:$AL$883,M$4,FALSE))</f>
        <v/>
      </c>
      <c r="N177" s="148" t="str">
        <f>IF($C177="","",IF(VLOOKUP($C177,'Tracking List'!$A$5:$AL$883,N$3,FALSE)&gt;0,"Y",VLOOKUP($C177,'Tracking List'!$A$5:$AL$883,N$4,FALSE)))</f>
        <v/>
      </c>
      <c r="O177" s="148" t="str">
        <f>IF($C177="","",IF(VLOOKUP($C177,'Tracking List'!$A$5:$AL$883,O$3,FALSE)&gt;0,"Y",VLOOKUP($C177,'Tracking List'!$A$5:$AL$883,O$4,FALSE)))</f>
        <v/>
      </c>
      <c r="P177" s="147" t="str">
        <f>IF($C177="","",IF(VLOOKUP($C177,'Tracking List'!$A$5:$AL$883,P$4,FALSE)&gt;0,"Y",""))</f>
        <v/>
      </c>
      <c r="Q177" s="149"/>
      <c r="R177" s="150" t="str">
        <f>IF($C177="","",VLOOKUP($C177,'Tracking List'!$A$5:$AL$883,R$4,FALSE))</f>
        <v/>
      </c>
    </row>
    <row r="178" spans="3:18">
      <c r="C178" s="146"/>
      <c r="D178" s="147" t="str">
        <f>IF($C178="","",VLOOKUP($C178,'Tracking List'!$A$5:$AL$883,D$4,FALSE))</f>
        <v/>
      </c>
      <c r="E178" s="147" t="str">
        <f>IF($C178="","",VLOOKUP($C178,'Tracking List'!$A$5:$AL$883,E$4,FALSE))</f>
        <v/>
      </c>
      <c r="F178" s="147" t="str">
        <f>IF($C178="","",VLOOKUP($C178,'Tracking List'!$A$5:$AL$883,F$4,FALSE))</f>
        <v/>
      </c>
      <c r="G178" s="147" t="str">
        <f>IF($C178="","",VLOOKUP($C178,'Tracking List'!$A$5:$AL$883,G$4,FALSE))</f>
        <v/>
      </c>
      <c r="H178" s="147" t="str">
        <f>IF($C178="","",VLOOKUP($C178,'Tracking List'!$A$5:$AL$883,H$4,FALSE))</f>
        <v/>
      </c>
      <c r="I178" s="147" t="str">
        <f>IF($C178="","",VLOOKUP($C178,'Tracking List'!$A$5:$AL$883,I$4,FALSE))</f>
        <v/>
      </c>
      <c r="J178" s="147" t="str">
        <f>IF($C178="","",VLOOKUP($C178,'Tracking List'!$A$5:$AL$883,J$4,FALSE))</f>
        <v/>
      </c>
      <c r="K178" s="147" t="str">
        <f>IF($C178="","",VLOOKUP($C178,'Tracking List'!$A$5:$AL$883,K$4,FALSE))</f>
        <v/>
      </c>
      <c r="L178" s="168" t="str">
        <f>IF($C178="","",VLOOKUP($C178,'Tracking List'!$A$5:$AL$883,L$4,FALSE))</f>
        <v/>
      </c>
      <c r="M178" s="147" t="str">
        <f>IF($C178="","",VLOOKUP($C178,'Tracking List'!$A$5:$AL$883,M$4,FALSE))</f>
        <v/>
      </c>
      <c r="N178" s="148" t="str">
        <f>IF($C178="","",IF(VLOOKUP($C178,'Tracking List'!$A$5:$AL$883,N$3,FALSE)&gt;0,"Y",VLOOKUP($C178,'Tracking List'!$A$5:$AL$883,N$4,FALSE)))</f>
        <v/>
      </c>
      <c r="O178" s="148" t="str">
        <f>IF($C178="","",IF(VLOOKUP($C178,'Tracking List'!$A$5:$AL$883,O$3,FALSE)&gt;0,"Y",VLOOKUP($C178,'Tracking List'!$A$5:$AL$883,O$4,FALSE)))</f>
        <v/>
      </c>
      <c r="P178" s="147" t="str">
        <f>IF($C178="","",IF(VLOOKUP($C178,'Tracking List'!$A$5:$AL$883,P$4,FALSE)&gt;0,"Y",""))</f>
        <v/>
      </c>
      <c r="Q178" s="149"/>
      <c r="R178" s="150" t="str">
        <f>IF($C178="","",VLOOKUP($C178,'Tracking List'!$A$5:$AL$883,R$4,FALSE))</f>
        <v/>
      </c>
    </row>
    <row r="179" spans="3:18">
      <c r="C179" s="146"/>
      <c r="D179" s="147" t="str">
        <f>IF($C179="","",VLOOKUP($C179,'Tracking List'!$A$5:$AL$883,D$4,FALSE))</f>
        <v/>
      </c>
      <c r="E179" s="147" t="str">
        <f>IF($C179="","",VLOOKUP($C179,'Tracking List'!$A$5:$AL$883,E$4,FALSE))</f>
        <v/>
      </c>
      <c r="F179" s="147" t="str">
        <f>IF($C179="","",VLOOKUP($C179,'Tracking List'!$A$5:$AL$883,F$4,FALSE))</f>
        <v/>
      </c>
      <c r="G179" s="147" t="str">
        <f>IF($C179="","",VLOOKUP($C179,'Tracking List'!$A$5:$AL$883,G$4,FALSE))</f>
        <v/>
      </c>
      <c r="H179" s="147" t="str">
        <f>IF($C179="","",VLOOKUP($C179,'Tracking List'!$A$5:$AL$883,H$4,FALSE))</f>
        <v/>
      </c>
      <c r="I179" s="147" t="str">
        <f>IF($C179="","",VLOOKUP($C179,'Tracking List'!$A$5:$AL$883,I$4,FALSE))</f>
        <v/>
      </c>
      <c r="J179" s="147" t="str">
        <f>IF($C179="","",VLOOKUP($C179,'Tracking List'!$A$5:$AL$883,J$4,FALSE))</f>
        <v/>
      </c>
      <c r="K179" s="147" t="str">
        <f>IF($C179="","",VLOOKUP($C179,'Tracking List'!$A$5:$AL$883,K$4,FALSE))</f>
        <v/>
      </c>
      <c r="L179" s="168" t="str">
        <f>IF($C179="","",VLOOKUP($C179,'Tracking List'!$A$5:$AL$883,L$4,FALSE))</f>
        <v/>
      </c>
      <c r="M179" s="147" t="str">
        <f>IF($C179="","",VLOOKUP($C179,'Tracking List'!$A$5:$AL$883,M$4,FALSE))</f>
        <v/>
      </c>
      <c r="N179" s="148" t="str">
        <f>IF($C179="","",IF(VLOOKUP($C179,'Tracking List'!$A$5:$AL$883,N$3,FALSE)&gt;0,"Y",VLOOKUP($C179,'Tracking List'!$A$5:$AL$883,N$4,FALSE)))</f>
        <v/>
      </c>
      <c r="O179" s="148" t="str">
        <f>IF($C179="","",IF(VLOOKUP($C179,'Tracking List'!$A$5:$AL$883,O$3,FALSE)&gt;0,"Y",VLOOKUP($C179,'Tracking List'!$A$5:$AL$883,O$4,FALSE)))</f>
        <v/>
      </c>
      <c r="P179" s="147" t="str">
        <f>IF($C179="","",IF(VLOOKUP($C179,'Tracking List'!$A$5:$AL$883,P$4,FALSE)&gt;0,"Y",""))</f>
        <v/>
      </c>
      <c r="Q179" s="149"/>
      <c r="R179" s="150" t="str">
        <f>IF($C179="","",VLOOKUP($C179,'Tracking List'!$A$5:$AL$883,R$4,FALSE))</f>
        <v/>
      </c>
    </row>
    <row r="180" spans="3:18">
      <c r="C180" s="146"/>
      <c r="D180" s="147" t="str">
        <f>IF($C180="","",VLOOKUP($C180,'Tracking List'!$A$5:$AL$883,D$4,FALSE))</f>
        <v/>
      </c>
      <c r="E180" s="147" t="str">
        <f>IF($C180="","",VLOOKUP($C180,'Tracking List'!$A$5:$AL$883,E$4,FALSE))</f>
        <v/>
      </c>
      <c r="F180" s="147" t="str">
        <f>IF($C180="","",VLOOKUP($C180,'Tracking List'!$A$5:$AL$883,F$4,FALSE))</f>
        <v/>
      </c>
      <c r="G180" s="147" t="str">
        <f>IF($C180="","",VLOOKUP($C180,'Tracking List'!$A$5:$AL$883,G$4,FALSE))</f>
        <v/>
      </c>
      <c r="H180" s="147" t="str">
        <f>IF($C180="","",VLOOKUP($C180,'Tracking List'!$A$5:$AL$883,H$4,FALSE))</f>
        <v/>
      </c>
      <c r="I180" s="147" t="str">
        <f>IF($C180="","",VLOOKUP($C180,'Tracking List'!$A$5:$AL$883,I$4,FALSE))</f>
        <v/>
      </c>
      <c r="J180" s="147" t="str">
        <f>IF($C180="","",VLOOKUP($C180,'Tracking List'!$A$5:$AL$883,J$4,FALSE))</f>
        <v/>
      </c>
      <c r="K180" s="147" t="str">
        <f>IF($C180="","",VLOOKUP($C180,'Tracking List'!$A$5:$AL$883,K$4,FALSE))</f>
        <v/>
      </c>
      <c r="L180" s="168" t="str">
        <f>IF($C180="","",VLOOKUP($C180,'Tracking List'!$A$5:$AL$883,L$4,FALSE))</f>
        <v/>
      </c>
      <c r="M180" s="147" t="str">
        <f>IF($C180="","",VLOOKUP($C180,'Tracking List'!$A$5:$AL$883,M$4,FALSE))</f>
        <v/>
      </c>
      <c r="N180" s="148" t="str">
        <f>IF($C180="","",IF(VLOOKUP($C180,'Tracking List'!$A$5:$AL$883,N$3,FALSE)&gt;0,"Y",VLOOKUP($C180,'Tracking List'!$A$5:$AL$883,N$4,FALSE)))</f>
        <v/>
      </c>
      <c r="O180" s="148" t="str">
        <f>IF($C180="","",IF(VLOOKUP($C180,'Tracking List'!$A$5:$AL$883,O$3,FALSE)&gt;0,"Y",VLOOKUP($C180,'Tracking List'!$A$5:$AL$883,O$4,FALSE)))</f>
        <v/>
      </c>
      <c r="P180" s="147" t="str">
        <f>IF($C180="","",IF(VLOOKUP($C180,'Tracking List'!$A$5:$AL$883,P$4,FALSE)&gt;0,"Y",""))</f>
        <v/>
      </c>
      <c r="Q180" s="149"/>
      <c r="R180" s="150" t="str">
        <f>IF($C180="","",VLOOKUP($C180,'Tracking List'!$A$5:$AL$883,R$4,FALSE))</f>
        <v/>
      </c>
    </row>
    <row r="181" spans="3:18">
      <c r="C181" s="146"/>
      <c r="D181" s="147" t="str">
        <f>IF($C181="","",VLOOKUP($C181,'Tracking List'!$A$5:$AL$883,D$4,FALSE))</f>
        <v/>
      </c>
      <c r="E181" s="147" t="str">
        <f>IF($C181="","",VLOOKUP($C181,'Tracking List'!$A$5:$AL$883,E$4,FALSE))</f>
        <v/>
      </c>
      <c r="F181" s="147" t="str">
        <f>IF($C181="","",VLOOKUP($C181,'Tracking List'!$A$5:$AL$883,F$4,FALSE))</f>
        <v/>
      </c>
      <c r="G181" s="147" t="str">
        <f>IF($C181="","",VLOOKUP($C181,'Tracking List'!$A$5:$AL$883,G$4,FALSE))</f>
        <v/>
      </c>
      <c r="H181" s="147" t="str">
        <f>IF($C181="","",VLOOKUP($C181,'Tracking List'!$A$5:$AL$883,H$4,FALSE))</f>
        <v/>
      </c>
      <c r="I181" s="147" t="str">
        <f>IF($C181="","",VLOOKUP($C181,'Tracking List'!$A$5:$AL$883,I$4,FALSE))</f>
        <v/>
      </c>
      <c r="J181" s="147" t="str">
        <f>IF($C181="","",VLOOKUP($C181,'Tracking List'!$A$5:$AL$883,J$4,FALSE))</f>
        <v/>
      </c>
      <c r="K181" s="147" t="str">
        <f>IF($C181="","",VLOOKUP($C181,'Tracking List'!$A$5:$AL$883,K$4,FALSE))</f>
        <v/>
      </c>
      <c r="L181" s="168" t="str">
        <f>IF($C181="","",VLOOKUP($C181,'Tracking List'!$A$5:$AL$883,L$4,FALSE))</f>
        <v/>
      </c>
      <c r="M181" s="147" t="str">
        <f>IF($C181="","",VLOOKUP($C181,'Tracking List'!$A$5:$AL$883,M$4,FALSE))</f>
        <v/>
      </c>
      <c r="N181" s="148" t="str">
        <f>IF($C181="","",IF(VLOOKUP($C181,'Tracking List'!$A$5:$AL$883,N$3,FALSE)&gt;0,"Y",VLOOKUP($C181,'Tracking List'!$A$5:$AL$883,N$4,FALSE)))</f>
        <v/>
      </c>
      <c r="O181" s="148" t="str">
        <f>IF($C181="","",IF(VLOOKUP($C181,'Tracking List'!$A$5:$AL$883,O$3,FALSE)&gt;0,"Y",VLOOKUP($C181,'Tracking List'!$A$5:$AL$883,O$4,FALSE)))</f>
        <v/>
      </c>
      <c r="P181" s="147" t="str">
        <f>IF($C181="","",IF(VLOOKUP($C181,'Tracking List'!$A$5:$AL$883,P$4,FALSE)&gt;0,"Y",""))</f>
        <v/>
      </c>
      <c r="Q181" s="149"/>
      <c r="R181" s="150" t="str">
        <f>IF($C181="","",VLOOKUP($C181,'Tracking List'!$A$5:$AL$883,R$4,FALSE))</f>
        <v/>
      </c>
    </row>
    <row r="182" spans="3:18">
      <c r="C182" s="146"/>
      <c r="D182" s="147" t="str">
        <f>IF($C182="","",VLOOKUP($C182,'Tracking List'!$A$5:$AL$883,D$4,FALSE))</f>
        <v/>
      </c>
      <c r="E182" s="147" t="str">
        <f>IF($C182="","",VLOOKUP($C182,'Tracking List'!$A$5:$AL$883,E$4,FALSE))</f>
        <v/>
      </c>
      <c r="F182" s="147" t="str">
        <f>IF($C182="","",VLOOKUP($C182,'Tracking List'!$A$5:$AL$883,F$4,FALSE))</f>
        <v/>
      </c>
      <c r="G182" s="147" t="str">
        <f>IF($C182="","",VLOOKUP($C182,'Tracking List'!$A$5:$AL$883,G$4,FALSE))</f>
        <v/>
      </c>
      <c r="H182" s="147" t="str">
        <f>IF($C182="","",VLOOKUP($C182,'Tracking List'!$A$5:$AL$883,H$4,FALSE))</f>
        <v/>
      </c>
      <c r="I182" s="147" t="str">
        <f>IF($C182="","",VLOOKUP($C182,'Tracking List'!$A$5:$AL$883,I$4,FALSE))</f>
        <v/>
      </c>
      <c r="J182" s="147" t="str">
        <f>IF($C182="","",VLOOKUP($C182,'Tracking List'!$A$5:$AL$883,J$4,FALSE))</f>
        <v/>
      </c>
      <c r="K182" s="147" t="str">
        <f>IF($C182="","",VLOOKUP($C182,'Tracking List'!$A$5:$AL$883,K$4,FALSE))</f>
        <v/>
      </c>
      <c r="L182" s="168" t="str">
        <f>IF($C182="","",VLOOKUP($C182,'Tracking List'!$A$5:$AL$883,L$4,FALSE))</f>
        <v/>
      </c>
      <c r="M182" s="147" t="str">
        <f>IF($C182="","",VLOOKUP($C182,'Tracking List'!$A$5:$AL$883,M$4,FALSE))</f>
        <v/>
      </c>
      <c r="N182" s="148" t="str">
        <f>IF($C182="","",IF(VLOOKUP($C182,'Tracking List'!$A$5:$AL$883,N$3,FALSE)&gt;0,"Y",VLOOKUP($C182,'Tracking List'!$A$5:$AL$883,N$4,FALSE)))</f>
        <v/>
      </c>
      <c r="O182" s="148" t="str">
        <f>IF($C182="","",IF(VLOOKUP($C182,'Tracking List'!$A$5:$AL$883,O$3,FALSE)&gt;0,"Y",VLOOKUP($C182,'Tracking List'!$A$5:$AL$883,O$4,FALSE)))</f>
        <v/>
      </c>
      <c r="P182" s="147" t="str">
        <f>IF($C182="","",IF(VLOOKUP($C182,'Tracking List'!$A$5:$AL$883,P$4,FALSE)&gt;0,"Y",""))</f>
        <v/>
      </c>
      <c r="Q182" s="149"/>
      <c r="R182" s="150" t="str">
        <f>IF($C182="","",VLOOKUP($C182,'Tracking List'!$A$5:$AL$883,R$4,FALSE))</f>
        <v/>
      </c>
    </row>
    <row r="183" spans="3:18">
      <c r="C183" s="146"/>
      <c r="D183" s="147" t="str">
        <f>IF($C183="","",VLOOKUP($C183,'Tracking List'!$A$5:$AL$883,D$4,FALSE))</f>
        <v/>
      </c>
      <c r="E183" s="147" t="str">
        <f>IF($C183="","",VLOOKUP($C183,'Tracking List'!$A$5:$AL$883,E$4,FALSE))</f>
        <v/>
      </c>
      <c r="F183" s="147" t="str">
        <f>IF($C183="","",VLOOKUP($C183,'Tracking List'!$A$5:$AL$883,F$4,FALSE))</f>
        <v/>
      </c>
      <c r="G183" s="147" t="str">
        <f>IF($C183="","",VLOOKUP($C183,'Tracking List'!$A$5:$AL$883,G$4,FALSE))</f>
        <v/>
      </c>
      <c r="H183" s="147" t="str">
        <f>IF($C183="","",VLOOKUP($C183,'Tracking List'!$A$5:$AL$883,H$4,FALSE))</f>
        <v/>
      </c>
      <c r="I183" s="147" t="str">
        <f>IF($C183="","",VLOOKUP($C183,'Tracking List'!$A$5:$AL$883,I$4,FALSE))</f>
        <v/>
      </c>
      <c r="J183" s="147" t="str">
        <f>IF($C183="","",VLOOKUP($C183,'Tracking List'!$A$5:$AL$883,J$4,FALSE))</f>
        <v/>
      </c>
      <c r="K183" s="147" t="str">
        <f>IF($C183="","",VLOOKUP($C183,'Tracking List'!$A$5:$AL$883,K$4,FALSE))</f>
        <v/>
      </c>
      <c r="L183" s="168" t="str">
        <f>IF($C183="","",VLOOKUP($C183,'Tracking List'!$A$5:$AL$883,L$4,FALSE))</f>
        <v/>
      </c>
      <c r="M183" s="147" t="str">
        <f>IF($C183="","",VLOOKUP($C183,'Tracking List'!$A$5:$AL$883,M$4,FALSE))</f>
        <v/>
      </c>
      <c r="N183" s="148" t="str">
        <f>IF($C183="","",IF(VLOOKUP($C183,'Tracking List'!$A$5:$AL$883,N$3,FALSE)&gt;0,"Y",VLOOKUP($C183,'Tracking List'!$A$5:$AL$883,N$4,FALSE)))</f>
        <v/>
      </c>
      <c r="O183" s="148" t="str">
        <f>IF($C183="","",IF(VLOOKUP($C183,'Tracking List'!$A$5:$AL$883,O$3,FALSE)&gt;0,"Y",VLOOKUP($C183,'Tracking List'!$A$5:$AL$883,O$4,FALSE)))</f>
        <v/>
      </c>
      <c r="P183" s="147" t="str">
        <f>IF($C183="","",IF(VLOOKUP($C183,'Tracking List'!$A$5:$AL$883,P$4,FALSE)&gt;0,"Y",""))</f>
        <v/>
      </c>
      <c r="Q183" s="149"/>
      <c r="R183" s="150" t="str">
        <f>IF($C183="","",VLOOKUP($C183,'Tracking List'!$A$5:$AL$883,R$4,FALSE))</f>
        <v/>
      </c>
    </row>
    <row r="184" spans="3:18">
      <c r="C184" s="146"/>
      <c r="D184" s="147" t="str">
        <f>IF($C184="","",VLOOKUP($C184,'Tracking List'!$A$5:$AL$883,D$4,FALSE))</f>
        <v/>
      </c>
      <c r="E184" s="147" t="str">
        <f>IF($C184="","",VLOOKUP($C184,'Tracking List'!$A$5:$AL$883,E$4,FALSE))</f>
        <v/>
      </c>
      <c r="F184" s="147" t="str">
        <f>IF($C184="","",VLOOKUP($C184,'Tracking List'!$A$5:$AL$883,F$4,FALSE))</f>
        <v/>
      </c>
      <c r="G184" s="147" t="str">
        <f>IF($C184="","",VLOOKUP($C184,'Tracking List'!$A$5:$AL$883,G$4,FALSE))</f>
        <v/>
      </c>
      <c r="H184" s="147" t="str">
        <f>IF($C184="","",VLOOKUP($C184,'Tracking List'!$A$5:$AL$883,H$4,FALSE))</f>
        <v/>
      </c>
      <c r="I184" s="147" t="str">
        <f>IF($C184="","",VLOOKUP($C184,'Tracking List'!$A$5:$AL$883,I$4,FALSE))</f>
        <v/>
      </c>
      <c r="J184" s="147" t="str">
        <f>IF($C184="","",VLOOKUP($C184,'Tracking List'!$A$5:$AL$883,J$4,FALSE))</f>
        <v/>
      </c>
      <c r="K184" s="147" t="str">
        <f>IF($C184="","",VLOOKUP($C184,'Tracking List'!$A$5:$AL$883,K$4,FALSE))</f>
        <v/>
      </c>
      <c r="L184" s="168" t="str">
        <f>IF($C184="","",VLOOKUP($C184,'Tracking List'!$A$5:$AL$883,L$4,FALSE))</f>
        <v/>
      </c>
      <c r="M184" s="147" t="str">
        <f>IF($C184="","",VLOOKUP($C184,'Tracking List'!$A$5:$AL$883,M$4,FALSE))</f>
        <v/>
      </c>
      <c r="N184" s="148" t="str">
        <f>IF($C184="","",IF(VLOOKUP($C184,'Tracking List'!$A$5:$AL$883,N$3,FALSE)&gt;0,"Y",VLOOKUP($C184,'Tracking List'!$A$5:$AL$883,N$4,FALSE)))</f>
        <v/>
      </c>
      <c r="O184" s="148" t="str">
        <f>IF($C184="","",IF(VLOOKUP($C184,'Tracking List'!$A$5:$AL$883,O$3,FALSE)&gt;0,"Y",VLOOKUP($C184,'Tracking List'!$A$5:$AL$883,O$4,FALSE)))</f>
        <v/>
      </c>
      <c r="P184" s="147" t="str">
        <f>IF($C184="","",IF(VLOOKUP($C184,'Tracking List'!$A$5:$AL$883,P$4,FALSE)&gt;0,"Y",""))</f>
        <v/>
      </c>
      <c r="Q184" s="149"/>
      <c r="R184" s="150" t="str">
        <f>IF($C184="","",VLOOKUP($C184,'Tracking List'!$A$5:$AL$883,R$4,FALSE))</f>
        <v/>
      </c>
    </row>
    <row r="185" spans="3:18">
      <c r="C185" s="146"/>
      <c r="D185" s="147" t="str">
        <f>IF($C185="","",VLOOKUP($C185,'Tracking List'!$A$5:$AL$883,D$4,FALSE))</f>
        <v/>
      </c>
      <c r="E185" s="147" t="str">
        <f>IF($C185="","",VLOOKUP($C185,'Tracking List'!$A$5:$AL$883,E$4,FALSE))</f>
        <v/>
      </c>
      <c r="F185" s="147" t="str">
        <f>IF($C185="","",VLOOKUP($C185,'Tracking List'!$A$5:$AL$883,F$4,FALSE))</f>
        <v/>
      </c>
      <c r="G185" s="147" t="str">
        <f>IF($C185="","",VLOOKUP($C185,'Tracking List'!$A$5:$AL$883,G$4,FALSE))</f>
        <v/>
      </c>
      <c r="H185" s="147" t="str">
        <f>IF($C185="","",VLOOKUP($C185,'Tracking List'!$A$5:$AL$883,H$4,FALSE))</f>
        <v/>
      </c>
      <c r="I185" s="147" t="str">
        <f>IF($C185="","",VLOOKUP($C185,'Tracking List'!$A$5:$AL$883,I$4,FALSE))</f>
        <v/>
      </c>
      <c r="J185" s="147" t="str">
        <f>IF($C185="","",VLOOKUP($C185,'Tracking List'!$A$5:$AL$883,J$4,FALSE))</f>
        <v/>
      </c>
      <c r="K185" s="147" t="str">
        <f>IF($C185="","",VLOOKUP($C185,'Tracking List'!$A$5:$AL$883,K$4,FALSE))</f>
        <v/>
      </c>
      <c r="L185" s="168" t="str">
        <f>IF($C185="","",VLOOKUP($C185,'Tracking List'!$A$5:$AL$883,L$4,FALSE))</f>
        <v/>
      </c>
      <c r="M185" s="147" t="str">
        <f>IF($C185="","",VLOOKUP($C185,'Tracking List'!$A$5:$AL$883,M$4,FALSE))</f>
        <v/>
      </c>
      <c r="N185" s="148" t="str">
        <f>IF($C185="","",IF(VLOOKUP($C185,'Tracking List'!$A$5:$AL$883,N$3,FALSE)&gt;0,"Y",VLOOKUP($C185,'Tracking List'!$A$5:$AL$883,N$4,FALSE)))</f>
        <v/>
      </c>
      <c r="O185" s="148" t="str">
        <f>IF($C185="","",IF(VLOOKUP($C185,'Tracking List'!$A$5:$AL$883,O$3,FALSE)&gt;0,"Y",VLOOKUP($C185,'Tracking List'!$A$5:$AL$883,O$4,FALSE)))</f>
        <v/>
      </c>
      <c r="P185" s="147" t="str">
        <f>IF($C185="","",IF(VLOOKUP($C185,'Tracking List'!$A$5:$AL$883,P$4,FALSE)&gt;0,"Y",""))</f>
        <v/>
      </c>
      <c r="Q185" s="149"/>
      <c r="R185" s="150" t="str">
        <f>IF($C185="","",VLOOKUP($C185,'Tracking List'!$A$5:$AL$883,R$4,FALSE))</f>
        <v/>
      </c>
    </row>
    <row r="186" spans="3:18">
      <c r="C186" s="146"/>
      <c r="D186" s="147" t="str">
        <f>IF($C186="","",VLOOKUP($C186,'Tracking List'!$A$5:$AL$883,D$4,FALSE))</f>
        <v/>
      </c>
      <c r="E186" s="147" t="str">
        <f>IF($C186="","",VLOOKUP($C186,'Tracking List'!$A$5:$AL$883,E$4,FALSE))</f>
        <v/>
      </c>
      <c r="F186" s="147" t="str">
        <f>IF($C186="","",VLOOKUP($C186,'Tracking List'!$A$5:$AL$883,F$4,FALSE))</f>
        <v/>
      </c>
      <c r="G186" s="147" t="str">
        <f>IF($C186="","",VLOOKUP($C186,'Tracking List'!$A$5:$AL$883,G$4,FALSE))</f>
        <v/>
      </c>
      <c r="H186" s="147" t="str">
        <f>IF($C186="","",VLOOKUP($C186,'Tracking List'!$A$5:$AL$883,H$4,FALSE))</f>
        <v/>
      </c>
      <c r="I186" s="147" t="str">
        <f>IF($C186="","",VLOOKUP($C186,'Tracking List'!$A$5:$AL$883,I$4,FALSE))</f>
        <v/>
      </c>
      <c r="J186" s="147" t="str">
        <f>IF($C186="","",VLOOKUP($C186,'Tracking List'!$A$5:$AL$883,J$4,FALSE))</f>
        <v/>
      </c>
      <c r="K186" s="147" t="str">
        <f>IF($C186="","",VLOOKUP($C186,'Tracking List'!$A$5:$AL$883,K$4,FALSE))</f>
        <v/>
      </c>
      <c r="L186" s="168" t="str">
        <f>IF($C186="","",VLOOKUP($C186,'Tracking List'!$A$5:$AL$883,L$4,FALSE))</f>
        <v/>
      </c>
      <c r="M186" s="147" t="str">
        <f>IF($C186="","",VLOOKUP($C186,'Tracking List'!$A$5:$AL$883,M$4,FALSE))</f>
        <v/>
      </c>
      <c r="N186" s="148" t="str">
        <f>IF($C186="","",IF(VLOOKUP($C186,'Tracking List'!$A$5:$AL$883,N$3,FALSE)&gt;0,"Y",VLOOKUP($C186,'Tracking List'!$A$5:$AL$883,N$4,FALSE)))</f>
        <v/>
      </c>
      <c r="O186" s="148" t="str">
        <f>IF($C186="","",IF(VLOOKUP($C186,'Tracking List'!$A$5:$AL$883,O$3,FALSE)&gt;0,"Y",VLOOKUP($C186,'Tracking List'!$A$5:$AL$883,O$4,FALSE)))</f>
        <v/>
      </c>
      <c r="P186" s="147" t="str">
        <f>IF($C186="","",IF(VLOOKUP($C186,'Tracking List'!$A$5:$AL$883,P$4,FALSE)&gt;0,"Y",""))</f>
        <v/>
      </c>
      <c r="Q186" s="149"/>
      <c r="R186" s="150" t="str">
        <f>IF($C186="","",VLOOKUP($C186,'Tracking List'!$A$5:$AL$883,R$4,FALSE))</f>
        <v/>
      </c>
    </row>
    <row r="187" spans="3:18">
      <c r="C187" s="146"/>
      <c r="D187" s="147" t="str">
        <f>IF($C187="","",VLOOKUP($C187,'Tracking List'!$A$5:$AL$883,D$4,FALSE))</f>
        <v/>
      </c>
      <c r="E187" s="147" t="str">
        <f>IF($C187="","",VLOOKUP($C187,'Tracking List'!$A$5:$AL$883,E$4,FALSE))</f>
        <v/>
      </c>
      <c r="F187" s="147" t="str">
        <f>IF($C187="","",VLOOKUP($C187,'Tracking List'!$A$5:$AL$883,F$4,FALSE))</f>
        <v/>
      </c>
      <c r="G187" s="147" t="str">
        <f>IF($C187="","",VLOOKUP($C187,'Tracking List'!$A$5:$AL$883,G$4,FALSE))</f>
        <v/>
      </c>
      <c r="H187" s="147" t="str">
        <f>IF($C187="","",VLOOKUP($C187,'Tracking List'!$A$5:$AL$883,H$4,FALSE))</f>
        <v/>
      </c>
      <c r="I187" s="147" t="str">
        <f>IF($C187="","",VLOOKUP($C187,'Tracking List'!$A$5:$AL$883,I$4,FALSE))</f>
        <v/>
      </c>
      <c r="J187" s="147" t="str">
        <f>IF($C187="","",VLOOKUP($C187,'Tracking List'!$A$5:$AL$883,J$4,FALSE))</f>
        <v/>
      </c>
      <c r="K187" s="147" t="str">
        <f>IF($C187="","",VLOOKUP($C187,'Tracking List'!$A$5:$AL$883,K$4,FALSE))</f>
        <v/>
      </c>
      <c r="L187" s="168" t="str">
        <f>IF($C187="","",VLOOKUP($C187,'Tracking List'!$A$5:$AL$883,L$4,FALSE))</f>
        <v/>
      </c>
      <c r="M187" s="147" t="str">
        <f>IF($C187="","",VLOOKUP($C187,'Tracking List'!$A$5:$AL$883,M$4,FALSE))</f>
        <v/>
      </c>
      <c r="N187" s="148" t="str">
        <f>IF($C187="","",IF(VLOOKUP($C187,'Tracking List'!$A$5:$AL$883,N$3,FALSE)&gt;0,"Y",VLOOKUP($C187,'Tracking List'!$A$5:$AL$883,N$4,FALSE)))</f>
        <v/>
      </c>
      <c r="O187" s="148" t="str">
        <f>IF($C187="","",IF(VLOOKUP($C187,'Tracking List'!$A$5:$AL$883,O$3,FALSE)&gt;0,"Y",VLOOKUP($C187,'Tracking List'!$A$5:$AL$883,O$4,FALSE)))</f>
        <v/>
      </c>
      <c r="P187" s="147" t="str">
        <f>IF($C187="","",IF(VLOOKUP($C187,'Tracking List'!$A$5:$AL$883,P$4,FALSE)&gt;0,"Y",""))</f>
        <v/>
      </c>
      <c r="Q187" s="149"/>
      <c r="R187" s="150" t="str">
        <f>IF($C187="","",VLOOKUP($C187,'Tracking List'!$A$5:$AL$883,R$4,FALSE))</f>
        <v/>
      </c>
    </row>
    <row r="188" spans="3:18">
      <c r="C188" s="146"/>
      <c r="D188" s="147" t="str">
        <f>IF($C188="","",VLOOKUP($C188,'Tracking List'!$A$5:$AL$883,D$4,FALSE))</f>
        <v/>
      </c>
      <c r="E188" s="147" t="str">
        <f>IF($C188="","",VLOOKUP($C188,'Tracking List'!$A$5:$AL$883,E$4,FALSE))</f>
        <v/>
      </c>
      <c r="F188" s="147" t="str">
        <f>IF($C188="","",VLOOKUP($C188,'Tracking List'!$A$5:$AL$883,F$4,FALSE))</f>
        <v/>
      </c>
      <c r="G188" s="147" t="str">
        <f>IF($C188="","",VLOOKUP($C188,'Tracking List'!$A$5:$AL$883,G$4,FALSE))</f>
        <v/>
      </c>
      <c r="H188" s="147" t="str">
        <f>IF($C188="","",VLOOKUP($C188,'Tracking List'!$A$5:$AL$883,H$4,FALSE))</f>
        <v/>
      </c>
      <c r="I188" s="147" t="str">
        <f>IF($C188="","",VLOOKUP($C188,'Tracking List'!$A$5:$AL$883,I$4,FALSE))</f>
        <v/>
      </c>
      <c r="J188" s="147" t="str">
        <f>IF($C188="","",VLOOKUP($C188,'Tracking List'!$A$5:$AL$883,J$4,FALSE))</f>
        <v/>
      </c>
      <c r="K188" s="147" t="str">
        <f>IF($C188="","",VLOOKUP($C188,'Tracking List'!$A$5:$AL$883,K$4,FALSE))</f>
        <v/>
      </c>
      <c r="L188" s="168" t="str">
        <f>IF($C188="","",VLOOKUP($C188,'Tracking List'!$A$5:$AL$883,L$4,FALSE))</f>
        <v/>
      </c>
      <c r="M188" s="147" t="str">
        <f>IF($C188="","",VLOOKUP($C188,'Tracking List'!$A$5:$AL$883,M$4,FALSE))</f>
        <v/>
      </c>
      <c r="N188" s="148" t="str">
        <f>IF($C188="","",IF(VLOOKUP($C188,'Tracking List'!$A$5:$AL$883,N$3,FALSE)&gt;0,"Y",VLOOKUP($C188,'Tracking List'!$A$5:$AL$883,N$4,FALSE)))</f>
        <v/>
      </c>
      <c r="O188" s="148" t="str">
        <f>IF($C188="","",IF(VLOOKUP($C188,'Tracking List'!$A$5:$AL$883,O$3,FALSE)&gt;0,"Y",VLOOKUP($C188,'Tracking List'!$A$5:$AL$883,O$4,FALSE)))</f>
        <v/>
      </c>
      <c r="P188" s="147" t="str">
        <f>IF($C188="","",IF(VLOOKUP($C188,'Tracking List'!$A$5:$AL$883,P$4,FALSE)&gt;0,"Y",""))</f>
        <v/>
      </c>
      <c r="Q188" s="149"/>
      <c r="R188" s="150" t="str">
        <f>IF($C188="","",VLOOKUP($C188,'Tracking List'!$A$5:$AL$883,R$4,FALSE))</f>
        <v/>
      </c>
    </row>
    <row r="189" spans="3:18">
      <c r="C189" s="146"/>
      <c r="D189" s="147" t="str">
        <f>IF($C189="","",VLOOKUP($C189,'Tracking List'!$A$5:$AL$883,D$4,FALSE))</f>
        <v/>
      </c>
      <c r="E189" s="147" t="str">
        <f>IF($C189="","",VLOOKUP($C189,'Tracking List'!$A$5:$AL$883,E$4,FALSE))</f>
        <v/>
      </c>
      <c r="F189" s="147" t="str">
        <f>IF($C189="","",VLOOKUP($C189,'Tracking List'!$A$5:$AL$883,F$4,FALSE))</f>
        <v/>
      </c>
      <c r="G189" s="147" t="str">
        <f>IF($C189="","",VLOOKUP($C189,'Tracking List'!$A$5:$AL$883,G$4,FALSE))</f>
        <v/>
      </c>
      <c r="H189" s="147" t="str">
        <f>IF($C189="","",VLOOKUP($C189,'Tracking List'!$A$5:$AL$883,H$4,FALSE))</f>
        <v/>
      </c>
      <c r="I189" s="147" t="str">
        <f>IF($C189="","",VLOOKUP($C189,'Tracking List'!$A$5:$AL$883,I$4,FALSE))</f>
        <v/>
      </c>
      <c r="J189" s="147" t="str">
        <f>IF($C189="","",VLOOKUP($C189,'Tracking List'!$A$5:$AL$883,J$4,FALSE))</f>
        <v/>
      </c>
      <c r="K189" s="147" t="str">
        <f>IF($C189="","",VLOOKUP($C189,'Tracking List'!$A$5:$AL$883,K$4,FALSE))</f>
        <v/>
      </c>
      <c r="L189" s="168" t="str">
        <f>IF($C189="","",VLOOKUP($C189,'Tracking List'!$A$5:$AL$883,L$4,FALSE))</f>
        <v/>
      </c>
      <c r="M189" s="147" t="str">
        <f>IF($C189="","",VLOOKUP($C189,'Tracking List'!$A$5:$AL$883,M$4,FALSE))</f>
        <v/>
      </c>
      <c r="N189" s="148" t="str">
        <f>IF($C189="","",IF(VLOOKUP($C189,'Tracking List'!$A$5:$AL$883,N$3,FALSE)&gt;0,"Y",VLOOKUP($C189,'Tracking List'!$A$5:$AL$883,N$4,FALSE)))</f>
        <v/>
      </c>
      <c r="O189" s="148" t="str">
        <f>IF($C189="","",IF(VLOOKUP($C189,'Tracking List'!$A$5:$AL$883,O$3,FALSE)&gt;0,"Y",VLOOKUP($C189,'Tracking List'!$A$5:$AL$883,O$4,FALSE)))</f>
        <v/>
      </c>
      <c r="P189" s="147" t="str">
        <f>IF($C189="","",IF(VLOOKUP($C189,'Tracking List'!$A$5:$AL$883,P$4,FALSE)&gt;0,"Y",""))</f>
        <v/>
      </c>
      <c r="Q189" s="149"/>
      <c r="R189" s="150" t="str">
        <f>IF($C189="","",VLOOKUP($C189,'Tracking List'!$A$5:$AL$883,R$4,FALSE))</f>
        <v/>
      </c>
    </row>
    <row r="190" spans="3:18">
      <c r="C190" s="146"/>
      <c r="D190" s="147" t="str">
        <f>IF($C190="","",VLOOKUP($C190,'Tracking List'!$A$5:$AL$883,D$4,FALSE))</f>
        <v/>
      </c>
      <c r="E190" s="147" t="str">
        <f>IF($C190="","",VLOOKUP($C190,'Tracking List'!$A$5:$AL$883,E$4,FALSE))</f>
        <v/>
      </c>
      <c r="F190" s="147" t="str">
        <f>IF($C190="","",VLOOKUP($C190,'Tracking List'!$A$5:$AL$883,F$4,FALSE))</f>
        <v/>
      </c>
      <c r="G190" s="147" t="str">
        <f>IF($C190="","",VLOOKUP($C190,'Tracking List'!$A$5:$AL$883,G$4,FALSE))</f>
        <v/>
      </c>
      <c r="H190" s="147" t="str">
        <f>IF($C190="","",VLOOKUP($C190,'Tracking List'!$A$5:$AL$883,H$4,FALSE))</f>
        <v/>
      </c>
      <c r="I190" s="147" t="str">
        <f>IF($C190="","",VLOOKUP($C190,'Tracking List'!$A$5:$AL$883,I$4,FALSE))</f>
        <v/>
      </c>
      <c r="J190" s="147" t="str">
        <f>IF($C190="","",VLOOKUP($C190,'Tracking List'!$A$5:$AL$883,J$4,FALSE))</f>
        <v/>
      </c>
      <c r="K190" s="147" t="str">
        <f>IF($C190="","",VLOOKUP($C190,'Tracking List'!$A$5:$AL$883,K$4,FALSE))</f>
        <v/>
      </c>
      <c r="L190" s="168" t="str">
        <f>IF($C190="","",VLOOKUP($C190,'Tracking List'!$A$5:$AL$883,L$4,FALSE))</f>
        <v/>
      </c>
      <c r="M190" s="147" t="str">
        <f>IF($C190="","",VLOOKUP($C190,'Tracking List'!$A$5:$AL$883,M$4,FALSE))</f>
        <v/>
      </c>
      <c r="N190" s="148" t="str">
        <f>IF($C190="","",IF(VLOOKUP($C190,'Tracking List'!$A$5:$AL$883,N$3,FALSE)&gt;0,"Y",VLOOKUP($C190,'Tracking List'!$A$5:$AL$883,N$4,FALSE)))</f>
        <v/>
      </c>
      <c r="O190" s="148" t="str">
        <f>IF($C190="","",IF(VLOOKUP($C190,'Tracking List'!$A$5:$AL$883,O$3,FALSE)&gt;0,"Y",VLOOKUP($C190,'Tracking List'!$A$5:$AL$883,O$4,FALSE)))</f>
        <v/>
      </c>
      <c r="P190" s="147" t="str">
        <f>IF($C190="","",IF(VLOOKUP($C190,'Tracking List'!$A$5:$AL$883,P$4,FALSE)&gt;0,"Y",""))</f>
        <v/>
      </c>
      <c r="Q190" s="149"/>
      <c r="R190" s="150" t="str">
        <f>IF($C190="","",VLOOKUP($C190,'Tracking List'!$A$5:$AL$883,R$4,FALSE))</f>
        <v/>
      </c>
    </row>
    <row r="191" spans="3:18">
      <c r="C191" s="146"/>
      <c r="D191" s="147" t="str">
        <f>IF($C191="","",VLOOKUP($C191,'Tracking List'!$A$5:$AL$883,D$4,FALSE))</f>
        <v/>
      </c>
      <c r="E191" s="147" t="str">
        <f>IF($C191="","",VLOOKUP($C191,'Tracking List'!$A$5:$AL$883,E$4,FALSE))</f>
        <v/>
      </c>
      <c r="F191" s="147" t="str">
        <f>IF($C191="","",VLOOKUP($C191,'Tracking List'!$A$5:$AL$883,F$4,FALSE))</f>
        <v/>
      </c>
      <c r="G191" s="147" t="str">
        <f>IF($C191="","",VLOOKUP($C191,'Tracking List'!$A$5:$AL$883,G$4,FALSE))</f>
        <v/>
      </c>
      <c r="H191" s="147" t="str">
        <f>IF($C191="","",VLOOKUP($C191,'Tracking List'!$A$5:$AL$883,H$4,FALSE))</f>
        <v/>
      </c>
      <c r="I191" s="147" t="str">
        <f>IF($C191="","",VLOOKUP($C191,'Tracking List'!$A$5:$AL$883,I$4,FALSE))</f>
        <v/>
      </c>
      <c r="J191" s="147" t="str">
        <f>IF($C191="","",VLOOKUP($C191,'Tracking List'!$A$5:$AL$883,J$4,FALSE))</f>
        <v/>
      </c>
      <c r="K191" s="147" t="str">
        <f>IF($C191="","",VLOOKUP($C191,'Tracking List'!$A$5:$AL$883,K$4,FALSE))</f>
        <v/>
      </c>
      <c r="L191" s="168" t="str">
        <f>IF($C191="","",VLOOKUP($C191,'Tracking List'!$A$5:$AL$883,L$4,FALSE))</f>
        <v/>
      </c>
      <c r="M191" s="147" t="str">
        <f>IF($C191="","",VLOOKUP($C191,'Tracking List'!$A$5:$AL$883,M$4,FALSE))</f>
        <v/>
      </c>
      <c r="N191" s="148" t="str">
        <f>IF($C191="","",IF(VLOOKUP($C191,'Tracking List'!$A$5:$AL$883,N$3,FALSE)&gt;0,"Y",VLOOKUP($C191,'Tracking List'!$A$5:$AL$883,N$4,FALSE)))</f>
        <v/>
      </c>
      <c r="O191" s="148" t="str">
        <f>IF($C191="","",IF(VLOOKUP($C191,'Tracking List'!$A$5:$AL$883,O$3,FALSE)&gt;0,"Y",VLOOKUP($C191,'Tracking List'!$A$5:$AL$883,O$4,FALSE)))</f>
        <v/>
      </c>
      <c r="P191" s="147" t="str">
        <f>IF($C191="","",IF(VLOOKUP($C191,'Tracking List'!$A$5:$AL$883,P$4,FALSE)&gt;0,"Y",""))</f>
        <v/>
      </c>
      <c r="Q191" s="149"/>
      <c r="R191" s="150" t="str">
        <f>IF($C191="","",VLOOKUP($C191,'Tracking List'!$A$5:$AL$883,R$4,FALSE))</f>
        <v/>
      </c>
    </row>
    <row r="192" spans="3:18">
      <c r="C192" s="146"/>
      <c r="D192" s="147" t="str">
        <f>IF($C192="","",VLOOKUP($C192,'Tracking List'!$A$5:$AL$883,D$4,FALSE))</f>
        <v/>
      </c>
      <c r="E192" s="147" t="str">
        <f>IF($C192="","",VLOOKUP($C192,'Tracking List'!$A$5:$AL$883,E$4,FALSE))</f>
        <v/>
      </c>
      <c r="F192" s="147" t="str">
        <f>IF($C192="","",VLOOKUP($C192,'Tracking List'!$A$5:$AL$883,F$4,FALSE))</f>
        <v/>
      </c>
      <c r="G192" s="147" t="str">
        <f>IF($C192="","",VLOOKUP($C192,'Tracking List'!$A$5:$AL$883,G$4,FALSE))</f>
        <v/>
      </c>
      <c r="H192" s="147" t="str">
        <f>IF($C192="","",VLOOKUP($C192,'Tracking List'!$A$5:$AL$883,H$4,FALSE))</f>
        <v/>
      </c>
      <c r="I192" s="147" t="str">
        <f>IF($C192="","",VLOOKUP($C192,'Tracking List'!$A$5:$AL$883,I$4,FALSE))</f>
        <v/>
      </c>
      <c r="J192" s="147" t="str">
        <f>IF($C192="","",VLOOKUP($C192,'Tracking List'!$A$5:$AL$883,J$4,FALSE))</f>
        <v/>
      </c>
      <c r="K192" s="147" t="str">
        <f>IF($C192="","",VLOOKUP($C192,'Tracking List'!$A$5:$AL$883,K$4,FALSE))</f>
        <v/>
      </c>
      <c r="L192" s="168" t="str">
        <f>IF($C192="","",VLOOKUP($C192,'Tracking List'!$A$5:$AL$883,L$4,FALSE))</f>
        <v/>
      </c>
      <c r="M192" s="147" t="str">
        <f>IF($C192="","",VLOOKUP($C192,'Tracking List'!$A$5:$AL$883,M$4,FALSE))</f>
        <v/>
      </c>
      <c r="N192" s="148" t="str">
        <f>IF($C192="","",IF(VLOOKUP($C192,'Tracking List'!$A$5:$AL$883,N$3,FALSE)&gt;0,"Y",VLOOKUP($C192,'Tracking List'!$A$5:$AL$883,N$4,FALSE)))</f>
        <v/>
      </c>
      <c r="O192" s="148" t="str">
        <f>IF($C192="","",IF(VLOOKUP($C192,'Tracking List'!$A$5:$AL$883,O$3,FALSE)&gt;0,"Y",VLOOKUP($C192,'Tracking List'!$A$5:$AL$883,O$4,FALSE)))</f>
        <v/>
      </c>
      <c r="P192" s="147" t="str">
        <f>IF($C192="","",IF(VLOOKUP($C192,'Tracking List'!$A$5:$AL$883,P$4,FALSE)&gt;0,"Y",""))</f>
        <v/>
      </c>
      <c r="Q192" s="149"/>
      <c r="R192" s="150" t="str">
        <f>IF($C192="","",VLOOKUP($C192,'Tracking List'!$A$5:$AL$883,R$4,FALSE))</f>
        <v/>
      </c>
    </row>
    <row r="193" spans="3:18">
      <c r="C193" s="146"/>
      <c r="D193" s="147" t="str">
        <f>IF($C193="","",VLOOKUP($C193,'Tracking List'!$A$5:$AL$883,D$4,FALSE))</f>
        <v/>
      </c>
      <c r="E193" s="147" t="str">
        <f>IF($C193="","",VLOOKUP($C193,'Tracking List'!$A$5:$AL$883,E$4,FALSE))</f>
        <v/>
      </c>
      <c r="F193" s="147" t="str">
        <f>IF($C193="","",VLOOKUP($C193,'Tracking List'!$A$5:$AL$883,F$4,FALSE))</f>
        <v/>
      </c>
      <c r="G193" s="147" t="str">
        <f>IF($C193="","",VLOOKUP($C193,'Tracking List'!$A$5:$AL$883,G$4,FALSE))</f>
        <v/>
      </c>
      <c r="H193" s="147" t="str">
        <f>IF($C193="","",VLOOKUP($C193,'Tracking List'!$A$5:$AL$883,H$4,FALSE))</f>
        <v/>
      </c>
      <c r="I193" s="147" t="str">
        <f>IF($C193="","",VLOOKUP($C193,'Tracking List'!$A$5:$AL$883,I$4,FALSE))</f>
        <v/>
      </c>
      <c r="J193" s="147" t="str">
        <f>IF($C193="","",VLOOKUP($C193,'Tracking List'!$A$5:$AL$883,J$4,FALSE))</f>
        <v/>
      </c>
      <c r="K193" s="147" t="str">
        <f>IF($C193="","",VLOOKUP($C193,'Tracking List'!$A$5:$AL$883,K$4,FALSE))</f>
        <v/>
      </c>
      <c r="L193" s="168" t="str">
        <f>IF($C193="","",VLOOKUP($C193,'Tracking List'!$A$5:$AL$883,L$4,FALSE))</f>
        <v/>
      </c>
      <c r="M193" s="147" t="str">
        <f>IF($C193="","",VLOOKUP($C193,'Tracking List'!$A$5:$AL$883,M$4,FALSE))</f>
        <v/>
      </c>
      <c r="N193" s="148" t="str">
        <f>IF($C193="","",IF(VLOOKUP($C193,'Tracking List'!$A$5:$AL$883,N$3,FALSE)&gt;0,"Y",VLOOKUP($C193,'Tracking List'!$A$5:$AL$883,N$4,FALSE)))</f>
        <v/>
      </c>
      <c r="O193" s="148" t="str">
        <f>IF($C193="","",IF(VLOOKUP($C193,'Tracking List'!$A$5:$AL$883,O$3,FALSE)&gt;0,"Y",VLOOKUP($C193,'Tracking List'!$A$5:$AL$883,O$4,FALSE)))</f>
        <v/>
      </c>
      <c r="P193" s="147" t="str">
        <f>IF($C193="","",IF(VLOOKUP($C193,'Tracking List'!$A$5:$AL$883,P$4,FALSE)&gt;0,"Y",""))</f>
        <v/>
      </c>
      <c r="Q193" s="149"/>
      <c r="R193" s="150" t="str">
        <f>IF($C193="","",VLOOKUP($C193,'Tracking List'!$A$5:$AL$883,R$4,FALSE))</f>
        <v/>
      </c>
    </row>
    <row r="194" spans="3:18">
      <c r="C194" s="146"/>
      <c r="D194" s="147" t="str">
        <f>IF($C194="","",VLOOKUP($C194,'Tracking List'!$A$5:$AL$883,D$4,FALSE))</f>
        <v/>
      </c>
      <c r="E194" s="147" t="str">
        <f>IF($C194="","",VLOOKUP($C194,'Tracking List'!$A$5:$AL$883,E$4,FALSE))</f>
        <v/>
      </c>
      <c r="F194" s="147" t="str">
        <f>IF($C194="","",VLOOKUP($C194,'Tracking List'!$A$5:$AL$883,F$4,FALSE))</f>
        <v/>
      </c>
      <c r="G194" s="147" t="str">
        <f>IF($C194="","",VLOOKUP($C194,'Tracking List'!$A$5:$AL$883,G$4,FALSE))</f>
        <v/>
      </c>
      <c r="H194" s="147" t="str">
        <f>IF($C194="","",VLOOKUP($C194,'Tracking List'!$A$5:$AL$883,H$4,FALSE))</f>
        <v/>
      </c>
      <c r="I194" s="147" t="str">
        <f>IF($C194="","",VLOOKUP($C194,'Tracking List'!$A$5:$AL$883,I$4,FALSE))</f>
        <v/>
      </c>
      <c r="J194" s="147" t="str">
        <f>IF($C194="","",VLOOKUP($C194,'Tracking List'!$A$5:$AL$883,J$4,FALSE))</f>
        <v/>
      </c>
      <c r="K194" s="147" t="str">
        <f>IF($C194="","",VLOOKUP($C194,'Tracking List'!$A$5:$AL$883,K$4,FALSE))</f>
        <v/>
      </c>
      <c r="L194" s="168" t="str">
        <f>IF($C194="","",VLOOKUP($C194,'Tracking List'!$A$5:$AL$883,L$4,FALSE))</f>
        <v/>
      </c>
      <c r="M194" s="147" t="str">
        <f>IF($C194="","",VLOOKUP($C194,'Tracking List'!$A$5:$AL$883,M$4,FALSE))</f>
        <v/>
      </c>
      <c r="N194" s="148" t="str">
        <f>IF($C194="","",IF(VLOOKUP($C194,'Tracking List'!$A$5:$AL$883,N$3,FALSE)&gt;0,"Y",VLOOKUP($C194,'Tracking List'!$A$5:$AL$883,N$4,FALSE)))</f>
        <v/>
      </c>
      <c r="O194" s="148" t="str">
        <f>IF($C194="","",IF(VLOOKUP($C194,'Tracking List'!$A$5:$AL$883,O$3,FALSE)&gt;0,"Y",VLOOKUP($C194,'Tracking List'!$A$5:$AL$883,O$4,FALSE)))</f>
        <v/>
      </c>
      <c r="P194" s="147" t="str">
        <f>IF($C194="","",IF(VLOOKUP($C194,'Tracking List'!$A$5:$AL$883,P$4,FALSE)&gt;0,"Y",""))</f>
        <v/>
      </c>
      <c r="Q194" s="149"/>
      <c r="R194" s="166" t="str">
        <f>IF($C194="","",VLOOKUP($C194,'Tracking List'!$A$5:$AL$883,R$4,FALSE))</f>
        <v/>
      </c>
    </row>
    <row r="195" spans="3:18">
      <c r="C195" s="146"/>
      <c r="D195" s="147" t="str">
        <f>IF($C195="","",VLOOKUP($C195,'Tracking List'!$A$5:$AL$883,D$4,FALSE))</f>
        <v/>
      </c>
      <c r="E195" s="147" t="str">
        <f>IF($C195="","",VLOOKUP($C195,'Tracking List'!$A$5:$AL$883,E$4,FALSE))</f>
        <v/>
      </c>
      <c r="F195" s="147" t="str">
        <f>IF($C195="","",VLOOKUP($C195,'Tracking List'!$A$5:$AL$883,F$4,FALSE))</f>
        <v/>
      </c>
      <c r="G195" s="147" t="str">
        <f>IF($C195="","",VLOOKUP($C195,'Tracking List'!$A$5:$AL$883,G$4,FALSE))</f>
        <v/>
      </c>
      <c r="H195" s="147" t="str">
        <f>IF($C195="","",VLOOKUP($C195,'Tracking List'!$A$5:$AL$883,H$4,FALSE))</f>
        <v/>
      </c>
      <c r="I195" s="147" t="str">
        <f>IF($C195="","",VLOOKUP($C195,'Tracking List'!$A$5:$AL$883,I$4,FALSE))</f>
        <v/>
      </c>
      <c r="J195" s="147" t="str">
        <f>IF($C195="","",VLOOKUP($C195,'Tracking List'!$A$5:$AL$883,J$4,FALSE))</f>
        <v/>
      </c>
      <c r="K195" s="147" t="str">
        <f>IF($C195="","",VLOOKUP($C195,'Tracking List'!$A$5:$AL$883,K$4,FALSE))</f>
        <v/>
      </c>
      <c r="L195" s="168" t="str">
        <f>IF($C195="","",VLOOKUP($C195,'Tracking List'!$A$5:$AL$883,L$4,FALSE))</f>
        <v/>
      </c>
      <c r="M195" s="147" t="str">
        <f>IF($C195="","",VLOOKUP($C195,'Tracking List'!$A$5:$AL$883,M$4,FALSE))</f>
        <v/>
      </c>
      <c r="N195" s="148" t="str">
        <f>IF($C195="","",IF(VLOOKUP($C195,'Tracking List'!$A$5:$AL$883,N$3,FALSE)&gt;0,"Y",VLOOKUP($C195,'Tracking List'!$A$5:$AL$883,N$4,FALSE)))</f>
        <v/>
      </c>
      <c r="O195" s="148" t="str">
        <f>IF($C195="","",IF(VLOOKUP($C195,'Tracking List'!$A$5:$AL$883,O$3,FALSE)&gt;0,"Y",VLOOKUP($C195,'Tracking List'!$A$5:$AL$883,O$4,FALSE)))</f>
        <v/>
      </c>
      <c r="P195" s="147" t="str">
        <f>IF($C195="","",IF(VLOOKUP($C195,'Tracking List'!$A$5:$AL$883,P$4,FALSE)&gt;0,"Y",""))</f>
        <v/>
      </c>
      <c r="Q195" s="149"/>
      <c r="R195" s="166" t="str">
        <f>IF($C195="","",VLOOKUP($C195,'Tracking List'!$A$5:$AL$883,R$4,FALSE))</f>
        <v/>
      </c>
    </row>
    <row r="196" spans="3:18">
      <c r="C196" s="146"/>
      <c r="D196" s="147" t="str">
        <f>IF($C196="","",VLOOKUP($C196,'Tracking List'!$A$5:$AL$883,D$4,FALSE))</f>
        <v/>
      </c>
      <c r="E196" s="147" t="str">
        <f>IF($C196="","",VLOOKUP($C196,'Tracking List'!$A$5:$AL$883,E$4,FALSE))</f>
        <v/>
      </c>
      <c r="F196" s="147" t="str">
        <f>IF($C196="","",VLOOKUP($C196,'Tracking List'!$A$5:$AL$883,F$4,FALSE))</f>
        <v/>
      </c>
      <c r="G196" s="147" t="str">
        <f>IF($C196="","",VLOOKUP($C196,'Tracking List'!$A$5:$AL$883,G$4,FALSE))</f>
        <v/>
      </c>
      <c r="H196" s="147" t="str">
        <f>IF($C196="","",VLOOKUP($C196,'Tracking List'!$A$5:$AL$883,H$4,FALSE))</f>
        <v/>
      </c>
      <c r="I196" s="147" t="str">
        <f>IF($C196="","",VLOOKUP($C196,'Tracking List'!$A$5:$AL$883,I$4,FALSE))</f>
        <v/>
      </c>
      <c r="J196" s="147" t="str">
        <f>IF($C196="","",VLOOKUP($C196,'Tracking List'!$A$5:$AL$883,J$4,FALSE))</f>
        <v/>
      </c>
      <c r="K196" s="147" t="str">
        <f>IF($C196="","",VLOOKUP($C196,'Tracking List'!$A$5:$AL$883,K$4,FALSE))</f>
        <v/>
      </c>
      <c r="L196" s="168" t="str">
        <f>IF($C196="","",VLOOKUP($C196,'Tracking List'!$A$5:$AL$883,L$4,FALSE))</f>
        <v/>
      </c>
      <c r="M196" s="147" t="str">
        <f>IF($C196="","",VLOOKUP($C196,'Tracking List'!$A$5:$AL$883,M$4,FALSE))</f>
        <v/>
      </c>
      <c r="N196" s="148" t="str">
        <f>IF($C196="","",IF(VLOOKUP($C196,'Tracking List'!$A$5:$AL$883,N$3,FALSE)&gt;0,"Y",VLOOKUP($C196,'Tracking List'!$A$5:$AL$883,N$4,FALSE)))</f>
        <v/>
      </c>
      <c r="O196" s="148" t="str">
        <f>IF($C196="","",IF(VLOOKUP($C196,'Tracking List'!$A$5:$AL$883,O$3,FALSE)&gt;0,"Y",VLOOKUP($C196,'Tracking List'!$A$5:$AL$883,O$4,FALSE)))</f>
        <v/>
      </c>
      <c r="P196" s="147" t="str">
        <f>IF($C196="","",IF(VLOOKUP($C196,'Tracking List'!$A$5:$AL$883,P$4,FALSE)&gt;0,"Y",""))</f>
        <v/>
      </c>
      <c r="Q196" s="149"/>
      <c r="R196" s="166" t="str">
        <f>IF($C196="","",VLOOKUP($C196,'Tracking List'!$A$5:$AL$883,R$4,FALSE))</f>
        <v/>
      </c>
    </row>
    <row r="197" spans="3:18">
      <c r="C197" s="146"/>
      <c r="D197" s="147" t="str">
        <f>IF($C197="","",VLOOKUP($C197,'Tracking List'!$A$5:$AL$883,D$4,FALSE))</f>
        <v/>
      </c>
      <c r="E197" s="147" t="str">
        <f>IF($C197="","",VLOOKUP($C197,'Tracking List'!$A$5:$AL$883,E$4,FALSE))</f>
        <v/>
      </c>
      <c r="F197" s="147" t="str">
        <f>IF($C197="","",VLOOKUP($C197,'Tracking List'!$A$5:$AL$883,F$4,FALSE))</f>
        <v/>
      </c>
      <c r="G197" s="147" t="str">
        <f>IF($C197="","",VLOOKUP($C197,'Tracking List'!$A$5:$AL$883,G$4,FALSE))</f>
        <v/>
      </c>
      <c r="H197" s="147" t="str">
        <f>IF($C197="","",VLOOKUP($C197,'Tracking List'!$A$5:$AL$883,H$4,FALSE))</f>
        <v/>
      </c>
      <c r="I197" s="147" t="str">
        <f>IF($C197="","",VLOOKUP($C197,'Tracking List'!$A$5:$AL$883,I$4,FALSE))</f>
        <v/>
      </c>
      <c r="J197" s="147" t="str">
        <f>IF($C197="","",VLOOKUP($C197,'Tracking List'!$A$5:$AL$883,J$4,FALSE))</f>
        <v/>
      </c>
      <c r="K197" s="147" t="str">
        <f>IF($C197="","",VLOOKUP($C197,'Tracking List'!$A$5:$AL$883,K$4,FALSE))</f>
        <v/>
      </c>
      <c r="L197" s="168" t="str">
        <f>IF($C197="","",VLOOKUP($C197,'Tracking List'!$A$5:$AL$883,L$4,FALSE))</f>
        <v/>
      </c>
      <c r="M197" s="147" t="str">
        <f>IF($C197="","",VLOOKUP($C197,'Tracking List'!$A$5:$AL$883,M$4,FALSE))</f>
        <v/>
      </c>
      <c r="N197" s="148" t="str">
        <f>IF($C197="","",IF(VLOOKUP($C197,'Tracking List'!$A$5:$AL$883,N$3,FALSE)&gt;0,"Y",VLOOKUP($C197,'Tracking List'!$A$5:$AL$883,N$4,FALSE)))</f>
        <v/>
      </c>
      <c r="O197" s="148" t="str">
        <f>IF($C197="","",IF(VLOOKUP($C197,'Tracking List'!$A$5:$AL$883,O$3,FALSE)&gt;0,"Y",VLOOKUP($C197,'Tracking List'!$A$5:$AL$883,O$4,FALSE)))</f>
        <v/>
      </c>
      <c r="P197" s="147" t="str">
        <f>IF($C197="","",IF(VLOOKUP($C197,'Tracking List'!$A$5:$AL$883,P$4,FALSE)&gt;0,"Y",""))</f>
        <v/>
      </c>
      <c r="Q197" s="149"/>
      <c r="R197" s="166" t="str">
        <f>IF($C197="","",VLOOKUP($C197,'Tracking List'!$A$5:$AL$883,R$4,FALSE))</f>
        <v/>
      </c>
    </row>
    <row r="198" spans="3:18">
      <c r="C198" s="146"/>
      <c r="D198" s="147" t="str">
        <f>IF($C198="","",VLOOKUP($C198,'Tracking List'!$A$5:$AL$883,D$4,FALSE))</f>
        <v/>
      </c>
      <c r="E198" s="147" t="str">
        <f>IF($C198="","",VLOOKUP($C198,'Tracking List'!$A$5:$AL$883,E$4,FALSE))</f>
        <v/>
      </c>
      <c r="F198" s="147" t="str">
        <f>IF($C198="","",VLOOKUP($C198,'Tracking List'!$A$5:$AL$883,F$4,FALSE))</f>
        <v/>
      </c>
      <c r="G198" s="147" t="str">
        <f>IF($C198="","",VLOOKUP($C198,'Tracking List'!$A$5:$AL$883,G$4,FALSE))</f>
        <v/>
      </c>
      <c r="H198" s="147" t="str">
        <f>IF($C198="","",VLOOKUP($C198,'Tracking List'!$A$5:$AL$883,H$4,FALSE))</f>
        <v/>
      </c>
      <c r="I198" s="147" t="str">
        <f>IF($C198="","",VLOOKUP($C198,'Tracking List'!$A$5:$AL$883,I$4,FALSE))</f>
        <v/>
      </c>
      <c r="J198" s="147" t="str">
        <f>IF($C198="","",VLOOKUP($C198,'Tracking List'!$A$5:$AL$883,J$4,FALSE))</f>
        <v/>
      </c>
      <c r="K198" s="147" t="str">
        <f>IF($C198="","",VLOOKUP($C198,'Tracking List'!$A$5:$AL$883,K$4,FALSE))</f>
        <v/>
      </c>
      <c r="L198" s="168" t="str">
        <f>IF($C198="","",VLOOKUP($C198,'Tracking List'!$A$5:$AL$883,L$4,FALSE))</f>
        <v/>
      </c>
      <c r="M198" s="147" t="str">
        <f>IF($C198="","",VLOOKUP($C198,'Tracking List'!$A$5:$AL$883,M$4,FALSE))</f>
        <v/>
      </c>
      <c r="N198" s="148" t="str">
        <f>IF($C198="","",IF(VLOOKUP($C198,'Tracking List'!$A$5:$AL$883,N$3,FALSE)&gt;0,"Y",VLOOKUP($C198,'Tracking List'!$A$5:$AL$883,N$4,FALSE)))</f>
        <v/>
      </c>
      <c r="O198" s="148" t="str">
        <f>IF($C198="","",IF(VLOOKUP($C198,'Tracking List'!$A$5:$AL$883,O$3,FALSE)&gt;0,"Y",VLOOKUP($C198,'Tracking List'!$A$5:$AL$883,O$4,FALSE)))</f>
        <v/>
      </c>
      <c r="P198" s="147" t="str">
        <f>IF($C198="","",IF(VLOOKUP($C198,'Tracking List'!$A$5:$AL$883,P$4,FALSE)&gt;0,"Y",""))</f>
        <v/>
      </c>
      <c r="Q198" s="149"/>
      <c r="R198" s="166" t="str">
        <f>IF($C198="","",VLOOKUP($C198,'Tracking List'!$A$5:$AL$883,R$4,FALSE))</f>
        <v/>
      </c>
    </row>
    <row r="199" spans="3:18">
      <c r="C199" s="146"/>
      <c r="D199" s="147" t="str">
        <f>IF($C199="","",VLOOKUP($C199,'Tracking List'!$A$5:$AL$883,D$4,FALSE))</f>
        <v/>
      </c>
      <c r="E199" s="147" t="str">
        <f>IF($C199="","",VLOOKUP($C199,'Tracking List'!$A$5:$AL$883,E$4,FALSE))</f>
        <v/>
      </c>
      <c r="F199" s="147" t="str">
        <f>IF($C199="","",VLOOKUP($C199,'Tracking List'!$A$5:$AL$883,F$4,FALSE))</f>
        <v/>
      </c>
      <c r="G199" s="147" t="str">
        <f>IF($C199="","",VLOOKUP($C199,'Tracking List'!$A$5:$AL$883,G$4,FALSE))</f>
        <v/>
      </c>
      <c r="H199" s="147" t="str">
        <f>IF($C199="","",VLOOKUP($C199,'Tracking List'!$A$5:$AL$883,H$4,FALSE))</f>
        <v/>
      </c>
      <c r="I199" s="147" t="str">
        <f>IF($C199="","",VLOOKUP($C199,'Tracking List'!$A$5:$AL$883,I$4,FALSE))</f>
        <v/>
      </c>
      <c r="J199" s="147" t="str">
        <f>IF($C199="","",VLOOKUP($C199,'Tracking List'!$A$5:$AL$883,J$4,FALSE))</f>
        <v/>
      </c>
      <c r="K199" s="147" t="str">
        <f>IF($C199="","",VLOOKUP($C199,'Tracking List'!$A$5:$AL$883,K$4,FALSE))</f>
        <v/>
      </c>
      <c r="L199" s="168" t="str">
        <f>IF($C199="","",VLOOKUP($C199,'Tracking List'!$A$5:$AL$883,L$4,FALSE))</f>
        <v/>
      </c>
      <c r="M199" s="147" t="str">
        <f>IF($C199="","",VLOOKUP($C199,'Tracking List'!$A$5:$AL$883,M$4,FALSE))</f>
        <v/>
      </c>
      <c r="N199" s="148" t="str">
        <f>IF($C199="","",IF(VLOOKUP($C199,'Tracking List'!$A$5:$AL$883,N$3,FALSE)&gt;0,"Y",VLOOKUP($C199,'Tracking List'!$A$5:$AL$883,N$4,FALSE)))</f>
        <v/>
      </c>
      <c r="O199" s="148" t="str">
        <f>IF($C199="","",IF(VLOOKUP($C199,'Tracking List'!$A$5:$AL$883,O$3,FALSE)&gt;0,"Y",VLOOKUP($C199,'Tracking List'!$A$5:$AL$883,O$4,FALSE)))</f>
        <v/>
      </c>
      <c r="P199" s="147" t="str">
        <f>IF($C199="","",IF(VLOOKUP($C199,'Tracking List'!$A$5:$AL$883,P$4,FALSE)&gt;0,"Y",""))</f>
        <v/>
      </c>
      <c r="Q199" s="149"/>
      <c r="R199" s="166" t="str">
        <f>IF($C199="","",VLOOKUP($C199,'Tracking List'!$A$5:$AL$883,R$4,FALSE))</f>
        <v/>
      </c>
    </row>
    <row r="200" spans="3:18">
      <c r="C200" s="146"/>
      <c r="D200" s="147" t="str">
        <f>IF($C200="","",VLOOKUP($C200,'Tracking List'!$A$5:$AL$883,D$4,FALSE))</f>
        <v/>
      </c>
      <c r="E200" s="147" t="str">
        <f>IF($C200="","",VLOOKUP($C200,'Tracking List'!$A$5:$AL$883,E$4,FALSE))</f>
        <v/>
      </c>
      <c r="F200" s="147" t="str">
        <f>IF($C200="","",VLOOKUP($C200,'Tracking List'!$A$5:$AL$883,F$4,FALSE))</f>
        <v/>
      </c>
      <c r="G200" s="147" t="str">
        <f>IF($C200="","",VLOOKUP($C200,'Tracking List'!$A$5:$AL$883,G$4,FALSE))</f>
        <v/>
      </c>
      <c r="H200" s="147" t="str">
        <f>IF($C200="","",VLOOKUP($C200,'Tracking List'!$A$5:$AL$883,H$4,FALSE))</f>
        <v/>
      </c>
      <c r="I200" s="147" t="str">
        <f>IF($C200="","",VLOOKUP($C200,'Tracking List'!$A$5:$AL$883,I$4,FALSE))</f>
        <v/>
      </c>
      <c r="J200" s="147" t="str">
        <f>IF($C200="","",VLOOKUP($C200,'Tracking List'!$A$5:$AL$883,J$4,FALSE))</f>
        <v/>
      </c>
      <c r="K200" s="147" t="str">
        <f>IF($C200="","",VLOOKUP($C200,'Tracking List'!$A$5:$AL$883,K$4,FALSE))</f>
        <v/>
      </c>
      <c r="L200" s="168" t="str">
        <f>IF($C200="","",VLOOKUP($C200,'Tracking List'!$A$5:$AL$883,L$4,FALSE))</f>
        <v/>
      </c>
      <c r="M200" s="147" t="str">
        <f>IF($C200="","",VLOOKUP($C200,'Tracking List'!$A$5:$AL$883,M$4,FALSE))</f>
        <v/>
      </c>
      <c r="N200" s="148" t="str">
        <f>IF($C200="","",IF(VLOOKUP($C200,'Tracking List'!$A$5:$AL$883,N$3,FALSE)&gt;0,"Y",VLOOKUP($C200,'Tracking List'!$A$5:$AL$883,N$4,FALSE)))</f>
        <v/>
      </c>
      <c r="O200" s="148" t="str">
        <f>IF($C200="","",IF(VLOOKUP($C200,'Tracking List'!$A$5:$AL$883,O$3,FALSE)&gt;0,"Y",VLOOKUP($C200,'Tracking List'!$A$5:$AL$883,O$4,FALSE)))</f>
        <v/>
      </c>
      <c r="P200" s="147" t="str">
        <f>IF($C200="","",IF(VLOOKUP($C200,'Tracking List'!$A$5:$AL$883,P$4,FALSE)&gt;0,"Y",""))</f>
        <v/>
      </c>
      <c r="Q200" s="149"/>
      <c r="R200" s="166" t="str">
        <f>IF($C200="","",VLOOKUP($C200,'Tracking List'!$A$5:$AL$883,R$4,FALSE))</f>
        <v/>
      </c>
    </row>
    <row r="201" spans="3:18">
      <c r="C201" s="146"/>
      <c r="D201" s="147" t="str">
        <f>IF($C201="","",VLOOKUP($C201,'Tracking List'!$A$5:$AL$883,D$4,FALSE))</f>
        <v/>
      </c>
      <c r="E201" s="147" t="str">
        <f>IF($C201="","",VLOOKUP($C201,'Tracking List'!$A$5:$AL$883,E$4,FALSE))</f>
        <v/>
      </c>
      <c r="F201" s="147" t="str">
        <f>IF($C201="","",VLOOKUP($C201,'Tracking List'!$A$5:$AL$883,F$4,FALSE))</f>
        <v/>
      </c>
      <c r="G201" s="147" t="str">
        <f>IF($C201="","",VLOOKUP($C201,'Tracking List'!$A$5:$AL$883,G$4,FALSE))</f>
        <v/>
      </c>
      <c r="H201" s="147" t="str">
        <f>IF($C201="","",VLOOKUP($C201,'Tracking List'!$A$5:$AL$883,H$4,FALSE))</f>
        <v/>
      </c>
      <c r="I201" s="147" t="str">
        <f>IF($C201="","",VLOOKUP($C201,'Tracking List'!$A$5:$AL$883,I$4,FALSE))</f>
        <v/>
      </c>
      <c r="J201" s="147" t="str">
        <f>IF($C201="","",VLOOKUP($C201,'Tracking List'!$A$5:$AL$883,J$4,FALSE))</f>
        <v/>
      </c>
      <c r="K201" s="147" t="str">
        <f>IF($C201="","",VLOOKUP($C201,'Tracking List'!$A$5:$AL$883,K$4,FALSE))</f>
        <v/>
      </c>
      <c r="L201" s="168" t="str">
        <f>IF($C201="","",VLOOKUP($C201,'Tracking List'!$A$5:$AL$883,L$4,FALSE))</f>
        <v/>
      </c>
      <c r="M201" s="147" t="str">
        <f>IF($C201="","",VLOOKUP($C201,'Tracking List'!$A$5:$AL$883,M$4,FALSE))</f>
        <v/>
      </c>
      <c r="N201" s="148" t="str">
        <f>IF($C201="","",IF(VLOOKUP($C201,'Tracking List'!$A$5:$AL$883,N$3,FALSE)&gt;0,"Y",VLOOKUP($C201,'Tracking List'!$A$5:$AL$883,N$4,FALSE)))</f>
        <v/>
      </c>
      <c r="O201" s="148" t="str">
        <f>IF($C201="","",IF(VLOOKUP($C201,'Tracking List'!$A$5:$AL$883,O$3,FALSE)&gt;0,"Y",VLOOKUP($C201,'Tracking List'!$A$5:$AL$883,O$4,FALSE)))</f>
        <v/>
      </c>
      <c r="P201" s="147" t="str">
        <f>IF($C201="","",IF(VLOOKUP($C201,'Tracking List'!$A$5:$AL$883,P$4,FALSE)&gt;0,"Y",""))</f>
        <v/>
      </c>
      <c r="Q201" s="149"/>
      <c r="R201" s="166" t="str">
        <f>IF($C201="","",VLOOKUP($C201,'Tracking List'!$A$5:$AL$883,R$4,FALSE))</f>
        <v/>
      </c>
    </row>
    <row r="202" spans="3:18">
      <c r="C202" s="146"/>
      <c r="D202" s="147" t="str">
        <f>IF($C202="","",VLOOKUP($C202,'Tracking List'!$A$5:$AL$883,D$4,FALSE))</f>
        <v/>
      </c>
      <c r="E202" s="147" t="str">
        <f>IF($C202="","",VLOOKUP($C202,'Tracking List'!$A$5:$AL$883,E$4,FALSE))</f>
        <v/>
      </c>
      <c r="F202" s="147" t="str">
        <f>IF($C202="","",VLOOKUP($C202,'Tracking List'!$A$5:$AL$883,F$4,FALSE))</f>
        <v/>
      </c>
      <c r="G202" s="147" t="str">
        <f>IF($C202="","",VLOOKUP($C202,'Tracking List'!$A$5:$AL$883,G$4,FALSE))</f>
        <v/>
      </c>
      <c r="H202" s="147" t="str">
        <f>IF($C202="","",VLOOKUP($C202,'Tracking List'!$A$5:$AL$883,H$4,FALSE))</f>
        <v/>
      </c>
      <c r="I202" s="147" t="str">
        <f>IF($C202="","",VLOOKUP($C202,'Tracking List'!$A$5:$AL$883,I$4,FALSE))</f>
        <v/>
      </c>
      <c r="J202" s="147" t="str">
        <f>IF($C202="","",VLOOKUP($C202,'Tracking List'!$A$5:$AL$883,J$4,FALSE))</f>
        <v/>
      </c>
      <c r="K202" s="147" t="str">
        <f>IF($C202="","",VLOOKUP($C202,'Tracking List'!$A$5:$AL$883,K$4,FALSE))</f>
        <v/>
      </c>
      <c r="L202" s="168" t="str">
        <f>IF($C202="","",VLOOKUP($C202,'Tracking List'!$A$5:$AL$883,L$4,FALSE))</f>
        <v/>
      </c>
      <c r="M202" s="147" t="str">
        <f>IF($C202="","",VLOOKUP($C202,'Tracking List'!$A$5:$AL$883,M$4,FALSE))</f>
        <v/>
      </c>
      <c r="N202" s="148" t="str">
        <f>IF($C202="","",IF(VLOOKUP($C202,'Tracking List'!$A$5:$AL$883,N$3,FALSE)&gt;0,"Y",VLOOKUP($C202,'Tracking List'!$A$5:$AL$883,N$4,FALSE)))</f>
        <v/>
      </c>
      <c r="O202" s="148" t="str">
        <f>IF($C202="","",IF(VLOOKUP($C202,'Tracking List'!$A$5:$AL$883,O$3,FALSE)&gt;0,"Y",VLOOKUP($C202,'Tracking List'!$A$5:$AL$883,O$4,FALSE)))</f>
        <v/>
      </c>
      <c r="P202" s="147" t="str">
        <f>IF($C202="","",IF(VLOOKUP($C202,'Tracking List'!$A$5:$AL$883,P$4,FALSE)&gt;0,"Y",""))</f>
        <v/>
      </c>
      <c r="Q202" s="149"/>
      <c r="R202" s="166" t="str">
        <f>IF($C202="","",VLOOKUP($C202,'Tracking List'!$A$5:$AL$883,R$4,FALSE))</f>
        <v/>
      </c>
    </row>
    <row r="203" spans="3:18">
      <c r="C203" s="146"/>
      <c r="D203" s="147" t="str">
        <f>IF($C203="","",VLOOKUP($C203,'Tracking List'!$A$5:$AL$883,D$4,FALSE))</f>
        <v/>
      </c>
      <c r="E203" s="147" t="str">
        <f>IF($C203="","",VLOOKUP($C203,'Tracking List'!$A$5:$AL$883,E$4,FALSE))</f>
        <v/>
      </c>
      <c r="F203" s="147" t="str">
        <f>IF($C203="","",VLOOKUP($C203,'Tracking List'!$A$5:$AL$883,F$4,FALSE))</f>
        <v/>
      </c>
      <c r="G203" s="147" t="str">
        <f>IF($C203="","",VLOOKUP($C203,'Tracking List'!$A$5:$AL$883,G$4,FALSE))</f>
        <v/>
      </c>
      <c r="H203" s="147" t="str">
        <f>IF($C203="","",VLOOKUP($C203,'Tracking List'!$A$5:$AL$883,H$4,FALSE))</f>
        <v/>
      </c>
      <c r="I203" s="147" t="str">
        <f>IF($C203="","",VLOOKUP($C203,'Tracking List'!$A$5:$AL$883,I$4,FALSE))</f>
        <v/>
      </c>
      <c r="J203" s="147" t="str">
        <f>IF($C203="","",VLOOKUP($C203,'Tracking List'!$A$5:$AL$883,J$4,FALSE))</f>
        <v/>
      </c>
      <c r="K203" s="147" t="str">
        <f>IF($C203="","",VLOOKUP($C203,'Tracking List'!$A$5:$AL$883,K$4,FALSE))</f>
        <v/>
      </c>
      <c r="L203" s="168" t="str">
        <f>IF($C203="","",VLOOKUP($C203,'Tracking List'!$A$5:$AL$883,L$4,FALSE))</f>
        <v/>
      </c>
      <c r="M203" s="147" t="str">
        <f>IF($C203="","",VLOOKUP($C203,'Tracking List'!$A$5:$AL$883,M$4,FALSE))</f>
        <v/>
      </c>
      <c r="N203" s="148" t="str">
        <f>IF($C203="","",IF(VLOOKUP($C203,'Tracking List'!$A$5:$AL$883,N$3,FALSE)&gt;0,"Y",VLOOKUP($C203,'Tracking List'!$A$5:$AL$883,N$4,FALSE)))</f>
        <v/>
      </c>
      <c r="O203" s="148" t="str">
        <f>IF($C203="","",IF(VLOOKUP($C203,'Tracking List'!$A$5:$AL$883,O$3,FALSE)&gt;0,"Y",VLOOKUP($C203,'Tracking List'!$A$5:$AL$883,O$4,FALSE)))</f>
        <v/>
      </c>
      <c r="P203" s="147" t="str">
        <f>IF($C203="","",IF(VLOOKUP($C203,'Tracking List'!$A$5:$AL$883,P$4,FALSE)&gt;0,"Y",""))</f>
        <v/>
      </c>
      <c r="Q203" s="149"/>
      <c r="R203" s="166" t="str">
        <f>IF($C203="","",VLOOKUP($C203,'Tracking List'!$A$5:$AL$883,R$4,FALSE))</f>
        <v/>
      </c>
    </row>
    <row r="204" spans="3:18">
      <c r="C204" s="146"/>
      <c r="D204" s="147" t="str">
        <f>IF($C204="","",VLOOKUP($C204,'Tracking List'!$A$5:$AL$883,D$4,FALSE))</f>
        <v/>
      </c>
      <c r="E204" s="147" t="str">
        <f>IF($C204="","",VLOOKUP($C204,'Tracking List'!$A$5:$AL$883,E$4,FALSE))</f>
        <v/>
      </c>
      <c r="F204" s="147" t="str">
        <f>IF($C204="","",VLOOKUP($C204,'Tracking List'!$A$5:$AL$883,F$4,FALSE))</f>
        <v/>
      </c>
      <c r="G204" s="147" t="str">
        <f>IF($C204="","",VLOOKUP($C204,'Tracking List'!$A$5:$AL$883,G$4,FALSE))</f>
        <v/>
      </c>
      <c r="H204" s="147" t="str">
        <f>IF($C204="","",VLOOKUP($C204,'Tracking List'!$A$5:$AL$883,H$4,FALSE))</f>
        <v/>
      </c>
      <c r="I204" s="147" t="str">
        <f>IF($C204="","",VLOOKUP($C204,'Tracking List'!$A$5:$AL$883,I$4,FALSE))</f>
        <v/>
      </c>
      <c r="J204" s="147" t="str">
        <f>IF($C204="","",VLOOKUP($C204,'Tracking List'!$A$5:$AL$883,J$4,FALSE))</f>
        <v/>
      </c>
      <c r="K204" s="147" t="str">
        <f>IF($C204="","",VLOOKUP($C204,'Tracking List'!$A$5:$AL$883,K$4,FALSE))</f>
        <v/>
      </c>
      <c r="L204" s="168" t="str">
        <f>IF($C204="","",VLOOKUP($C204,'Tracking List'!$A$5:$AL$883,L$4,FALSE))</f>
        <v/>
      </c>
      <c r="M204" s="147" t="str">
        <f>IF($C204="","",VLOOKUP($C204,'Tracking List'!$A$5:$AL$883,M$4,FALSE))</f>
        <v/>
      </c>
      <c r="N204" s="148" t="str">
        <f>IF($C204="","",IF(VLOOKUP($C204,'Tracking List'!$A$5:$AL$883,N$3,FALSE)&gt;0,"Y",VLOOKUP($C204,'Tracking List'!$A$5:$AL$883,N$4,FALSE)))</f>
        <v/>
      </c>
      <c r="O204" s="148" t="str">
        <f>IF($C204="","",IF(VLOOKUP($C204,'Tracking List'!$A$5:$AL$883,O$3,FALSE)&gt;0,"Y",VLOOKUP($C204,'Tracking List'!$A$5:$AL$883,O$4,FALSE)))</f>
        <v/>
      </c>
      <c r="P204" s="147" t="str">
        <f>IF($C204="","",IF(VLOOKUP($C204,'Tracking List'!$A$5:$AL$883,P$4,FALSE)&gt;0,"Y",""))</f>
        <v/>
      </c>
      <c r="Q204" s="149"/>
      <c r="R204" s="166" t="str">
        <f>IF($C204="","",VLOOKUP($C204,'Tracking List'!$A$5:$AL$883,R$4,FALSE))</f>
        <v/>
      </c>
    </row>
    <row r="205" spans="3:18">
      <c r="C205" s="146"/>
      <c r="D205" s="147" t="str">
        <f>IF($C205="","",VLOOKUP($C205,'Tracking List'!$A$5:$AL$883,D$4,FALSE))</f>
        <v/>
      </c>
      <c r="E205" s="147" t="str">
        <f>IF($C205="","",VLOOKUP($C205,'Tracking List'!$A$5:$AL$883,E$4,FALSE))</f>
        <v/>
      </c>
      <c r="F205" s="147" t="str">
        <f>IF($C205="","",VLOOKUP($C205,'Tracking List'!$A$5:$AL$883,F$4,FALSE))</f>
        <v/>
      </c>
      <c r="G205" s="147" t="str">
        <f>IF($C205="","",VLOOKUP($C205,'Tracking List'!$A$5:$AL$883,G$4,FALSE))</f>
        <v/>
      </c>
      <c r="H205" s="147" t="str">
        <f>IF($C205="","",VLOOKUP($C205,'Tracking List'!$A$5:$AL$883,H$4,FALSE))</f>
        <v/>
      </c>
      <c r="I205" s="147" t="str">
        <f>IF($C205="","",VLOOKUP($C205,'Tracking List'!$A$5:$AL$883,I$4,FALSE))</f>
        <v/>
      </c>
      <c r="J205" s="147" t="str">
        <f>IF($C205="","",VLOOKUP($C205,'Tracking List'!$A$5:$AL$883,J$4,FALSE))</f>
        <v/>
      </c>
      <c r="K205" s="147" t="str">
        <f>IF($C205="","",VLOOKUP($C205,'Tracking List'!$A$5:$AL$883,K$4,FALSE))</f>
        <v/>
      </c>
      <c r="L205" s="168" t="str">
        <f>IF($C205="","",VLOOKUP($C205,'Tracking List'!$A$5:$AL$883,L$4,FALSE))</f>
        <v/>
      </c>
      <c r="M205" s="147" t="str">
        <f>IF($C205="","",VLOOKUP($C205,'Tracking List'!$A$5:$AL$883,M$4,FALSE))</f>
        <v/>
      </c>
      <c r="N205" s="148" t="str">
        <f>IF($C205="","",IF(VLOOKUP($C205,'Tracking List'!$A$5:$AL$883,N$3,FALSE)&gt;0,"Y",VLOOKUP($C205,'Tracking List'!$A$5:$AL$883,N$4,FALSE)))</f>
        <v/>
      </c>
      <c r="O205" s="148" t="str">
        <f>IF($C205="","",IF(VLOOKUP($C205,'Tracking List'!$A$5:$AL$883,O$3,FALSE)&gt;0,"Y",VLOOKUP($C205,'Tracking List'!$A$5:$AL$883,O$4,FALSE)))</f>
        <v/>
      </c>
      <c r="P205" s="147" t="str">
        <f>IF($C205="","",IF(VLOOKUP($C205,'Tracking List'!$A$5:$AL$883,P$4,FALSE)&gt;0,"Y",""))</f>
        <v/>
      </c>
      <c r="Q205" s="149"/>
      <c r="R205" s="166" t="str">
        <f>IF($C205="","",VLOOKUP($C205,'Tracking List'!$A$5:$AL$883,R$4,FALSE))</f>
        <v/>
      </c>
    </row>
    <row r="206" spans="3:18">
      <c r="C206" s="146"/>
      <c r="D206" s="147" t="str">
        <f>IF($C206="","",VLOOKUP($C206,'Tracking List'!$A$5:$AL$883,D$4,FALSE))</f>
        <v/>
      </c>
      <c r="E206" s="147" t="str">
        <f>IF($C206="","",VLOOKUP($C206,'Tracking List'!$A$5:$AL$883,E$4,FALSE))</f>
        <v/>
      </c>
      <c r="F206" s="147" t="str">
        <f>IF($C206="","",VLOOKUP($C206,'Tracking List'!$A$5:$AL$883,F$4,FALSE))</f>
        <v/>
      </c>
      <c r="G206" s="147" t="str">
        <f>IF($C206="","",VLOOKUP($C206,'Tracking List'!$A$5:$AL$883,G$4,FALSE))</f>
        <v/>
      </c>
      <c r="H206" s="147" t="str">
        <f>IF($C206="","",VLOOKUP($C206,'Tracking List'!$A$5:$AL$883,H$4,FALSE))</f>
        <v/>
      </c>
      <c r="I206" s="147" t="str">
        <f>IF($C206="","",VLOOKUP($C206,'Tracking List'!$A$5:$AL$883,I$4,FALSE))</f>
        <v/>
      </c>
      <c r="J206" s="147" t="str">
        <f>IF($C206="","",VLOOKUP($C206,'Tracking List'!$A$5:$AL$883,J$4,FALSE))</f>
        <v/>
      </c>
      <c r="K206" s="147" t="str">
        <f>IF($C206="","",VLOOKUP($C206,'Tracking List'!$A$5:$AL$883,K$4,FALSE))</f>
        <v/>
      </c>
      <c r="L206" s="168" t="str">
        <f>IF($C206="","",VLOOKUP($C206,'Tracking List'!$A$5:$AL$883,L$4,FALSE))</f>
        <v/>
      </c>
      <c r="M206" s="147" t="str">
        <f>IF($C206="","",VLOOKUP($C206,'Tracking List'!$A$5:$AL$883,M$4,FALSE))</f>
        <v/>
      </c>
      <c r="N206" s="148" t="str">
        <f>IF($C206="","",IF(VLOOKUP($C206,'Tracking List'!$A$5:$AL$883,N$3,FALSE)&gt;0,"Y",VLOOKUP($C206,'Tracking List'!$A$5:$AL$883,N$4,FALSE)))</f>
        <v/>
      </c>
      <c r="O206" s="148" t="str">
        <f>IF($C206="","",IF(VLOOKUP($C206,'Tracking List'!$A$5:$AL$883,O$3,FALSE)&gt;0,"Y",VLOOKUP($C206,'Tracking List'!$A$5:$AL$883,O$4,FALSE)))</f>
        <v/>
      </c>
      <c r="P206" s="147" t="str">
        <f>IF($C206="","",IF(VLOOKUP($C206,'Tracking List'!$A$5:$AL$883,P$4,FALSE)&gt;0,"Y",""))</f>
        <v/>
      </c>
      <c r="Q206" s="149"/>
      <c r="R206" s="166" t="str">
        <f>IF($C206="","",VLOOKUP($C206,'Tracking List'!$A$5:$AL$883,R$4,FALSE))</f>
        <v/>
      </c>
    </row>
    <row r="207" spans="3:18">
      <c r="C207" s="146"/>
      <c r="D207" s="147" t="str">
        <f>IF($C207="","",VLOOKUP($C207,'Tracking List'!$A$5:$AL$883,D$4,FALSE))</f>
        <v/>
      </c>
      <c r="E207" s="147" t="str">
        <f>IF($C207="","",VLOOKUP($C207,'Tracking List'!$A$5:$AL$883,E$4,FALSE))</f>
        <v/>
      </c>
      <c r="F207" s="147" t="str">
        <f>IF($C207="","",VLOOKUP($C207,'Tracking List'!$A$5:$AL$883,F$4,FALSE))</f>
        <v/>
      </c>
      <c r="G207" s="147" t="str">
        <f>IF($C207="","",VLOOKUP($C207,'Tracking List'!$A$5:$AL$883,G$4,FALSE))</f>
        <v/>
      </c>
      <c r="H207" s="147" t="str">
        <f>IF($C207="","",VLOOKUP($C207,'Tracking List'!$A$5:$AL$883,H$4,FALSE))</f>
        <v/>
      </c>
      <c r="I207" s="147" t="str">
        <f>IF($C207="","",VLOOKUP($C207,'Tracking List'!$A$5:$AL$883,I$4,FALSE))</f>
        <v/>
      </c>
      <c r="J207" s="147" t="str">
        <f>IF($C207="","",VLOOKUP($C207,'Tracking List'!$A$5:$AL$883,J$4,FALSE))</f>
        <v/>
      </c>
      <c r="K207" s="147" t="str">
        <f>IF($C207="","",VLOOKUP($C207,'Tracking List'!$A$5:$AL$883,K$4,FALSE))</f>
        <v/>
      </c>
      <c r="L207" s="168" t="str">
        <f>IF($C207="","",VLOOKUP($C207,'Tracking List'!$A$5:$AL$883,L$4,FALSE))</f>
        <v/>
      </c>
      <c r="M207" s="147" t="str">
        <f>IF($C207="","",VLOOKUP($C207,'Tracking List'!$A$5:$AL$883,M$4,FALSE))</f>
        <v/>
      </c>
      <c r="N207" s="148" t="str">
        <f>IF($C207="","",IF(VLOOKUP($C207,'Tracking List'!$A$5:$AL$883,N$3,FALSE)&gt;0,"Y",VLOOKUP($C207,'Tracking List'!$A$5:$AL$883,N$4,FALSE)))</f>
        <v/>
      </c>
      <c r="O207" s="148" t="str">
        <f>IF($C207="","",IF(VLOOKUP($C207,'Tracking List'!$A$5:$AL$883,O$3,FALSE)&gt;0,"Y",VLOOKUP($C207,'Tracking List'!$A$5:$AL$883,O$4,FALSE)))</f>
        <v/>
      </c>
      <c r="P207" s="147" t="str">
        <f>IF($C207="","",IF(VLOOKUP($C207,'Tracking List'!$A$5:$AL$883,P$4,FALSE)&gt;0,"Y",""))</f>
        <v/>
      </c>
      <c r="Q207" s="149"/>
      <c r="R207" s="166" t="str">
        <f>IF($C207="","",VLOOKUP($C207,'Tracking List'!$A$5:$AL$883,R$4,FALSE))</f>
        <v/>
      </c>
    </row>
    <row r="208" spans="3:18">
      <c r="C208" s="146"/>
      <c r="D208" s="147" t="str">
        <f>IF($C208="","",VLOOKUP($C208,'Tracking List'!$A$5:$AL$883,D$4,FALSE))</f>
        <v/>
      </c>
      <c r="E208" s="147" t="str">
        <f>IF($C208="","",VLOOKUP($C208,'Tracking List'!$A$5:$AL$883,E$4,FALSE))</f>
        <v/>
      </c>
      <c r="F208" s="147" t="str">
        <f>IF($C208="","",VLOOKUP($C208,'Tracking List'!$A$5:$AL$883,F$4,FALSE))</f>
        <v/>
      </c>
      <c r="G208" s="147" t="str">
        <f>IF($C208="","",VLOOKUP($C208,'Tracking List'!$A$5:$AL$883,G$4,FALSE))</f>
        <v/>
      </c>
      <c r="H208" s="147" t="str">
        <f>IF($C208="","",VLOOKUP($C208,'Tracking List'!$A$5:$AL$883,H$4,FALSE))</f>
        <v/>
      </c>
      <c r="I208" s="147" t="str">
        <f>IF($C208="","",VLOOKUP($C208,'Tracking List'!$A$5:$AL$883,I$4,FALSE))</f>
        <v/>
      </c>
      <c r="J208" s="147" t="str">
        <f>IF($C208="","",VLOOKUP($C208,'Tracking List'!$A$5:$AL$883,J$4,FALSE))</f>
        <v/>
      </c>
      <c r="K208" s="147" t="str">
        <f>IF($C208="","",VLOOKUP($C208,'Tracking List'!$A$5:$AL$883,K$4,FALSE))</f>
        <v/>
      </c>
      <c r="L208" s="168" t="str">
        <f>IF($C208="","",VLOOKUP($C208,'Tracking List'!$A$5:$AL$883,L$4,FALSE))</f>
        <v/>
      </c>
      <c r="M208" s="147" t="str">
        <f>IF($C208="","",VLOOKUP($C208,'Tracking List'!$A$5:$AL$883,M$4,FALSE))</f>
        <v/>
      </c>
      <c r="N208" s="148" t="str">
        <f>IF($C208="","",IF(VLOOKUP($C208,'Tracking List'!$A$5:$AL$883,N$3,FALSE)&gt;0,"Y",VLOOKUP($C208,'Tracking List'!$A$5:$AL$883,N$4,FALSE)))</f>
        <v/>
      </c>
      <c r="O208" s="148" t="str">
        <f>IF($C208="","",IF(VLOOKUP($C208,'Tracking List'!$A$5:$AL$883,O$3,FALSE)&gt;0,"Y",VLOOKUP($C208,'Tracking List'!$A$5:$AL$883,O$4,FALSE)))</f>
        <v/>
      </c>
      <c r="P208" s="147" t="str">
        <f>IF($C208="","",IF(VLOOKUP($C208,'Tracking List'!$A$5:$AL$883,P$4,FALSE)&gt;0,"Y",""))</f>
        <v/>
      </c>
      <c r="Q208" s="149"/>
      <c r="R208" s="166" t="str">
        <f>IF($C208="","",VLOOKUP($C208,'Tracking List'!$A$5:$AL$883,R$4,FALSE))</f>
        <v/>
      </c>
    </row>
    <row r="209" spans="3:18">
      <c r="C209" s="146"/>
      <c r="D209" s="147" t="str">
        <f>IF($C209="","",VLOOKUP($C209,'Tracking List'!$A$5:$AL$883,D$4,FALSE))</f>
        <v/>
      </c>
      <c r="E209" s="147" t="str">
        <f>IF($C209="","",VLOOKUP($C209,'Tracking List'!$A$5:$AL$883,E$4,FALSE))</f>
        <v/>
      </c>
      <c r="F209" s="147" t="str">
        <f>IF($C209="","",VLOOKUP($C209,'Tracking List'!$A$5:$AL$883,F$4,FALSE))</f>
        <v/>
      </c>
      <c r="G209" s="147" t="str">
        <f>IF($C209="","",VLOOKUP($C209,'Tracking List'!$A$5:$AL$883,G$4,FALSE))</f>
        <v/>
      </c>
      <c r="H209" s="147" t="str">
        <f>IF($C209="","",VLOOKUP($C209,'Tracking List'!$A$5:$AL$883,H$4,FALSE))</f>
        <v/>
      </c>
      <c r="I209" s="147" t="str">
        <f>IF($C209="","",VLOOKUP($C209,'Tracking List'!$A$5:$AL$883,I$4,FALSE))</f>
        <v/>
      </c>
      <c r="J209" s="147" t="str">
        <f>IF($C209="","",VLOOKUP($C209,'Tracking List'!$A$5:$AL$883,J$4,FALSE))</f>
        <v/>
      </c>
      <c r="K209" s="147" t="str">
        <f>IF($C209="","",VLOOKUP($C209,'Tracking List'!$A$5:$AL$883,K$4,FALSE))</f>
        <v/>
      </c>
      <c r="L209" s="168" t="str">
        <f>IF($C209="","",VLOOKUP($C209,'Tracking List'!$A$5:$AL$883,L$4,FALSE))</f>
        <v/>
      </c>
      <c r="M209" s="147" t="str">
        <f>IF($C209="","",VLOOKUP($C209,'Tracking List'!$A$5:$AL$883,M$4,FALSE))</f>
        <v/>
      </c>
      <c r="N209" s="148" t="str">
        <f>IF($C209="","",IF(VLOOKUP($C209,'Tracking List'!$A$5:$AL$883,N$3,FALSE)&gt;0,"Y",VLOOKUP($C209,'Tracking List'!$A$5:$AL$883,N$4,FALSE)))</f>
        <v/>
      </c>
      <c r="O209" s="148" t="str">
        <f>IF($C209="","",IF(VLOOKUP($C209,'Tracking List'!$A$5:$AL$883,O$3,FALSE)&gt;0,"Y",VLOOKUP($C209,'Tracking List'!$A$5:$AL$883,O$4,FALSE)))</f>
        <v/>
      </c>
      <c r="P209" s="147" t="str">
        <f>IF($C209="","",IF(VLOOKUP($C209,'Tracking List'!$A$5:$AL$883,P$4,FALSE)&gt;0,"Y",""))</f>
        <v/>
      </c>
      <c r="Q209" s="149"/>
      <c r="R209" s="166" t="str">
        <f>IF($C209="","",VLOOKUP($C209,'Tracking List'!$A$5:$AL$883,R$4,FALSE))</f>
        <v/>
      </c>
    </row>
    <row r="210" spans="3:18">
      <c r="C210" s="146"/>
      <c r="D210" s="147" t="str">
        <f>IF($C210="","",VLOOKUP($C210,'Tracking List'!$A$5:$AL$883,D$4,FALSE))</f>
        <v/>
      </c>
      <c r="E210" s="147" t="str">
        <f>IF($C210="","",VLOOKUP($C210,'Tracking List'!$A$5:$AL$883,E$4,FALSE))</f>
        <v/>
      </c>
      <c r="F210" s="147" t="str">
        <f>IF($C210="","",VLOOKUP($C210,'Tracking List'!$A$5:$AL$883,F$4,FALSE))</f>
        <v/>
      </c>
      <c r="G210" s="147" t="str">
        <f>IF($C210="","",VLOOKUP($C210,'Tracking List'!$A$5:$AL$883,G$4,FALSE))</f>
        <v/>
      </c>
      <c r="H210" s="147" t="str">
        <f>IF($C210="","",VLOOKUP($C210,'Tracking List'!$A$5:$AL$883,H$4,FALSE))</f>
        <v/>
      </c>
      <c r="I210" s="147" t="str">
        <f>IF($C210="","",VLOOKUP($C210,'Tracking List'!$A$5:$AL$883,I$4,FALSE))</f>
        <v/>
      </c>
      <c r="J210" s="147" t="str">
        <f>IF($C210="","",VLOOKUP($C210,'Tracking List'!$A$5:$AL$883,J$4,FALSE))</f>
        <v/>
      </c>
      <c r="K210" s="147" t="str">
        <f>IF($C210="","",VLOOKUP($C210,'Tracking List'!$A$5:$AL$883,K$4,FALSE))</f>
        <v/>
      </c>
      <c r="L210" s="168" t="str">
        <f>IF($C210="","",VLOOKUP($C210,'Tracking List'!$A$5:$AL$883,L$4,FALSE))</f>
        <v/>
      </c>
      <c r="M210" s="147" t="str">
        <f>IF($C210="","",VLOOKUP($C210,'Tracking List'!$A$5:$AL$883,M$4,FALSE))</f>
        <v/>
      </c>
      <c r="N210" s="148" t="str">
        <f>IF($C210="","",IF(VLOOKUP($C210,'Tracking List'!$A$5:$AL$883,N$3,FALSE)&gt;0,"Y",VLOOKUP($C210,'Tracking List'!$A$5:$AL$883,N$4,FALSE)))</f>
        <v/>
      </c>
      <c r="O210" s="148" t="str">
        <f>IF($C210="","",IF(VLOOKUP($C210,'Tracking List'!$A$5:$AL$883,O$3,FALSE)&gt;0,"Y",VLOOKUP($C210,'Tracking List'!$A$5:$AL$883,O$4,FALSE)))</f>
        <v/>
      </c>
      <c r="P210" s="147" t="str">
        <f>IF($C210="","",IF(VLOOKUP($C210,'Tracking List'!$A$5:$AL$883,P$4,FALSE)&gt;0,"Y",""))</f>
        <v/>
      </c>
      <c r="Q210" s="149"/>
      <c r="R210" s="166" t="str">
        <f>IF($C210="","",VLOOKUP($C210,'Tracking List'!$A$5:$AL$883,R$4,FALSE))</f>
        <v/>
      </c>
    </row>
    <row r="211" spans="3:18">
      <c r="C211" s="146"/>
      <c r="D211" s="147" t="str">
        <f>IF($C211="","",VLOOKUP($C211,'Tracking List'!$A$5:$AL$883,D$4,FALSE))</f>
        <v/>
      </c>
      <c r="E211" s="147" t="str">
        <f>IF($C211="","",VLOOKUP($C211,'Tracking List'!$A$5:$AL$883,E$4,FALSE))</f>
        <v/>
      </c>
      <c r="F211" s="147" t="str">
        <f>IF($C211="","",VLOOKUP($C211,'Tracking List'!$A$5:$AL$883,F$4,FALSE))</f>
        <v/>
      </c>
      <c r="G211" s="147" t="str">
        <f>IF($C211="","",VLOOKUP($C211,'Tracking List'!$A$5:$AL$883,G$4,FALSE))</f>
        <v/>
      </c>
      <c r="H211" s="147" t="str">
        <f>IF($C211="","",VLOOKUP($C211,'Tracking List'!$A$5:$AL$883,H$4,FALSE))</f>
        <v/>
      </c>
      <c r="I211" s="147" t="str">
        <f>IF($C211="","",VLOOKUP($C211,'Tracking List'!$A$5:$AL$883,I$4,FALSE))</f>
        <v/>
      </c>
      <c r="J211" s="147" t="str">
        <f>IF($C211="","",VLOOKUP($C211,'Tracking List'!$A$5:$AL$883,J$4,FALSE))</f>
        <v/>
      </c>
      <c r="K211" s="147" t="str">
        <f>IF($C211="","",VLOOKUP($C211,'Tracking List'!$A$5:$AL$883,K$4,FALSE))</f>
        <v/>
      </c>
      <c r="L211" s="168" t="str">
        <f>IF($C211="","",VLOOKUP($C211,'Tracking List'!$A$5:$AL$883,L$4,FALSE))</f>
        <v/>
      </c>
      <c r="M211" s="147" t="str">
        <f>IF($C211="","",VLOOKUP($C211,'Tracking List'!$A$5:$AL$883,M$4,FALSE))</f>
        <v/>
      </c>
      <c r="N211" s="148" t="str">
        <f>IF($C211="","",IF(VLOOKUP($C211,'Tracking List'!$A$5:$AL$883,N$3,FALSE)&gt;0,"Y",VLOOKUP($C211,'Tracking List'!$A$5:$AL$883,N$4,FALSE)))</f>
        <v/>
      </c>
      <c r="O211" s="148" t="str">
        <f>IF($C211="","",IF(VLOOKUP($C211,'Tracking List'!$A$5:$AL$883,O$3,FALSE)&gt;0,"Y",VLOOKUP($C211,'Tracking List'!$A$5:$AL$883,O$4,FALSE)))</f>
        <v/>
      </c>
      <c r="P211" s="147" t="str">
        <f>IF($C211="","",IF(VLOOKUP($C211,'Tracking List'!$A$5:$AL$883,P$4,FALSE)&gt;0,"Y",""))</f>
        <v/>
      </c>
      <c r="Q211" s="149"/>
      <c r="R211" s="166" t="str">
        <f>IF($C211="","",VLOOKUP($C211,'Tracking List'!$A$5:$AL$883,R$4,FALSE))</f>
        <v/>
      </c>
    </row>
    <row r="212" spans="3:18">
      <c r="C212" s="146"/>
      <c r="D212" s="147" t="str">
        <f>IF($C212="","",VLOOKUP($C212,'Tracking List'!$A$5:$AL$883,D$4,FALSE))</f>
        <v/>
      </c>
      <c r="E212" s="147" t="str">
        <f>IF($C212="","",VLOOKUP($C212,'Tracking List'!$A$5:$AL$883,E$4,FALSE))</f>
        <v/>
      </c>
      <c r="F212" s="147" t="str">
        <f>IF($C212="","",VLOOKUP($C212,'Tracking List'!$A$5:$AL$883,F$4,FALSE))</f>
        <v/>
      </c>
      <c r="G212" s="147" t="str">
        <f>IF($C212="","",VLOOKUP($C212,'Tracking List'!$A$5:$AL$883,G$4,FALSE))</f>
        <v/>
      </c>
      <c r="H212" s="147" t="str">
        <f>IF($C212="","",VLOOKUP($C212,'Tracking List'!$A$5:$AL$883,H$4,FALSE))</f>
        <v/>
      </c>
      <c r="I212" s="147" t="str">
        <f>IF($C212="","",VLOOKUP($C212,'Tracking List'!$A$5:$AL$883,I$4,FALSE))</f>
        <v/>
      </c>
      <c r="J212" s="147" t="str">
        <f>IF($C212="","",VLOOKUP($C212,'Tracking List'!$A$5:$AL$883,J$4,FALSE))</f>
        <v/>
      </c>
      <c r="K212" s="147" t="str">
        <f>IF($C212="","",VLOOKUP($C212,'Tracking List'!$A$5:$AL$883,K$4,FALSE))</f>
        <v/>
      </c>
      <c r="L212" s="168" t="str">
        <f>IF($C212="","",VLOOKUP($C212,'Tracking List'!$A$5:$AL$883,L$4,FALSE))</f>
        <v/>
      </c>
      <c r="M212" s="147" t="str">
        <f>IF($C212="","",VLOOKUP($C212,'Tracking List'!$A$5:$AL$883,M$4,FALSE))</f>
        <v/>
      </c>
      <c r="N212" s="148" t="str">
        <f>IF($C212="","",IF(VLOOKUP($C212,'Tracking List'!$A$5:$AL$883,N$3,FALSE)&gt;0,"Y",VLOOKUP($C212,'Tracking List'!$A$5:$AL$883,N$4,FALSE)))</f>
        <v/>
      </c>
      <c r="O212" s="148" t="str">
        <f>IF($C212="","",IF(VLOOKUP($C212,'Tracking List'!$A$5:$AL$883,O$3,FALSE)&gt;0,"Y",VLOOKUP($C212,'Tracking List'!$A$5:$AL$883,O$4,FALSE)))</f>
        <v/>
      </c>
      <c r="P212" s="147" t="str">
        <f>IF($C212="","",IF(VLOOKUP($C212,'Tracking List'!$A$5:$AL$883,P$4,FALSE)&gt;0,"Y",""))</f>
        <v/>
      </c>
      <c r="Q212" s="149"/>
      <c r="R212" s="166" t="str">
        <f>IF($C212="","",VLOOKUP($C212,'Tracking List'!$A$5:$AL$883,R$4,FALSE))</f>
        <v/>
      </c>
    </row>
    <row r="213" spans="3:18">
      <c r="C213" s="146"/>
      <c r="D213" s="147" t="str">
        <f>IF($C213="","",VLOOKUP($C213,'Tracking List'!$A$5:$AL$883,D$4,FALSE))</f>
        <v/>
      </c>
      <c r="E213" s="147" t="str">
        <f>IF($C213="","",VLOOKUP($C213,'Tracking List'!$A$5:$AL$883,E$4,FALSE))</f>
        <v/>
      </c>
      <c r="F213" s="147" t="str">
        <f>IF($C213="","",VLOOKUP($C213,'Tracking List'!$A$5:$AL$883,F$4,FALSE))</f>
        <v/>
      </c>
      <c r="G213" s="147" t="str">
        <f>IF($C213="","",VLOOKUP($C213,'Tracking List'!$A$5:$AL$883,G$4,FALSE))</f>
        <v/>
      </c>
      <c r="H213" s="147" t="str">
        <f>IF($C213="","",VLOOKUP($C213,'Tracking List'!$A$5:$AL$883,H$4,FALSE))</f>
        <v/>
      </c>
      <c r="I213" s="147" t="str">
        <f>IF($C213="","",VLOOKUP($C213,'Tracking List'!$A$5:$AL$883,I$4,FALSE))</f>
        <v/>
      </c>
      <c r="J213" s="147" t="str">
        <f>IF($C213="","",VLOOKUP($C213,'Tracking List'!$A$5:$AL$883,J$4,FALSE))</f>
        <v/>
      </c>
      <c r="K213" s="147" t="str">
        <f>IF($C213="","",VLOOKUP($C213,'Tracking List'!$A$5:$AL$883,K$4,FALSE))</f>
        <v/>
      </c>
      <c r="L213" s="168" t="str">
        <f>IF($C213="","",VLOOKUP($C213,'Tracking List'!$A$5:$AL$883,L$4,FALSE))</f>
        <v/>
      </c>
      <c r="M213" s="147" t="str">
        <f>IF($C213="","",VLOOKUP($C213,'Tracking List'!$A$5:$AL$883,M$4,FALSE))</f>
        <v/>
      </c>
      <c r="N213" s="148" t="str">
        <f>IF($C213="","",IF(VLOOKUP($C213,'Tracking List'!$A$5:$AL$883,N$3,FALSE)&gt;0,"Y",VLOOKUP($C213,'Tracking List'!$A$5:$AL$883,N$4,FALSE)))</f>
        <v/>
      </c>
      <c r="O213" s="148" t="str">
        <f>IF($C213="","",IF(VLOOKUP($C213,'Tracking List'!$A$5:$AL$883,O$3,FALSE)&gt;0,"Y",VLOOKUP($C213,'Tracking List'!$A$5:$AL$883,O$4,FALSE)))</f>
        <v/>
      </c>
      <c r="P213" s="147" t="str">
        <f>IF($C213="","",IF(VLOOKUP($C213,'Tracking List'!$A$5:$AL$883,P$4,FALSE)&gt;0,"Y",""))</f>
        <v/>
      </c>
      <c r="Q213" s="149"/>
      <c r="R213" s="166" t="str">
        <f>IF($C213="","",VLOOKUP($C213,'Tracking List'!$A$5:$AL$883,R$4,FALSE))</f>
        <v/>
      </c>
    </row>
    <row r="214" spans="3:18">
      <c r="C214" s="146"/>
      <c r="D214" s="147" t="str">
        <f>IF($C214="","",VLOOKUP($C214,'Tracking List'!$A$5:$AL$883,D$4,FALSE))</f>
        <v/>
      </c>
      <c r="E214" s="147" t="str">
        <f>IF($C214="","",VLOOKUP($C214,'Tracking List'!$A$5:$AL$883,E$4,FALSE))</f>
        <v/>
      </c>
      <c r="F214" s="147" t="str">
        <f>IF($C214="","",VLOOKUP($C214,'Tracking List'!$A$5:$AL$883,F$4,FALSE))</f>
        <v/>
      </c>
      <c r="G214" s="147" t="str">
        <f>IF($C214="","",VLOOKUP($C214,'Tracking List'!$A$5:$AL$883,G$4,FALSE))</f>
        <v/>
      </c>
      <c r="H214" s="147" t="str">
        <f>IF($C214="","",VLOOKUP($C214,'Tracking List'!$A$5:$AL$883,H$4,FALSE))</f>
        <v/>
      </c>
      <c r="I214" s="147" t="str">
        <f>IF($C214="","",VLOOKUP($C214,'Tracking List'!$A$5:$AL$883,I$4,FALSE))</f>
        <v/>
      </c>
      <c r="J214" s="147" t="str">
        <f>IF($C214="","",VLOOKUP($C214,'Tracking List'!$A$5:$AL$883,J$4,FALSE))</f>
        <v/>
      </c>
      <c r="K214" s="147" t="str">
        <f>IF($C214="","",VLOOKUP($C214,'Tracking List'!$A$5:$AL$883,K$4,FALSE))</f>
        <v/>
      </c>
      <c r="L214" s="168" t="str">
        <f>IF($C214="","",VLOOKUP($C214,'Tracking List'!$A$5:$AL$883,L$4,FALSE))</f>
        <v/>
      </c>
      <c r="M214" s="147" t="str">
        <f>IF($C214="","",VLOOKUP($C214,'Tracking List'!$A$5:$AL$883,M$4,FALSE))</f>
        <v/>
      </c>
      <c r="N214" s="148" t="str">
        <f>IF($C214="","",IF(VLOOKUP($C214,'Tracking List'!$A$5:$AL$883,N$3,FALSE)&gt;0,"Y",VLOOKUP($C214,'Tracking List'!$A$5:$AL$883,N$4,FALSE)))</f>
        <v/>
      </c>
      <c r="O214" s="148" t="str">
        <f>IF($C214="","",IF(VLOOKUP($C214,'Tracking List'!$A$5:$AL$883,O$3,FALSE)&gt;0,"Y",VLOOKUP($C214,'Tracking List'!$A$5:$AL$883,O$4,FALSE)))</f>
        <v/>
      </c>
      <c r="P214" s="147" t="str">
        <f>IF($C214="","",IF(VLOOKUP($C214,'Tracking List'!$A$5:$AL$883,P$4,FALSE)&gt;0,"Y",""))</f>
        <v/>
      </c>
      <c r="Q214" s="149"/>
      <c r="R214" s="166" t="str">
        <f>IF($C214="","",VLOOKUP($C214,'Tracking List'!$A$5:$AL$883,R$4,FALSE))</f>
        <v/>
      </c>
    </row>
    <row r="215" spans="3:18">
      <c r="C215" s="146"/>
      <c r="D215" s="147" t="str">
        <f>IF($C215="","",VLOOKUP($C215,'Tracking List'!$A$5:$AL$883,D$4,FALSE))</f>
        <v/>
      </c>
      <c r="E215" s="147" t="str">
        <f>IF($C215="","",VLOOKUP($C215,'Tracking List'!$A$5:$AL$883,E$4,FALSE))</f>
        <v/>
      </c>
      <c r="F215" s="147" t="str">
        <f>IF($C215="","",VLOOKUP($C215,'Tracking List'!$A$5:$AL$883,F$4,FALSE))</f>
        <v/>
      </c>
      <c r="G215" s="147" t="str">
        <f>IF($C215="","",VLOOKUP($C215,'Tracking List'!$A$5:$AL$883,G$4,FALSE))</f>
        <v/>
      </c>
      <c r="H215" s="147" t="str">
        <f>IF($C215="","",VLOOKUP($C215,'Tracking List'!$A$5:$AL$883,H$4,FALSE))</f>
        <v/>
      </c>
      <c r="I215" s="147" t="str">
        <f>IF($C215="","",VLOOKUP($C215,'Tracking List'!$A$5:$AL$883,I$4,FALSE))</f>
        <v/>
      </c>
      <c r="J215" s="147" t="str">
        <f>IF($C215="","",VLOOKUP($C215,'Tracking List'!$A$5:$AL$883,J$4,FALSE))</f>
        <v/>
      </c>
      <c r="K215" s="147" t="str">
        <f>IF($C215="","",VLOOKUP($C215,'Tracking List'!$A$5:$AL$883,K$4,FALSE))</f>
        <v/>
      </c>
      <c r="L215" s="168" t="str">
        <f>IF($C215="","",VLOOKUP($C215,'Tracking List'!$A$5:$AL$883,L$4,FALSE))</f>
        <v/>
      </c>
      <c r="M215" s="147" t="str">
        <f>IF($C215="","",VLOOKUP($C215,'Tracking List'!$A$5:$AL$883,M$4,FALSE))</f>
        <v/>
      </c>
      <c r="N215" s="148" t="str">
        <f>IF($C215="","",IF(VLOOKUP($C215,'Tracking List'!$A$5:$AL$883,N$3,FALSE)&gt;0,"Y",VLOOKUP($C215,'Tracking List'!$A$5:$AL$883,N$4,FALSE)))</f>
        <v/>
      </c>
      <c r="O215" s="148" t="str">
        <f>IF($C215="","",IF(VLOOKUP($C215,'Tracking List'!$A$5:$AL$883,O$3,FALSE)&gt;0,"Y",VLOOKUP($C215,'Tracking List'!$A$5:$AL$883,O$4,FALSE)))</f>
        <v/>
      </c>
      <c r="P215" s="147" t="str">
        <f>IF($C215="","",IF(VLOOKUP($C215,'Tracking List'!$A$5:$AL$883,P$4,FALSE)&gt;0,"Y",""))</f>
        <v/>
      </c>
      <c r="Q215" s="149"/>
      <c r="R215" s="166" t="str">
        <f>IF($C215="","",VLOOKUP($C215,'Tracking List'!$A$5:$AL$883,R$4,FALSE))</f>
        <v/>
      </c>
    </row>
    <row r="216" spans="3:18">
      <c r="C216" s="146"/>
      <c r="D216" s="147" t="str">
        <f>IF($C216="","",VLOOKUP($C216,'Tracking List'!$A$5:$AL$883,D$4,FALSE))</f>
        <v/>
      </c>
      <c r="E216" s="147" t="str">
        <f>IF($C216="","",VLOOKUP($C216,'Tracking List'!$A$5:$AL$883,E$4,FALSE))</f>
        <v/>
      </c>
      <c r="F216" s="147" t="str">
        <f>IF($C216="","",VLOOKUP($C216,'Tracking List'!$A$5:$AL$883,F$4,FALSE))</f>
        <v/>
      </c>
      <c r="G216" s="147" t="str">
        <f>IF($C216="","",VLOOKUP($C216,'Tracking List'!$A$5:$AL$883,G$4,FALSE))</f>
        <v/>
      </c>
      <c r="H216" s="147" t="str">
        <f>IF($C216="","",VLOOKUP($C216,'Tracking List'!$A$5:$AL$883,H$4,FALSE))</f>
        <v/>
      </c>
      <c r="I216" s="147" t="str">
        <f>IF($C216="","",VLOOKUP($C216,'Tracking List'!$A$5:$AL$883,I$4,FALSE))</f>
        <v/>
      </c>
      <c r="J216" s="147" t="str">
        <f>IF($C216="","",VLOOKUP($C216,'Tracking List'!$A$5:$AL$883,J$4,FALSE))</f>
        <v/>
      </c>
      <c r="K216" s="147" t="str">
        <f>IF($C216="","",VLOOKUP($C216,'Tracking List'!$A$5:$AL$883,K$4,FALSE))</f>
        <v/>
      </c>
      <c r="L216" s="168" t="str">
        <f>IF($C216="","",VLOOKUP($C216,'Tracking List'!$A$5:$AL$883,L$4,FALSE))</f>
        <v/>
      </c>
      <c r="M216" s="147" t="str">
        <f>IF($C216="","",VLOOKUP($C216,'Tracking List'!$A$5:$AL$883,M$4,FALSE))</f>
        <v/>
      </c>
      <c r="N216" s="148" t="str">
        <f>IF($C216="","",IF(VLOOKUP($C216,'Tracking List'!$A$5:$AL$883,N$3,FALSE)&gt;0,"Y",VLOOKUP($C216,'Tracking List'!$A$5:$AL$883,N$4,FALSE)))</f>
        <v/>
      </c>
      <c r="O216" s="148" t="str">
        <f>IF($C216="","",IF(VLOOKUP($C216,'Tracking List'!$A$5:$AL$883,O$3,FALSE)&gt;0,"Y",VLOOKUP($C216,'Tracking List'!$A$5:$AL$883,O$4,FALSE)))</f>
        <v/>
      </c>
      <c r="P216" s="147" t="str">
        <f>IF($C216="","",IF(VLOOKUP($C216,'Tracking List'!$A$5:$AL$883,P$4,FALSE)&gt;0,"Y",""))</f>
        <v/>
      </c>
      <c r="Q216" s="149"/>
      <c r="R216" s="166" t="str">
        <f>IF($C216="","",VLOOKUP($C216,'Tracking List'!$A$5:$AL$883,R$4,FALSE))</f>
        <v/>
      </c>
    </row>
    <row r="217" spans="3:18">
      <c r="C217" s="146"/>
      <c r="D217" s="147" t="str">
        <f>IF($C217="","",VLOOKUP($C217,'Tracking List'!$A$5:$AL$883,D$4,FALSE))</f>
        <v/>
      </c>
      <c r="E217" s="147" t="str">
        <f>IF($C217="","",VLOOKUP($C217,'Tracking List'!$A$5:$AL$883,E$4,FALSE))</f>
        <v/>
      </c>
      <c r="F217" s="147" t="str">
        <f>IF($C217="","",VLOOKUP($C217,'Tracking List'!$A$5:$AL$883,F$4,FALSE))</f>
        <v/>
      </c>
      <c r="G217" s="147" t="str">
        <f>IF($C217="","",VLOOKUP($C217,'Tracking List'!$A$5:$AL$883,G$4,FALSE))</f>
        <v/>
      </c>
      <c r="H217" s="147" t="str">
        <f>IF($C217="","",VLOOKUP($C217,'Tracking List'!$A$5:$AL$883,H$4,FALSE))</f>
        <v/>
      </c>
      <c r="I217" s="147" t="str">
        <f>IF($C217="","",VLOOKUP($C217,'Tracking List'!$A$5:$AL$883,I$4,FALSE))</f>
        <v/>
      </c>
      <c r="J217" s="147" t="str">
        <f>IF($C217="","",VLOOKUP($C217,'Tracking List'!$A$5:$AL$883,J$4,FALSE))</f>
        <v/>
      </c>
      <c r="K217" s="147" t="str">
        <f>IF($C217="","",VLOOKUP($C217,'Tracking List'!$A$5:$AL$883,K$4,FALSE))</f>
        <v/>
      </c>
      <c r="L217" s="168" t="str">
        <f>IF($C217="","",VLOOKUP($C217,'Tracking List'!$A$5:$AL$883,L$4,FALSE))</f>
        <v/>
      </c>
      <c r="M217" s="147" t="str">
        <f>IF($C217="","",VLOOKUP($C217,'Tracking List'!$A$5:$AL$883,M$4,FALSE))</f>
        <v/>
      </c>
      <c r="N217" s="148" t="str">
        <f>IF($C217="","",IF(VLOOKUP($C217,'Tracking List'!$A$5:$AL$883,N$3,FALSE)&gt;0,"Y",VLOOKUP($C217,'Tracking List'!$A$5:$AL$883,N$4,FALSE)))</f>
        <v/>
      </c>
      <c r="O217" s="148" t="str">
        <f>IF($C217="","",IF(VLOOKUP($C217,'Tracking List'!$A$5:$AL$883,O$3,FALSE)&gt;0,"Y",VLOOKUP($C217,'Tracking List'!$A$5:$AL$883,O$4,FALSE)))</f>
        <v/>
      </c>
      <c r="P217" s="147" t="str">
        <f>IF($C217="","",IF(VLOOKUP($C217,'Tracking List'!$A$5:$AL$883,P$4,FALSE)&gt;0,"Y",""))</f>
        <v/>
      </c>
      <c r="Q217" s="149"/>
      <c r="R217" s="166" t="str">
        <f>IF($C217="","",VLOOKUP($C217,'Tracking List'!$A$5:$AL$883,R$4,FALSE))</f>
        <v/>
      </c>
    </row>
    <row r="218" spans="3:18">
      <c r="C218" s="146"/>
      <c r="D218" s="147" t="str">
        <f>IF($C218="","",VLOOKUP($C218,'Tracking List'!$A$5:$AL$883,D$4,FALSE))</f>
        <v/>
      </c>
      <c r="E218" s="147" t="str">
        <f>IF($C218="","",VLOOKUP($C218,'Tracking List'!$A$5:$AL$883,E$4,FALSE))</f>
        <v/>
      </c>
      <c r="F218" s="147" t="str">
        <f>IF($C218="","",VLOOKUP($C218,'Tracking List'!$A$5:$AL$883,F$4,FALSE))</f>
        <v/>
      </c>
      <c r="G218" s="147" t="str">
        <f>IF($C218="","",VLOOKUP($C218,'Tracking List'!$A$5:$AL$883,G$4,FALSE))</f>
        <v/>
      </c>
      <c r="H218" s="147" t="str">
        <f>IF($C218="","",VLOOKUP($C218,'Tracking List'!$A$5:$AL$883,H$4,FALSE))</f>
        <v/>
      </c>
      <c r="I218" s="147" t="str">
        <f>IF($C218="","",VLOOKUP($C218,'Tracking List'!$A$5:$AL$883,I$4,FALSE))</f>
        <v/>
      </c>
      <c r="J218" s="147" t="str">
        <f>IF($C218="","",VLOOKUP($C218,'Tracking List'!$A$5:$AL$883,J$4,FALSE))</f>
        <v/>
      </c>
      <c r="K218" s="147" t="str">
        <f>IF($C218="","",VLOOKUP($C218,'Tracking List'!$A$5:$AL$883,K$4,FALSE))</f>
        <v/>
      </c>
      <c r="L218" s="168" t="str">
        <f>IF($C218="","",VLOOKUP($C218,'Tracking List'!$A$5:$AL$883,L$4,FALSE))</f>
        <v/>
      </c>
      <c r="M218" s="147" t="str">
        <f>IF($C218="","",VLOOKUP($C218,'Tracking List'!$A$5:$AL$883,M$4,FALSE))</f>
        <v/>
      </c>
      <c r="N218" s="148" t="str">
        <f>IF($C218="","",IF(VLOOKUP($C218,'Tracking List'!$A$5:$AL$883,N$3,FALSE)&gt;0,"Y",VLOOKUP($C218,'Tracking List'!$A$5:$AL$883,N$4,FALSE)))</f>
        <v/>
      </c>
      <c r="O218" s="148" t="str">
        <f>IF($C218="","",IF(VLOOKUP($C218,'Tracking List'!$A$5:$AL$883,O$3,FALSE)&gt;0,"Y",VLOOKUP($C218,'Tracking List'!$A$5:$AL$883,O$4,FALSE)))</f>
        <v/>
      </c>
      <c r="P218" s="147" t="str">
        <f>IF($C218="","",IF(VLOOKUP($C218,'Tracking List'!$A$5:$AL$883,P$4,FALSE)&gt;0,"Y",""))</f>
        <v/>
      </c>
      <c r="Q218" s="149"/>
      <c r="R218" s="166" t="str">
        <f>IF($C218="","",VLOOKUP($C218,'Tracking List'!$A$5:$AL$883,R$4,FALSE))</f>
        <v/>
      </c>
    </row>
    <row r="219" spans="3:18">
      <c r="C219" s="146"/>
      <c r="D219" s="147" t="str">
        <f>IF($C219="","",VLOOKUP($C219,'Tracking List'!$A$5:$AL$883,D$4,FALSE))</f>
        <v/>
      </c>
      <c r="E219" s="147" t="str">
        <f>IF($C219="","",VLOOKUP($C219,'Tracking List'!$A$5:$AL$883,E$4,FALSE))</f>
        <v/>
      </c>
      <c r="F219" s="147" t="str">
        <f>IF($C219="","",VLOOKUP($C219,'Tracking List'!$A$5:$AL$883,F$4,FALSE))</f>
        <v/>
      </c>
      <c r="G219" s="147" t="str">
        <f>IF($C219="","",VLOOKUP($C219,'Tracking List'!$A$5:$AL$883,G$4,FALSE))</f>
        <v/>
      </c>
      <c r="H219" s="147" t="str">
        <f>IF($C219="","",VLOOKUP($C219,'Tracking List'!$A$5:$AL$883,H$4,FALSE))</f>
        <v/>
      </c>
      <c r="I219" s="147" t="str">
        <f>IF($C219="","",VLOOKUP($C219,'Tracking List'!$A$5:$AL$883,I$4,FALSE))</f>
        <v/>
      </c>
      <c r="J219" s="147" t="str">
        <f>IF($C219="","",VLOOKUP($C219,'Tracking List'!$A$5:$AL$883,J$4,FALSE))</f>
        <v/>
      </c>
      <c r="K219" s="147" t="str">
        <f>IF($C219="","",VLOOKUP($C219,'Tracking List'!$A$5:$AL$883,K$4,FALSE))</f>
        <v/>
      </c>
      <c r="L219" s="168" t="str">
        <f>IF($C219="","",VLOOKUP($C219,'Tracking List'!$A$5:$AL$883,L$4,FALSE))</f>
        <v/>
      </c>
      <c r="M219" s="147" t="str">
        <f>IF($C219="","",VLOOKUP($C219,'Tracking List'!$A$5:$AL$883,M$4,FALSE))</f>
        <v/>
      </c>
      <c r="N219" s="148" t="str">
        <f>IF($C219="","",IF(VLOOKUP($C219,'Tracking List'!$A$5:$AL$883,N$3,FALSE)&gt;0,"Y",VLOOKUP($C219,'Tracking List'!$A$5:$AL$883,N$4,FALSE)))</f>
        <v/>
      </c>
      <c r="O219" s="148" t="str">
        <f>IF($C219="","",IF(VLOOKUP($C219,'Tracking List'!$A$5:$AL$883,O$3,FALSE)&gt;0,"Y",VLOOKUP($C219,'Tracking List'!$A$5:$AL$883,O$4,FALSE)))</f>
        <v/>
      </c>
      <c r="P219" s="147" t="str">
        <f>IF($C219="","",IF(VLOOKUP($C219,'Tracking List'!$A$5:$AL$883,P$4,FALSE)&gt;0,"Y",""))</f>
        <v/>
      </c>
      <c r="Q219" s="149"/>
      <c r="R219" s="166" t="str">
        <f>IF($C219="","",VLOOKUP($C219,'Tracking List'!$A$5:$AL$883,R$4,FALSE))</f>
        <v/>
      </c>
    </row>
    <row r="220" spans="3:18">
      <c r="C220" s="146"/>
      <c r="D220" s="147" t="str">
        <f>IF($C220="","",VLOOKUP($C220,'Tracking List'!$A$5:$AL$883,D$4,FALSE))</f>
        <v/>
      </c>
      <c r="E220" s="147" t="str">
        <f>IF($C220="","",VLOOKUP($C220,'Tracking List'!$A$5:$AL$883,E$4,FALSE))</f>
        <v/>
      </c>
      <c r="F220" s="147" t="str">
        <f>IF($C220="","",VLOOKUP($C220,'Tracking List'!$A$5:$AL$883,F$4,FALSE))</f>
        <v/>
      </c>
      <c r="G220" s="147" t="str">
        <f>IF($C220="","",VLOOKUP($C220,'Tracking List'!$A$5:$AL$883,G$4,FALSE))</f>
        <v/>
      </c>
      <c r="H220" s="147" t="str">
        <f>IF($C220="","",VLOOKUP($C220,'Tracking List'!$A$5:$AL$883,H$4,FALSE))</f>
        <v/>
      </c>
      <c r="I220" s="147" t="str">
        <f>IF($C220="","",VLOOKUP($C220,'Tracking List'!$A$5:$AL$883,I$4,FALSE))</f>
        <v/>
      </c>
      <c r="J220" s="147" t="str">
        <f>IF($C220="","",VLOOKUP($C220,'Tracking List'!$A$5:$AL$883,J$4,FALSE))</f>
        <v/>
      </c>
      <c r="K220" s="147" t="str">
        <f>IF($C220="","",VLOOKUP($C220,'Tracking List'!$A$5:$AL$883,K$4,FALSE))</f>
        <v/>
      </c>
      <c r="L220" s="168" t="str">
        <f>IF($C220="","",VLOOKUP($C220,'Tracking List'!$A$5:$AL$883,L$4,FALSE))</f>
        <v/>
      </c>
      <c r="M220" s="147" t="str">
        <f>IF($C220="","",VLOOKUP($C220,'Tracking List'!$A$5:$AL$883,M$4,FALSE))</f>
        <v/>
      </c>
      <c r="N220" s="148" t="str">
        <f>IF($C220="","",IF(VLOOKUP($C220,'Tracking List'!$A$5:$AL$883,N$3,FALSE)&gt;0,"Y",VLOOKUP($C220,'Tracking List'!$A$5:$AL$883,N$4,FALSE)))</f>
        <v/>
      </c>
      <c r="O220" s="148" t="str">
        <f>IF($C220="","",IF(VLOOKUP($C220,'Tracking List'!$A$5:$AL$883,O$3,FALSE)&gt;0,"Y",VLOOKUP($C220,'Tracking List'!$A$5:$AL$883,O$4,FALSE)))</f>
        <v/>
      </c>
      <c r="P220" s="147" t="str">
        <f>IF($C220="","",IF(VLOOKUP($C220,'Tracking List'!$A$5:$AL$883,P$4,FALSE)&gt;0,"Y",""))</f>
        <v/>
      </c>
      <c r="Q220" s="149"/>
      <c r="R220" s="166" t="str">
        <f>IF($C220="","",VLOOKUP($C220,'Tracking List'!$A$5:$AL$883,R$4,FALSE))</f>
        <v/>
      </c>
    </row>
    <row r="221" spans="3:18">
      <c r="C221" s="146"/>
      <c r="D221" s="147" t="str">
        <f>IF($C221="","",VLOOKUP($C221,'Tracking List'!$A$5:$AL$883,D$4,FALSE))</f>
        <v/>
      </c>
      <c r="E221" s="147" t="str">
        <f>IF($C221="","",VLOOKUP($C221,'Tracking List'!$A$5:$AL$883,E$4,FALSE))</f>
        <v/>
      </c>
      <c r="F221" s="147" t="str">
        <f>IF($C221="","",VLOOKUP($C221,'Tracking List'!$A$5:$AL$883,F$4,FALSE))</f>
        <v/>
      </c>
      <c r="G221" s="147" t="str">
        <f>IF($C221="","",VLOOKUP($C221,'Tracking List'!$A$5:$AL$883,G$4,FALSE))</f>
        <v/>
      </c>
      <c r="H221" s="147" t="str">
        <f>IF($C221="","",VLOOKUP($C221,'Tracking List'!$A$5:$AL$883,H$4,FALSE))</f>
        <v/>
      </c>
      <c r="I221" s="147" t="str">
        <f>IF($C221="","",VLOOKUP($C221,'Tracking List'!$A$5:$AL$883,I$4,FALSE))</f>
        <v/>
      </c>
      <c r="J221" s="147" t="str">
        <f>IF($C221="","",VLOOKUP($C221,'Tracking List'!$A$5:$AL$883,J$4,FALSE))</f>
        <v/>
      </c>
      <c r="K221" s="147" t="str">
        <f>IF($C221="","",VLOOKUP($C221,'Tracking List'!$A$5:$AL$883,K$4,FALSE))</f>
        <v/>
      </c>
      <c r="L221" s="168" t="str">
        <f>IF($C221="","",VLOOKUP($C221,'Tracking List'!$A$5:$AL$883,L$4,FALSE))</f>
        <v/>
      </c>
      <c r="M221" s="147" t="str">
        <f>IF($C221="","",VLOOKUP($C221,'Tracking List'!$A$5:$AL$883,M$4,FALSE))</f>
        <v/>
      </c>
      <c r="N221" s="148" t="str">
        <f>IF($C221="","",IF(VLOOKUP($C221,'Tracking List'!$A$5:$AL$883,N$3,FALSE)&gt;0,"Y",VLOOKUP($C221,'Tracking List'!$A$5:$AL$883,N$4,FALSE)))</f>
        <v/>
      </c>
      <c r="O221" s="148" t="str">
        <f>IF($C221="","",IF(VLOOKUP($C221,'Tracking List'!$A$5:$AL$883,O$3,FALSE)&gt;0,"Y",VLOOKUP($C221,'Tracking List'!$A$5:$AL$883,O$4,FALSE)))</f>
        <v/>
      </c>
      <c r="P221" s="147" t="str">
        <f>IF($C221="","",IF(VLOOKUP($C221,'Tracking List'!$A$5:$AL$883,P$4,FALSE)&gt;0,"Y",""))</f>
        <v/>
      </c>
      <c r="Q221" s="149"/>
      <c r="R221" s="166" t="str">
        <f>IF($C221="","",VLOOKUP($C221,'Tracking List'!$A$5:$AL$883,R$4,FALSE))</f>
        <v/>
      </c>
    </row>
    <row r="222" spans="3:18">
      <c r="C222" s="146"/>
      <c r="D222" s="147" t="str">
        <f>IF($C222="","",VLOOKUP($C222,'Tracking List'!$A$5:$AL$883,D$4,FALSE))</f>
        <v/>
      </c>
      <c r="E222" s="147" t="str">
        <f>IF($C222="","",VLOOKUP($C222,'Tracking List'!$A$5:$AL$883,E$4,FALSE))</f>
        <v/>
      </c>
      <c r="F222" s="147" t="str">
        <f>IF($C222="","",VLOOKUP($C222,'Tracking List'!$A$5:$AL$883,F$4,FALSE))</f>
        <v/>
      </c>
      <c r="G222" s="147" t="str">
        <f>IF($C222="","",VLOOKUP($C222,'Tracking List'!$A$5:$AL$883,G$4,FALSE))</f>
        <v/>
      </c>
      <c r="H222" s="147" t="str">
        <f>IF($C222="","",VLOOKUP($C222,'Tracking List'!$A$5:$AL$883,H$4,FALSE))</f>
        <v/>
      </c>
      <c r="I222" s="147" t="str">
        <f>IF($C222="","",VLOOKUP($C222,'Tracking List'!$A$5:$AL$883,I$4,FALSE))</f>
        <v/>
      </c>
      <c r="J222" s="147" t="str">
        <f>IF($C222="","",VLOOKUP($C222,'Tracking List'!$A$5:$AL$883,J$4,FALSE))</f>
        <v/>
      </c>
      <c r="K222" s="147" t="str">
        <f>IF($C222="","",VLOOKUP($C222,'Tracking List'!$A$5:$AL$883,K$4,FALSE))</f>
        <v/>
      </c>
      <c r="L222" s="168" t="str">
        <f>IF($C222="","",VLOOKUP($C222,'Tracking List'!$A$5:$AL$883,L$4,FALSE))</f>
        <v/>
      </c>
      <c r="M222" s="147" t="str">
        <f>IF($C222="","",VLOOKUP($C222,'Tracking List'!$A$5:$AL$883,M$4,FALSE))</f>
        <v/>
      </c>
      <c r="N222" s="148" t="str">
        <f>IF($C222="","",IF(VLOOKUP($C222,'Tracking List'!$A$5:$AL$883,N$3,FALSE)&gt;0,"Y",VLOOKUP($C222,'Tracking List'!$A$5:$AL$883,N$4,FALSE)))</f>
        <v/>
      </c>
      <c r="O222" s="148" t="str">
        <f>IF($C222="","",IF(VLOOKUP($C222,'Tracking List'!$A$5:$AL$883,O$3,FALSE)&gt;0,"Y",VLOOKUP($C222,'Tracking List'!$A$5:$AL$883,O$4,FALSE)))</f>
        <v/>
      </c>
      <c r="P222" s="147" t="str">
        <f>IF($C222="","",IF(VLOOKUP($C222,'Tracking List'!$A$5:$AL$883,P$4,FALSE)&gt;0,"Y",""))</f>
        <v/>
      </c>
      <c r="Q222" s="149"/>
      <c r="R222" s="166" t="str">
        <f>IF($C222="","",VLOOKUP($C222,'Tracking List'!$A$5:$AL$883,R$4,FALSE))</f>
        <v/>
      </c>
    </row>
    <row r="223" spans="3:18">
      <c r="C223" s="146"/>
      <c r="D223" s="147" t="str">
        <f>IF($C223="","",VLOOKUP($C223,'Tracking List'!$A$5:$AL$883,D$4,FALSE))</f>
        <v/>
      </c>
      <c r="E223" s="147" t="str">
        <f>IF($C223="","",VLOOKUP($C223,'Tracking List'!$A$5:$AL$883,E$4,FALSE))</f>
        <v/>
      </c>
      <c r="F223" s="147" t="str">
        <f>IF($C223="","",VLOOKUP($C223,'Tracking List'!$A$5:$AL$883,F$4,FALSE))</f>
        <v/>
      </c>
      <c r="G223" s="147" t="str">
        <f>IF($C223="","",VLOOKUP($C223,'Tracking List'!$A$5:$AL$883,G$4,FALSE))</f>
        <v/>
      </c>
      <c r="H223" s="147" t="str">
        <f>IF($C223="","",VLOOKUP($C223,'Tracking List'!$A$5:$AL$883,H$4,FALSE))</f>
        <v/>
      </c>
      <c r="I223" s="147" t="str">
        <f>IF($C223="","",VLOOKUP($C223,'Tracking List'!$A$5:$AL$883,I$4,FALSE))</f>
        <v/>
      </c>
      <c r="J223" s="147" t="str">
        <f>IF($C223="","",VLOOKUP($C223,'Tracking List'!$A$5:$AL$883,J$4,FALSE))</f>
        <v/>
      </c>
      <c r="K223" s="147" t="str">
        <f>IF($C223="","",VLOOKUP($C223,'Tracking List'!$A$5:$AL$883,K$4,FALSE))</f>
        <v/>
      </c>
      <c r="L223" s="168" t="str">
        <f>IF($C223="","",VLOOKUP($C223,'Tracking List'!$A$5:$AL$883,L$4,FALSE))</f>
        <v/>
      </c>
      <c r="M223" s="147" t="str">
        <f>IF($C223="","",VLOOKUP($C223,'Tracking List'!$A$5:$AL$883,M$4,FALSE))</f>
        <v/>
      </c>
      <c r="N223" s="148" t="str">
        <f>IF($C223="","",IF(VLOOKUP($C223,'Tracking List'!$A$5:$AL$883,N$3,FALSE)&gt;0,"Y",VLOOKUP($C223,'Tracking List'!$A$5:$AL$883,N$4,FALSE)))</f>
        <v/>
      </c>
      <c r="O223" s="148" t="str">
        <f>IF($C223="","",IF(VLOOKUP($C223,'Tracking List'!$A$5:$AL$883,O$3,FALSE)&gt;0,"Y",VLOOKUP($C223,'Tracking List'!$A$5:$AL$883,O$4,FALSE)))</f>
        <v/>
      </c>
      <c r="P223" s="147" t="str">
        <f>IF($C223="","",IF(VLOOKUP($C223,'Tracking List'!$A$5:$AL$883,P$4,FALSE)&gt;0,"Y",""))</f>
        <v/>
      </c>
      <c r="Q223" s="149"/>
      <c r="R223" s="166" t="str">
        <f>IF($C223="","",VLOOKUP($C223,'Tracking List'!$A$5:$AL$883,R$4,FALSE))</f>
        <v/>
      </c>
    </row>
    <row r="224" spans="3:18">
      <c r="C224" s="146"/>
      <c r="D224" s="147" t="str">
        <f>IF($C224="","",VLOOKUP($C224,'Tracking List'!$A$5:$AL$883,D$4,FALSE))</f>
        <v/>
      </c>
      <c r="E224" s="147" t="str">
        <f>IF($C224="","",VLOOKUP($C224,'Tracking List'!$A$5:$AL$883,E$4,FALSE))</f>
        <v/>
      </c>
      <c r="F224" s="147" t="str">
        <f>IF($C224="","",VLOOKUP($C224,'Tracking List'!$A$5:$AL$883,F$4,FALSE))</f>
        <v/>
      </c>
      <c r="G224" s="147" t="str">
        <f>IF($C224="","",VLOOKUP($C224,'Tracking List'!$A$5:$AL$883,G$4,FALSE))</f>
        <v/>
      </c>
      <c r="H224" s="147" t="str">
        <f>IF($C224="","",VLOOKUP($C224,'Tracking List'!$A$5:$AL$883,H$4,FALSE))</f>
        <v/>
      </c>
      <c r="I224" s="147" t="str">
        <f>IF($C224="","",VLOOKUP($C224,'Tracking List'!$A$5:$AL$883,I$4,FALSE))</f>
        <v/>
      </c>
      <c r="J224" s="147" t="str">
        <f>IF($C224="","",VLOOKUP($C224,'Tracking List'!$A$5:$AL$883,J$4,FALSE))</f>
        <v/>
      </c>
      <c r="K224" s="147" t="str">
        <f>IF($C224="","",VLOOKUP($C224,'Tracking List'!$A$5:$AL$883,K$4,FALSE))</f>
        <v/>
      </c>
      <c r="L224" s="168" t="str">
        <f>IF($C224="","",VLOOKUP($C224,'Tracking List'!$A$5:$AL$883,L$4,FALSE))</f>
        <v/>
      </c>
      <c r="M224" s="147" t="str">
        <f>IF($C224="","",VLOOKUP($C224,'Tracking List'!$A$5:$AL$883,M$4,FALSE))</f>
        <v/>
      </c>
      <c r="N224" s="148" t="str">
        <f>IF($C224="","",IF(VLOOKUP($C224,'Tracking List'!$A$5:$AL$883,N$3,FALSE)&gt;0,"Y",VLOOKUP($C224,'Tracking List'!$A$5:$AL$883,N$4,FALSE)))</f>
        <v/>
      </c>
      <c r="O224" s="148" t="str">
        <f>IF($C224="","",IF(VLOOKUP($C224,'Tracking List'!$A$5:$AL$883,O$3,FALSE)&gt;0,"Y",VLOOKUP($C224,'Tracking List'!$A$5:$AL$883,O$4,FALSE)))</f>
        <v/>
      </c>
      <c r="P224" s="147" t="str">
        <f>IF($C224="","",IF(VLOOKUP($C224,'Tracking List'!$A$5:$AL$883,P$4,FALSE)&gt;0,"Y",""))</f>
        <v/>
      </c>
      <c r="Q224" s="149"/>
      <c r="R224" s="166" t="str">
        <f>IF($C224="","",VLOOKUP($C224,'Tracking List'!$A$5:$AL$883,R$4,FALSE))</f>
        <v/>
      </c>
    </row>
    <row r="225" spans="3:18">
      <c r="C225" s="146"/>
      <c r="D225" s="147" t="str">
        <f>IF($C225="","",VLOOKUP($C225,'Tracking List'!$A$5:$AL$883,D$4,FALSE))</f>
        <v/>
      </c>
      <c r="E225" s="147" t="str">
        <f>IF($C225="","",VLOOKUP($C225,'Tracking List'!$A$5:$AL$883,E$4,FALSE))</f>
        <v/>
      </c>
      <c r="F225" s="147" t="str">
        <f>IF($C225="","",VLOOKUP($C225,'Tracking List'!$A$5:$AL$883,F$4,FALSE))</f>
        <v/>
      </c>
      <c r="G225" s="147" t="str">
        <f>IF($C225="","",VLOOKUP($C225,'Tracking List'!$A$5:$AL$883,G$4,FALSE))</f>
        <v/>
      </c>
      <c r="H225" s="147" t="str">
        <f>IF($C225="","",VLOOKUP($C225,'Tracking List'!$A$5:$AL$883,H$4,FALSE))</f>
        <v/>
      </c>
      <c r="I225" s="147" t="str">
        <f>IF($C225="","",VLOOKUP($C225,'Tracking List'!$A$5:$AL$883,I$4,FALSE))</f>
        <v/>
      </c>
      <c r="J225" s="147" t="str">
        <f>IF($C225="","",VLOOKUP($C225,'Tracking List'!$A$5:$AL$883,J$4,FALSE))</f>
        <v/>
      </c>
      <c r="K225" s="147" t="str">
        <f>IF($C225="","",VLOOKUP($C225,'Tracking List'!$A$5:$AL$883,K$4,FALSE))</f>
        <v/>
      </c>
      <c r="L225" s="168" t="str">
        <f>IF($C225="","",VLOOKUP($C225,'Tracking List'!$A$5:$AL$883,L$4,FALSE))</f>
        <v/>
      </c>
      <c r="M225" s="147" t="str">
        <f>IF($C225="","",VLOOKUP($C225,'Tracking List'!$A$5:$AL$883,M$4,FALSE))</f>
        <v/>
      </c>
      <c r="N225" s="148" t="str">
        <f>IF($C225="","",IF(VLOOKUP($C225,'Tracking List'!$A$5:$AL$883,N$3,FALSE)&gt;0,"Y",VLOOKUP($C225,'Tracking List'!$A$5:$AL$883,N$4,FALSE)))</f>
        <v/>
      </c>
      <c r="O225" s="148" t="str">
        <f>IF($C225="","",IF(VLOOKUP($C225,'Tracking List'!$A$5:$AL$883,O$3,FALSE)&gt;0,"Y",VLOOKUP($C225,'Tracking List'!$A$5:$AL$883,O$4,FALSE)))</f>
        <v/>
      </c>
      <c r="P225" s="147" t="str">
        <f>IF($C225="","",IF(VLOOKUP($C225,'Tracking List'!$A$5:$AL$883,P$4,FALSE)&gt;0,"Y",""))</f>
        <v/>
      </c>
      <c r="Q225" s="149"/>
      <c r="R225" s="166" t="str">
        <f>IF($C225="","",VLOOKUP($C225,'Tracking List'!$A$5:$AL$883,R$4,FALSE))</f>
        <v/>
      </c>
    </row>
    <row r="226" spans="3:18">
      <c r="C226" s="146"/>
      <c r="D226" s="147" t="str">
        <f>IF($C226="","",VLOOKUP($C226,'Tracking List'!$A$5:$AL$883,D$4,FALSE))</f>
        <v/>
      </c>
      <c r="E226" s="147" t="str">
        <f>IF($C226="","",VLOOKUP($C226,'Tracking List'!$A$5:$AL$883,E$4,FALSE))</f>
        <v/>
      </c>
      <c r="F226" s="147" t="str">
        <f>IF($C226="","",VLOOKUP($C226,'Tracking List'!$A$5:$AL$883,F$4,FALSE))</f>
        <v/>
      </c>
      <c r="G226" s="147" t="str">
        <f>IF($C226="","",VLOOKUP($C226,'Tracking List'!$A$5:$AL$883,G$4,FALSE))</f>
        <v/>
      </c>
      <c r="H226" s="147" t="str">
        <f>IF($C226="","",VLOOKUP($C226,'Tracking List'!$A$5:$AL$883,H$4,FALSE))</f>
        <v/>
      </c>
      <c r="I226" s="147" t="str">
        <f>IF($C226="","",VLOOKUP($C226,'Tracking List'!$A$5:$AL$883,I$4,FALSE))</f>
        <v/>
      </c>
      <c r="J226" s="147" t="str">
        <f>IF($C226="","",VLOOKUP($C226,'Tracking List'!$A$5:$AL$883,J$4,FALSE))</f>
        <v/>
      </c>
      <c r="K226" s="147" t="str">
        <f>IF($C226="","",VLOOKUP($C226,'Tracking List'!$A$5:$AL$883,K$4,FALSE))</f>
        <v/>
      </c>
      <c r="L226" s="168" t="str">
        <f>IF($C226="","",VLOOKUP($C226,'Tracking List'!$A$5:$AL$883,L$4,FALSE))</f>
        <v/>
      </c>
      <c r="M226" s="147" t="str">
        <f>IF($C226="","",VLOOKUP($C226,'Tracking List'!$A$5:$AL$883,M$4,FALSE))</f>
        <v/>
      </c>
      <c r="N226" s="148" t="str">
        <f>IF($C226="","",IF(VLOOKUP($C226,'Tracking List'!$A$5:$AL$883,N$3,FALSE)&gt;0,"Y",VLOOKUP($C226,'Tracking List'!$A$5:$AL$883,N$4,FALSE)))</f>
        <v/>
      </c>
      <c r="O226" s="148" t="str">
        <f>IF($C226="","",IF(VLOOKUP($C226,'Tracking List'!$A$5:$AL$883,O$3,FALSE)&gt;0,"Y",VLOOKUP($C226,'Tracking List'!$A$5:$AL$883,O$4,FALSE)))</f>
        <v/>
      </c>
      <c r="P226" s="147" t="str">
        <f>IF($C226="","",IF(VLOOKUP($C226,'Tracking List'!$A$5:$AL$883,P$4,FALSE)&gt;0,"Y",""))</f>
        <v/>
      </c>
      <c r="Q226" s="149"/>
      <c r="R226" s="166" t="str">
        <f>IF($C226="","",VLOOKUP($C226,'Tracking List'!$A$5:$AL$883,R$4,FALSE))</f>
        <v/>
      </c>
    </row>
    <row r="227" spans="3:18">
      <c r="C227" s="146"/>
      <c r="D227" s="147" t="str">
        <f>IF($C227="","",VLOOKUP($C227,'Tracking List'!$A$5:$AL$883,D$4,FALSE))</f>
        <v/>
      </c>
      <c r="E227" s="147" t="str">
        <f>IF($C227="","",VLOOKUP($C227,'Tracking List'!$A$5:$AL$883,E$4,FALSE))</f>
        <v/>
      </c>
      <c r="F227" s="147" t="str">
        <f>IF($C227="","",VLOOKUP($C227,'Tracking List'!$A$5:$AL$883,F$4,FALSE))</f>
        <v/>
      </c>
      <c r="G227" s="147" t="str">
        <f>IF($C227="","",VLOOKUP($C227,'Tracking List'!$A$5:$AL$883,G$4,FALSE))</f>
        <v/>
      </c>
      <c r="H227" s="147" t="str">
        <f>IF($C227="","",VLOOKUP($C227,'Tracking List'!$A$5:$AL$883,H$4,FALSE))</f>
        <v/>
      </c>
      <c r="I227" s="147" t="str">
        <f>IF($C227="","",VLOOKUP($C227,'Tracking List'!$A$5:$AL$883,I$4,FALSE))</f>
        <v/>
      </c>
      <c r="J227" s="147" t="str">
        <f>IF($C227="","",VLOOKUP($C227,'Tracking List'!$A$5:$AL$883,J$4,FALSE))</f>
        <v/>
      </c>
      <c r="K227" s="147" t="str">
        <f>IF($C227="","",VLOOKUP($C227,'Tracking List'!$A$5:$AL$883,K$4,FALSE))</f>
        <v/>
      </c>
      <c r="L227" s="168" t="str">
        <f>IF($C227="","",VLOOKUP($C227,'Tracking List'!$A$5:$AL$883,L$4,FALSE))</f>
        <v/>
      </c>
      <c r="M227" s="147" t="str">
        <f>IF($C227="","",VLOOKUP($C227,'Tracking List'!$A$5:$AL$883,M$4,FALSE))</f>
        <v/>
      </c>
      <c r="N227" s="148" t="str">
        <f>IF($C227="","",IF(VLOOKUP($C227,'Tracking List'!$A$5:$AL$883,N$3,FALSE)&gt;0,"Y",VLOOKUP($C227,'Tracking List'!$A$5:$AL$883,N$4,FALSE)))</f>
        <v/>
      </c>
      <c r="O227" s="148" t="str">
        <f>IF($C227="","",IF(VLOOKUP($C227,'Tracking List'!$A$5:$AL$883,O$3,FALSE)&gt;0,"Y",VLOOKUP($C227,'Tracking List'!$A$5:$AL$883,O$4,FALSE)))</f>
        <v/>
      </c>
      <c r="P227" s="147" t="str">
        <f>IF($C227="","",IF(VLOOKUP($C227,'Tracking List'!$A$5:$AL$883,P$4,FALSE)&gt;0,"Y",""))</f>
        <v/>
      </c>
      <c r="Q227" s="149"/>
      <c r="R227" s="166" t="str">
        <f>IF($C227="","",VLOOKUP($C227,'Tracking List'!$A$5:$AL$883,R$4,FALSE))</f>
        <v/>
      </c>
    </row>
    <row r="228" spans="3:18">
      <c r="C228" s="146"/>
      <c r="D228" s="147" t="str">
        <f>IF($C228="","",VLOOKUP($C228,'Tracking List'!$A$5:$AL$883,D$4,FALSE))</f>
        <v/>
      </c>
      <c r="E228" s="147" t="str">
        <f>IF($C228="","",VLOOKUP($C228,'Tracking List'!$A$5:$AL$883,E$4,FALSE))</f>
        <v/>
      </c>
      <c r="F228" s="147" t="str">
        <f>IF($C228="","",VLOOKUP($C228,'Tracking List'!$A$5:$AL$883,F$4,FALSE))</f>
        <v/>
      </c>
      <c r="G228" s="147" t="str">
        <f>IF($C228="","",VLOOKUP($C228,'Tracking List'!$A$5:$AL$883,G$4,FALSE))</f>
        <v/>
      </c>
      <c r="H228" s="147" t="str">
        <f>IF($C228="","",VLOOKUP($C228,'Tracking List'!$A$5:$AL$883,H$4,FALSE))</f>
        <v/>
      </c>
      <c r="I228" s="147" t="str">
        <f>IF($C228="","",VLOOKUP($C228,'Tracking List'!$A$5:$AL$883,I$4,FALSE))</f>
        <v/>
      </c>
      <c r="J228" s="147" t="str">
        <f>IF($C228="","",VLOOKUP($C228,'Tracking List'!$A$5:$AL$883,J$4,FALSE))</f>
        <v/>
      </c>
      <c r="K228" s="147" t="str">
        <f>IF($C228="","",VLOOKUP($C228,'Tracking List'!$A$5:$AL$883,K$4,FALSE))</f>
        <v/>
      </c>
      <c r="L228" s="168" t="str">
        <f>IF($C228="","",VLOOKUP($C228,'Tracking List'!$A$5:$AL$883,L$4,FALSE))</f>
        <v/>
      </c>
      <c r="M228" s="147" t="str">
        <f>IF($C228="","",VLOOKUP($C228,'Tracking List'!$A$5:$AL$883,M$4,FALSE))</f>
        <v/>
      </c>
      <c r="N228" s="148" t="str">
        <f>IF($C228="","",IF(VLOOKUP($C228,'Tracking List'!$A$5:$AL$883,N$3,FALSE)&gt;0,"Y",VLOOKUP($C228,'Tracking List'!$A$5:$AL$883,N$4,FALSE)))</f>
        <v/>
      </c>
      <c r="O228" s="148" t="str">
        <f>IF($C228="","",IF(VLOOKUP($C228,'Tracking List'!$A$5:$AL$883,O$3,FALSE)&gt;0,"Y",VLOOKUP($C228,'Tracking List'!$A$5:$AL$883,O$4,FALSE)))</f>
        <v/>
      </c>
      <c r="P228" s="147" t="str">
        <f>IF($C228="","",IF(VLOOKUP($C228,'Tracking List'!$A$5:$AL$883,P$4,FALSE)&gt;0,"Y",""))</f>
        <v/>
      </c>
      <c r="Q228" s="149"/>
      <c r="R228" s="166" t="str">
        <f>IF($C228="","",VLOOKUP($C228,'Tracking List'!$A$5:$AL$883,R$4,FALSE))</f>
        <v/>
      </c>
    </row>
    <row r="229" spans="3:18">
      <c r="C229" s="146"/>
      <c r="D229" s="147" t="str">
        <f>IF($C229="","",VLOOKUP($C229,'Tracking List'!$A$5:$AL$883,D$4,FALSE))</f>
        <v/>
      </c>
      <c r="E229" s="147" t="str">
        <f>IF($C229="","",VLOOKUP($C229,'Tracking List'!$A$5:$AL$883,E$4,FALSE))</f>
        <v/>
      </c>
      <c r="F229" s="147" t="str">
        <f>IF($C229="","",VLOOKUP($C229,'Tracking List'!$A$5:$AL$883,F$4,FALSE))</f>
        <v/>
      </c>
      <c r="G229" s="147" t="str">
        <f>IF($C229="","",VLOOKUP($C229,'Tracking List'!$A$5:$AL$883,G$4,FALSE))</f>
        <v/>
      </c>
      <c r="H229" s="147" t="str">
        <f>IF($C229="","",VLOOKUP($C229,'Tracking List'!$A$5:$AL$883,H$4,FALSE))</f>
        <v/>
      </c>
      <c r="I229" s="147" t="str">
        <f>IF($C229="","",VLOOKUP($C229,'Tracking List'!$A$5:$AL$883,I$4,FALSE))</f>
        <v/>
      </c>
      <c r="J229" s="147" t="str">
        <f>IF($C229="","",VLOOKUP($C229,'Tracking List'!$A$5:$AL$883,J$4,FALSE))</f>
        <v/>
      </c>
      <c r="K229" s="147" t="str">
        <f>IF($C229="","",VLOOKUP($C229,'Tracking List'!$A$5:$AL$883,K$4,FALSE))</f>
        <v/>
      </c>
      <c r="L229" s="168" t="str">
        <f>IF($C229="","",VLOOKUP($C229,'Tracking List'!$A$5:$AL$883,L$4,FALSE))</f>
        <v/>
      </c>
      <c r="M229" s="147" t="str">
        <f>IF($C229="","",VLOOKUP($C229,'Tracking List'!$A$5:$AL$883,M$4,FALSE))</f>
        <v/>
      </c>
      <c r="N229" s="148" t="str">
        <f>IF($C229="","",IF(VLOOKUP($C229,'Tracking List'!$A$5:$AL$883,N$3,FALSE)&gt;0,"Y",VLOOKUP($C229,'Tracking List'!$A$5:$AL$883,N$4,FALSE)))</f>
        <v/>
      </c>
      <c r="O229" s="148" t="str">
        <f>IF($C229="","",IF(VLOOKUP($C229,'Tracking List'!$A$5:$AL$883,O$3,FALSE)&gt;0,"Y",VLOOKUP($C229,'Tracking List'!$A$5:$AL$883,O$4,FALSE)))</f>
        <v/>
      </c>
      <c r="P229" s="147" t="str">
        <f>IF($C229="","",IF(VLOOKUP($C229,'Tracking List'!$A$5:$AL$883,P$4,FALSE)&gt;0,"Y",""))</f>
        <v/>
      </c>
      <c r="Q229" s="149"/>
      <c r="R229" s="166" t="str">
        <f>IF($C229="","",VLOOKUP($C229,'Tracking List'!$A$5:$AL$883,R$4,FALSE))</f>
        <v/>
      </c>
    </row>
    <row r="230" spans="3:18">
      <c r="C230" s="146"/>
      <c r="D230" s="147" t="str">
        <f>IF($C230="","",VLOOKUP($C230,'Tracking List'!$A$5:$AL$883,D$4,FALSE))</f>
        <v/>
      </c>
      <c r="E230" s="147" t="str">
        <f>IF($C230="","",VLOOKUP($C230,'Tracking List'!$A$5:$AL$883,E$4,FALSE))</f>
        <v/>
      </c>
      <c r="F230" s="147" t="str">
        <f>IF($C230="","",VLOOKUP($C230,'Tracking List'!$A$5:$AL$883,F$4,FALSE))</f>
        <v/>
      </c>
      <c r="G230" s="147" t="str">
        <f>IF($C230="","",VLOOKUP($C230,'Tracking List'!$A$5:$AL$883,G$4,FALSE))</f>
        <v/>
      </c>
      <c r="H230" s="147" t="str">
        <f>IF($C230="","",VLOOKUP($C230,'Tracking List'!$A$5:$AL$883,H$4,FALSE))</f>
        <v/>
      </c>
      <c r="I230" s="147" t="str">
        <f>IF($C230="","",VLOOKUP($C230,'Tracking List'!$A$5:$AL$883,I$4,FALSE))</f>
        <v/>
      </c>
      <c r="J230" s="147" t="str">
        <f>IF($C230="","",VLOOKUP($C230,'Tracking List'!$A$5:$AL$883,J$4,FALSE))</f>
        <v/>
      </c>
      <c r="K230" s="147" t="str">
        <f>IF($C230="","",VLOOKUP($C230,'Tracking List'!$A$5:$AL$883,K$4,FALSE))</f>
        <v/>
      </c>
      <c r="L230" s="168" t="str">
        <f>IF($C230="","",VLOOKUP($C230,'Tracking List'!$A$5:$AL$883,L$4,FALSE))</f>
        <v/>
      </c>
      <c r="M230" s="147" t="str">
        <f>IF($C230="","",VLOOKUP($C230,'Tracking List'!$A$5:$AL$883,M$4,FALSE))</f>
        <v/>
      </c>
      <c r="N230" s="148" t="str">
        <f>IF($C230="","",IF(VLOOKUP($C230,'Tracking List'!$A$5:$AL$883,N$3,FALSE)&gt;0,"Y",VLOOKUP($C230,'Tracking List'!$A$5:$AL$883,N$4,FALSE)))</f>
        <v/>
      </c>
      <c r="O230" s="148" t="str">
        <f>IF($C230="","",IF(VLOOKUP($C230,'Tracking List'!$A$5:$AL$883,O$3,FALSE)&gt;0,"Y",VLOOKUP($C230,'Tracking List'!$A$5:$AL$883,O$4,FALSE)))</f>
        <v/>
      </c>
      <c r="P230" s="147" t="str">
        <f>IF($C230="","",IF(VLOOKUP($C230,'Tracking List'!$A$5:$AL$883,P$4,FALSE)&gt;0,"Y",""))</f>
        <v/>
      </c>
      <c r="Q230" s="149"/>
      <c r="R230" s="166" t="str">
        <f>IF($C230="","",VLOOKUP($C230,'Tracking List'!$A$5:$AL$883,R$4,FALSE))</f>
        <v/>
      </c>
    </row>
    <row r="231" spans="3:18">
      <c r="C231" s="146"/>
      <c r="D231" s="147" t="str">
        <f>IF($C231="","",VLOOKUP($C231,'Tracking List'!$A$5:$AL$883,D$4,FALSE))</f>
        <v/>
      </c>
      <c r="E231" s="147" t="str">
        <f>IF($C231="","",VLOOKUP($C231,'Tracking List'!$A$5:$AL$883,E$4,FALSE))</f>
        <v/>
      </c>
      <c r="F231" s="147" t="str">
        <f>IF($C231="","",VLOOKUP($C231,'Tracking List'!$A$5:$AL$883,F$4,FALSE))</f>
        <v/>
      </c>
      <c r="G231" s="147" t="str">
        <f>IF($C231="","",VLOOKUP($C231,'Tracking List'!$A$5:$AL$883,G$4,FALSE))</f>
        <v/>
      </c>
      <c r="H231" s="147" t="str">
        <f>IF($C231="","",VLOOKUP($C231,'Tracking List'!$A$5:$AL$883,H$4,FALSE))</f>
        <v/>
      </c>
      <c r="I231" s="147" t="str">
        <f>IF($C231="","",VLOOKUP($C231,'Tracking List'!$A$5:$AL$883,I$4,FALSE))</f>
        <v/>
      </c>
      <c r="J231" s="147" t="str">
        <f>IF($C231="","",VLOOKUP($C231,'Tracking List'!$A$5:$AL$883,J$4,FALSE))</f>
        <v/>
      </c>
      <c r="K231" s="147" t="str">
        <f>IF($C231="","",VLOOKUP($C231,'Tracking List'!$A$5:$AL$883,K$4,FALSE))</f>
        <v/>
      </c>
      <c r="L231" s="168" t="str">
        <f>IF($C231="","",VLOOKUP($C231,'Tracking List'!$A$5:$AL$883,L$4,FALSE))</f>
        <v/>
      </c>
      <c r="M231" s="147" t="str">
        <f>IF($C231="","",VLOOKUP($C231,'Tracking List'!$A$5:$AL$883,M$4,FALSE))</f>
        <v/>
      </c>
      <c r="N231" s="148" t="str">
        <f>IF($C231="","",IF(VLOOKUP($C231,'Tracking List'!$A$5:$AL$883,N$3,FALSE)&gt;0,"Y",VLOOKUP($C231,'Tracking List'!$A$5:$AL$883,N$4,FALSE)))</f>
        <v/>
      </c>
      <c r="O231" s="148" t="str">
        <f>IF($C231="","",IF(VLOOKUP($C231,'Tracking List'!$A$5:$AL$883,O$3,FALSE)&gt;0,"Y",VLOOKUP($C231,'Tracking List'!$A$5:$AL$883,O$4,FALSE)))</f>
        <v/>
      </c>
      <c r="P231" s="147" t="str">
        <f>IF($C231="","",IF(VLOOKUP($C231,'Tracking List'!$A$5:$AL$883,P$4,FALSE)&gt;0,"Y",""))</f>
        <v/>
      </c>
      <c r="Q231" s="149"/>
      <c r="R231" s="166" t="str">
        <f>IF($C231="","",VLOOKUP($C231,'Tracking List'!$A$5:$AL$883,R$4,FALSE))</f>
        <v/>
      </c>
    </row>
    <row r="232" spans="3:18">
      <c r="C232" s="146"/>
      <c r="D232" s="147" t="str">
        <f>IF($C232="","",VLOOKUP($C232,'Tracking List'!$A$5:$AL$883,D$4,FALSE))</f>
        <v/>
      </c>
      <c r="E232" s="147" t="str">
        <f>IF($C232="","",VLOOKUP($C232,'Tracking List'!$A$5:$AL$883,E$4,FALSE))</f>
        <v/>
      </c>
      <c r="F232" s="147" t="str">
        <f>IF($C232="","",VLOOKUP($C232,'Tracking List'!$A$5:$AL$883,F$4,FALSE))</f>
        <v/>
      </c>
      <c r="G232" s="147" t="str">
        <f>IF($C232="","",VLOOKUP($C232,'Tracking List'!$A$5:$AL$883,G$4,FALSE))</f>
        <v/>
      </c>
      <c r="H232" s="147" t="str">
        <f>IF($C232="","",VLOOKUP($C232,'Tracking List'!$A$5:$AL$883,H$4,FALSE))</f>
        <v/>
      </c>
      <c r="I232" s="147" t="str">
        <f>IF($C232="","",VLOOKUP($C232,'Tracking List'!$A$5:$AL$883,I$4,FALSE))</f>
        <v/>
      </c>
      <c r="J232" s="147" t="str">
        <f>IF($C232="","",VLOOKUP($C232,'Tracking List'!$A$5:$AL$883,J$4,FALSE))</f>
        <v/>
      </c>
      <c r="K232" s="147" t="str">
        <f>IF($C232="","",VLOOKUP($C232,'Tracking List'!$A$5:$AL$883,K$4,FALSE))</f>
        <v/>
      </c>
      <c r="L232" s="168" t="str">
        <f>IF($C232="","",VLOOKUP($C232,'Tracking List'!$A$5:$AL$883,L$4,FALSE))</f>
        <v/>
      </c>
      <c r="M232" s="147" t="str">
        <f>IF($C232="","",VLOOKUP($C232,'Tracking List'!$A$5:$AL$883,M$4,FALSE))</f>
        <v/>
      </c>
      <c r="N232" s="148" t="str">
        <f>IF($C232="","",IF(VLOOKUP($C232,'Tracking List'!$A$5:$AL$883,N$3,FALSE)&gt;0,"Y",VLOOKUP($C232,'Tracking List'!$A$5:$AL$883,N$4,FALSE)))</f>
        <v/>
      </c>
      <c r="O232" s="148" t="str">
        <f>IF($C232="","",IF(VLOOKUP($C232,'Tracking List'!$A$5:$AL$883,O$3,FALSE)&gt;0,"Y",VLOOKUP($C232,'Tracking List'!$A$5:$AL$883,O$4,FALSE)))</f>
        <v/>
      </c>
      <c r="P232" s="147" t="str">
        <f>IF($C232="","",IF(VLOOKUP($C232,'Tracking List'!$A$5:$AL$883,P$4,FALSE)&gt;0,"Y",""))</f>
        <v/>
      </c>
      <c r="Q232" s="149"/>
      <c r="R232" s="166" t="str">
        <f>IF($C232="","",VLOOKUP($C232,'Tracking List'!$A$5:$AL$883,R$4,FALSE))</f>
        <v/>
      </c>
    </row>
    <row r="233" spans="3:18">
      <c r="C233" s="146"/>
      <c r="D233" s="147" t="str">
        <f>IF($C233="","",VLOOKUP($C233,'Tracking List'!$A$5:$AL$883,D$4,FALSE))</f>
        <v/>
      </c>
      <c r="E233" s="147" t="str">
        <f>IF($C233="","",VLOOKUP($C233,'Tracking List'!$A$5:$AL$883,E$4,FALSE))</f>
        <v/>
      </c>
      <c r="F233" s="147" t="str">
        <f>IF($C233="","",VLOOKUP($C233,'Tracking List'!$A$5:$AL$883,F$4,FALSE))</f>
        <v/>
      </c>
      <c r="G233" s="147" t="str">
        <f>IF($C233="","",VLOOKUP($C233,'Tracking List'!$A$5:$AL$883,G$4,FALSE))</f>
        <v/>
      </c>
      <c r="H233" s="147" t="str">
        <f>IF($C233="","",VLOOKUP($C233,'Tracking List'!$A$5:$AL$883,H$4,FALSE))</f>
        <v/>
      </c>
      <c r="I233" s="147" t="str">
        <f>IF($C233="","",VLOOKUP($C233,'Tracking List'!$A$5:$AL$883,I$4,FALSE))</f>
        <v/>
      </c>
      <c r="J233" s="147" t="str">
        <f>IF($C233="","",VLOOKUP($C233,'Tracking List'!$A$5:$AL$883,J$4,FALSE))</f>
        <v/>
      </c>
      <c r="K233" s="147" t="str">
        <f>IF($C233="","",VLOOKUP($C233,'Tracking List'!$A$5:$AL$883,K$4,FALSE))</f>
        <v/>
      </c>
      <c r="L233" s="168" t="str">
        <f>IF($C233="","",VLOOKUP($C233,'Tracking List'!$A$5:$AL$883,L$4,FALSE))</f>
        <v/>
      </c>
      <c r="M233" s="147" t="str">
        <f>IF($C233="","",VLOOKUP($C233,'Tracking List'!$A$5:$AL$883,M$4,FALSE))</f>
        <v/>
      </c>
      <c r="N233" s="148" t="str">
        <f>IF($C233="","",IF(VLOOKUP($C233,'Tracking List'!$A$5:$AL$883,N$3,FALSE)&gt;0,"Y",VLOOKUP($C233,'Tracking List'!$A$5:$AL$883,N$4,FALSE)))</f>
        <v/>
      </c>
      <c r="O233" s="148" t="str">
        <f>IF($C233="","",IF(VLOOKUP($C233,'Tracking List'!$A$5:$AL$883,O$3,FALSE)&gt;0,"Y",VLOOKUP($C233,'Tracking List'!$A$5:$AL$883,O$4,FALSE)))</f>
        <v/>
      </c>
      <c r="P233" s="147" t="str">
        <f>IF($C233="","",IF(VLOOKUP($C233,'Tracking List'!$A$5:$AL$883,P$4,FALSE)&gt;0,"Y",""))</f>
        <v/>
      </c>
      <c r="Q233" s="149"/>
      <c r="R233" s="166" t="str">
        <f>IF($C233="","",VLOOKUP($C233,'Tracking List'!$A$5:$AL$883,R$4,FALSE))</f>
        <v/>
      </c>
    </row>
    <row r="234" spans="3:18">
      <c r="C234" s="146"/>
      <c r="D234" s="147" t="str">
        <f>IF($C234="","",VLOOKUP($C234,'Tracking List'!$A$5:$AL$883,D$4,FALSE))</f>
        <v/>
      </c>
      <c r="E234" s="147" t="str">
        <f>IF($C234="","",VLOOKUP($C234,'Tracking List'!$A$5:$AL$883,E$4,FALSE))</f>
        <v/>
      </c>
      <c r="F234" s="147" t="str">
        <f>IF($C234="","",VLOOKUP($C234,'Tracking List'!$A$5:$AL$883,F$4,FALSE))</f>
        <v/>
      </c>
      <c r="G234" s="147" t="str">
        <f>IF($C234="","",VLOOKUP($C234,'Tracking List'!$A$5:$AL$883,G$4,FALSE))</f>
        <v/>
      </c>
      <c r="H234" s="147" t="str">
        <f>IF($C234="","",VLOOKUP($C234,'Tracking List'!$A$5:$AL$883,H$4,FALSE))</f>
        <v/>
      </c>
      <c r="I234" s="147" t="str">
        <f>IF($C234="","",VLOOKUP($C234,'Tracking List'!$A$5:$AL$883,I$4,FALSE))</f>
        <v/>
      </c>
      <c r="J234" s="147" t="str">
        <f>IF($C234="","",VLOOKUP($C234,'Tracking List'!$A$5:$AL$883,J$4,FALSE))</f>
        <v/>
      </c>
      <c r="K234" s="147" t="str">
        <f>IF($C234="","",VLOOKUP($C234,'Tracking List'!$A$5:$AL$883,K$4,FALSE))</f>
        <v/>
      </c>
      <c r="L234" s="168" t="str">
        <f>IF($C234="","",VLOOKUP($C234,'Tracking List'!$A$5:$AL$883,L$4,FALSE))</f>
        <v/>
      </c>
      <c r="M234" s="147" t="str">
        <f>IF($C234="","",VLOOKUP($C234,'Tracking List'!$A$5:$AL$883,M$4,FALSE))</f>
        <v/>
      </c>
      <c r="N234" s="148" t="str">
        <f>IF($C234="","",IF(VLOOKUP($C234,'Tracking List'!$A$5:$AL$883,N$3,FALSE)&gt;0,"Y",VLOOKUP($C234,'Tracking List'!$A$5:$AL$883,N$4,FALSE)))</f>
        <v/>
      </c>
      <c r="O234" s="148" t="str">
        <f>IF($C234="","",IF(VLOOKUP($C234,'Tracking List'!$A$5:$AL$883,O$3,FALSE)&gt;0,"Y",VLOOKUP($C234,'Tracking List'!$A$5:$AL$883,O$4,FALSE)))</f>
        <v/>
      </c>
      <c r="P234" s="147" t="str">
        <f>IF($C234="","",IF(VLOOKUP($C234,'Tracking List'!$A$5:$AL$883,P$4,FALSE)&gt;0,"Y",""))</f>
        <v/>
      </c>
      <c r="Q234" s="149"/>
      <c r="R234" s="166" t="str">
        <f>IF($C234="","",VLOOKUP($C234,'Tracking List'!$A$5:$AL$883,R$4,FALSE))</f>
        <v/>
      </c>
    </row>
    <row r="235" spans="3:18">
      <c r="C235" s="146"/>
      <c r="D235" s="147" t="str">
        <f>IF($C235="","",VLOOKUP($C235,'Tracking List'!$A$5:$AL$883,D$4,FALSE))</f>
        <v/>
      </c>
      <c r="E235" s="147" t="str">
        <f>IF($C235="","",VLOOKUP($C235,'Tracking List'!$A$5:$AL$883,E$4,FALSE))</f>
        <v/>
      </c>
      <c r="F235" s="147" t="str">
        <f>IF($C235="","",VLOOKUP($C235,'Tracking List'!$A$5:$AL$883,F$4,FALSE))</f>
        <v/>
      </c>
      <c r="G235" s="147" t="str">
        <f>IF($C235="","",VLOOKUP($C235,'Tracking List'!$A$5:$AL$883,G$4,FALSE))</f>
        <v/>
      </c>
      <c r="H235" s="147" t="str">
        <f>IF($C235="","",VLOOKUP($C235,'Tracking List'!$A$5:$AL$883,H$4,FALSE))</f>
        <v/>
      </c>
      <c r="I235" s="147" t="str">
        <f>IF($C235="","",VLOOKUP($C235,'Tracking List'!$A$5:$AL$883,I$4,FALSE))</f>
        <v/>
      </c>
      <c r="J235" s="147" t="str">
        <f>IF($C235="","",VLOOKUP($C235,'Tracking List'!$A$5:$AL$883,J$4,FALSE))</f>
        <v/>
      </c>
      <c r="K235" s="147" t="str">
        <f>IF($C235="","",VLOOKUP($C235,'Tracking List'!$A$5:$AL$883,K$4,FALSE))</f>
        <v/>
      </c>
      <c r="L235" s="168" t="str">
        <f>IF($C235="","",VLOOKUP($C235,'Tracking List'!$A$5:$AL$883,L$4,FALSE))</f>
        <v/>
      </c>
      <c r="M235" s="147" t="str">
        <f>IF($C235="","",VLOOKUP($C235,'Tracking List'!$A$5:$AL$883,M$4,FALSE))</f>
        <v/>
      </c>
      <c r="N235" s="148" t="str">
        <f>IF($C235="","",IF(VLOOKUP($C235,'Tracking List'!$A$5:$AL$883,N$3,FALSE)&gt;0,"Y",VLOOKUP($C235,'Tracking List'!$A$5:$AL$883,N$4,FALSE)))</f>
        <v/>
      </c>
      <c r="O235" s="148" t="str">
        <f>IF($C235="","",IF(VLOOKUP($C235,'Tracking List'!$A$5:$AL$883,O$3,FALSE)&gt;0,"Y",VLOOKUP($C235,'Tracking List'!$A$5:$AL$883,O$4,FALSE)))</f>
        <v/>
      </c>
      <c r="P235" s="147" t="str">
        <f>IF($C235="","",IF(VLOOKUP($C235,'Tracking List'!$A$5:$AL$883,P$4,FALSE)&gt;0,"Y",""))</f>
        <v/>
      </c>
      <c r="Q235" s="149"/>
      <c r="R235" s="166" t="str">
        <f>IF($C235="","",VLOOKUP($C235,'Tracking List'!$A$5:$AL$883,R$4,FALSE))</f>
        <v/>
      </c>
    </row>
    <row r="236" spans="3:18">
      <c r="C236" s="146"/>
      <c r="D236" s="147" t="str">
        <f>IF($C236="","",VLOOKUP($C236,'Tracking List'!$A$5:$AL$883,D$4,FALSE))</f>
        <v/>
      </c>
      <c r="E236" s="147" t="str">
        <f>IF($C236="","",VLOOKUP($C236,'Tracking List'!$A$5:$AL$883,E$4,FALSE))</f>
        <v/>
      </c>
      <c r="F236" s="147" t="str">
        <f>IF($C236="","",VLOOKUP($C236,'Tracking List'!$A$5:$AL$883,F$4,FALSE))</f>
        <v/>
      </c>
      <c r="G236" s="147" t="str">
        <f>IF($C236="","",VLOOKUP($C236,'Tracking List'!$A$5:$AL$883,G$4,FALSE))</f>
        <v/>
      </c>
      <c r="H236" s="147" t="str">
        <f>IF($C236="","",VLOOKUP($C236,'Tracking List'!$A$5:$AL$883,H$4,FALSE))</f>
        <v/>
      </c>
      <c r="I236" s="147" t="str">
        <f>IF($C236="","",VLOOKUP($C236,'Tracking List'!$A$5:$AL$883,I$4,FALSE))</f>
        <v/>
      </c>
      <c r="J236" s="147" t="str">
        <f>IF($C236="","",VLOOKUP($C236,'Tracking List'!$A$5:$AL$883,J$4,FALSE))</f>
        <v/>
      </c>
      <c r="K236" s="147" t="str">
        <f>IF($C236="","",VLOOKUP($C236,'Tracking List'!$A$5:$AL$883,K$4,FALSE))</f>
        <v/>
      </c>
      <c r="L236" s="168" t="str">
        <f>IF($C236="","",VLOOKUP($C236,'Tracking List'!$A$5:$AL$883,L$4,FALSE))</f>
        <v/>
      </c>
      <c r="M236" s="147" t="str">
        <f>IF($C236="","",VLOOKUP($C236,'Tracking List'!$A$5:$AL$883,M$4,FALSE))</f>
        <v/>
      </c>
      <c r="N236" s="148" t="str">
        <f>IF($C236="","",IF(VLOOKUP($C236,'Tracking List'!$A$5:$AL$883,N$3,FALSE)&gt;0,"Y",VLOOKUP($C236,'Tracking List'!$A$5:$AL$883,N$4,FALSE)))</f>
        <v/>
      </c>
      <c r="O236" s="148" t="str">
        <f>IF($C236="","",IF(VLOOKUP($C236,'Tracking List'!$A$5:$AL$883,O$3,FALSE)&gt;0,"Y",VLOOKUP($C236,'Tracking List'!$A$5:$AL$883,O$4,FALSE)))</f>
        <v/>
      </c>
      <c r="P236" s="147" t="str">
        <f>IF($C236="","",IF(VLOOKUP($C236,'Tracking List'!$A$5:$AL$883,P$4,FALSE)&gt;0,"Y",""))</f>
        <v/>
      </c>
      <c r="Q236" s="149"/>
      <c r="R236" s="166" t="str">
        <f>IF($C236="","",VLOOKUP($C236,'Tracking List'!$A$5:$AL$883,R$4,FALSE))</f>
        <v/>
      </c>
    </row>
    <row r="237" spans="3:18">
      <c r="C237" s="146"/>
      <c r="D237" s="147" t="str">
        <f>IF($C237="","",VLOOKUP($C237,'Tracking List'!$A$5:$AL$883,D$4,FALSE))</f>
        <v/>
      </c>
      <c r="E237" s="147" t="str">
        <f>IF($C237="","",VLOOKUP($C237,'Tracking List'!$A$5:$AL$883,E$4,FALSE))</f>
        <v/>
      </c>
      <c r="F237" s="147" t="str">
        <f>IF($C237="","",VLOOKUP($C237,'Tracking List'!$A$5:$AL$883,F$4,FALSE))</f>
        <v/>
      </c>
      <c r="G237" s="147" t="str">
        <f>IF($C237="","",VLOOKUP($C237,'Tracking List'!$A$5:$AL$883,G$4,FALSE))</f>
        <v/>
      </c>
      <c r="H237" s="147" t="str">
        <f>IF($C237="","",VLOOKUP($C237,'Tracking List'!$A$5:$AL$883,H$4,FALSE))</f>
        <v/>
      </c>
      <c r="I237" s="147" t="str">
        <f>IF($C237="","",VLOOKUP($C237,'Tracking List'!$A$5:$AL$883,I$4,FALSE))</f>
        <v/>
      </c>
      <c r="J237" s="147" t="str">
        <f>IF($C237="","",VLOOKUP($C237,'Tracking List'!$A$5:$AL$883,J$4,FALSE))</f>
        <v/>
      </c>
      <c r="K237" s="147" t="str">
        <f>IF($C237="","",VLOOKUP($C237,'Tracking List'!$A$5:$AL$883,K$4,FALSE))</f>
        <v/>
      </c>
      <c r="L237" s="168" t="str">
        <f>IF($C237="","",VLOOKUP($C237,'Tracking List'!$A$5:$AL$883,L$4,FALSE))</f>
        <v/>
      </c>
      <c r="M237" s="147" t="str">
        <f>IF($C237="","",VLOOKUP($C237,'Tracking List'!$A$5:$AL$883,M$4,FALSE))</f>
        <v/>
      </c>
      <c r="N237" s="148" t="str">
        <f>IF($C237="","",IF(VLOOKUP($C237,'Tracking List'!$A$5:$AL$883,N$3,FALSE)&gt;0,"Y",VLOOKUP($C237,'Tracking List'!$A$5:$AL$883,N$4,FALSE)))</f>
        <v/>
      </c>
      <c r="O237" s="148" t="str">
        <f>IF($C237="","",IF(VLOOKUP($C237,'Tracking List'!$A$5:$AL$883,O$3,FALSE)&gt;0,"Y",VLOOKUP($C237,'Tracking List'!$A$5:$AL$883,O$4,FALSE)))</f>
        <v/>
      </c>
      <c r="P237" s="147" t="str">
        <f>IF($C237="","",IF(VLOOKUP($C237,'Tracking List'!$A$5:$AL$883,P$4,FALSE)&gt;0,"Y",""))</f>
        <v/>
      </c>
      <c r="Q237" s="149"/>
      <c r="R237" s="166" t="str">
        <f>IF($C237="","",VLOOKUP($C237,'Tracking List'!$A$5:$AL$883,R$4,FALSE))</f>
        <v/>
      </c>
    </row>
    <row r="238" spans="3:18">
      <c r="C238" s="146"/>
      <c r="D238" s="147" t="str">
        <f>IF($C238="","",VLOOKUP($C238,'Tracking List'!$A$5:$AL$883,D$4,FALSE))</f>
        <v/>
      </c>
      <c r="E238" s="147" t="str">
        <f>IF($C238="","",VLOOKUP($C238,'Tracking List'!$A$5:$AL$883,E$4,FALSE))</f>
        <v/>
      </c>
      <c r="F238" s="147" t="str">
        <f>IF($C238="","",VLOOKUP($C238,'Tracking List'!$A$5:$AL$883,F$4,FALSE))</f>
        <v/>
      </c>
      <c r="G238" s="147" t="str">
        <f>IF($C238="","",VLOOKUP($C238,'Tracking List'!$A$5:$AL$883,G$4,FALSE))</f>
        <v/>
      </c>
      <c r="H238" s="147" t="str">
        <f>IF($C238="","",VLOOKUP($C238,'Tracking List'!$A$5:$AL$883,H$4,FALSE))</f>
        <v/>
      </c>
      <c r="I238" s="147" t="str">
        <f>IF($C238="","",VLOOKUP($C238,'Tracking List'!$A$5:$AL$883,I$4,FALSE))</f>
        <v/>
      </c>
      <c r="J238" s="147" t="str">
        <f>IF($C238="","",VLOOKUP($C238,'Tracking List'!$A$5:$AL$883,J$4,FALSE))</f>
        <v/>
      </c>
      <c r="K238" s="147" t="str">
        <f>IF($C238="","",VLOOKUP($C238,'Tracking List'!$A$5:$AL$883,K$4,FALSE))</f>
        <v/>
      </c>
      <c r="L238" s="168" t="str">
        <f>IF($C238="","",VLOOKUP($C238,'Tracking List'!$A$5:$AL$883,L$4,FALSE))</f>
        <v/>
      </c>
      <c r="M238" s="147" t="str">
        <f>IF($C238="","",VLOOKUP($C238,'Tracking List'!$A$5:$AL$883,M$4,FALSE))</f>
        <v/>
      </c>
      <c r="N238" s="148" t="str">
        <f>IF($C238="","",IF(VLOOKUP($C238,'Tracking List'!$A$5:$AL$883,N$3,FALSE)&gt;0,"Y",VLOOKUP($C238,'Tracking List'!$A$5:$AL$883,N$4,FALSE)))</f>
        <v/>
      </c>
      <c r="O238" s="148" t="str">
        <f>IF($C238="","",IF(VLOOKUP($C238,'Tracking List'!$A$5:$AL$883,O$3,FALSE)&gt;0,"Y",VLOOKUP($C238,'Tracking List'!$A$5:$AL$883,O$4,FALSE)))</f>
        <v/>
      </c>
      <c r="P238" s="147" t="str">
        <f>IF($C238="","",IF(VLOOKUP($C238,'Tracking List'!$A$5:$AL$883,P$4,FALSE)&gt;0,"Y",""))</f>
        <v/>
      </c>
      <c r="Q238" s="149"/>
      <c r="R238" s="166" t="str">
        <f>IF($C238="","",VLOOKUP($C238,'Tracking List'!$A$5:$AL$883,R$4,FALSE))</f>
        <v/>
      </c>
    </row>
    <row r="239" spans="3:18">
      <c r="C239" s="146"/>
      <c r="D239" s="147" t="str">
        <f>IF($C239="","",VLOOKUP($C239,'Tracking List'!$A$5:$AL$883,D$4,FALSE))</f>
        <v/>
      </c>
      <c r="E239" s="147" t="str">
        <f>IF($C239="","",VLOOKUP($C239,'Tracking List'!$A$5:$AL$883,E$4,FALSE))</f>
        <v/>
      </c>
      <c r="F239" s="147" t="str">
        <f>IF($C239="","",VLOOKUP($C239,'Tracking List'!$A$5:$AL$883,F$4,FALSE))</f>
        <v/>
      </c>
      <c r="G239" s="147" t="str">
        <f>IF($C239="","",VLOOKUP($C239,'Tracking List'!$A$5:$AL$883,G$4,FALSE))</f>
        <v/>
      </c>
      <c r="H239" s="147" t="str">
        <f>IF($C239="","",VLOOKUP($C239,'Tracking List'!$A$5:$AL$883,H$4,FALSE))</f>
        <v/>
      </c>
      <c r="I239" s="147" t="str">
        <f>IF($C239="","",VLOOKUP($C239,'Tracking List'!$A$5:$AL$883,I$4,FALSE))</f>
        <v/>
      </c>
      <c r="J239" s="147" t="str">
        <f>IF($C239="","",VLOOKUP($C239,'Tracking List'!$A$5:$AL$883,J$4,FALSE))</f>
        <v/>
      </c>
      <c r="K239" s="147" t="str">
        <f>IF($C239="","",VLOOKUP($C239,'Tracking List'!$A$5:$AL$883,K$4,FALSE))</f>
        <v/>
      </c>
      <c r="L239" s="168" t="str">
        <f>IF($C239="","",VLOOKUP($C239,'Tracking List'!$A$5:$AL$883,L$4,FALSE))</f>
        <v/>
      </c>
      <c r="M239" s="147" t="str">
        <f>IF($C239="","",VLOOKUP($C239,'Tracking List'!$A$5:$AL$883,M$4,FALSE))</f>
        <v/>
      </c>
      <c r="N239" s="148" t="str">
        <f>IF($C239="","",IF(VLOOKUP($C239,'Tracking List'!$A$5:$AL$883,N$3,FALSE)&gt;0,"Y",VLOOKUP($C239,'Tracking List'!$A$5:$AL$883,N$4,FALSE)))</f>
        <v/>
      </c>
      <c r="O239" s="148" t="str">
        <f>IF($C239="","",IF(VLOOKUP($C239,'Tracking List'!$A$5:$AL$883,O$3,FALSE)&gt;0,"Y",VLOOKUP($C239,'Tracking List'!$A$5:$AL$883,O$4,FALSE)))</f>
        <v/>
      </c>
      <c r="P239" s="147" t="str">
        <f>IF($C239="","",IF(VLOOKUP($C239,'Tracking List'!$A$5:$AL$883,P$4,FALSE)&gt;0,"Y",""))</f>
        <v/>
      </c>
      <c r="Q239" s="149"/>
      <c r="R239" s="166" t="str">
        <f>IF($C239="","",VLOOKUP($C239,'Tracking List'!$A$5:$AL$883,R$4,FALSE))</f>
        <v/>
      </c>
    </row>
    <row r="240" spans="3:18">
      <c r="C240" s="146"/>
      <c r="D240" s="147" t="str">
        <f>IF($C240="","",VLOOKUP($C240,'Tracking List'!$A$5:$AL$883,D$4,FALSE))</f>
        <v/>
      </c>
      <c r="E240" s="147" t="str">
        <f>IF($C240="","",VLOOKUP($C240,'Tracking List'!$A$5:$AL$883,E$4,FALSE))</f>
        <v/>
      </c>
      <c r="F240" s="147" t="str">
        <f>IF($C240="","",VLOOKUP($C240,'Tracking List'!$A$5:$AL$883,F$4,FALSE))</f>
        <v/>
      </c>
      <c r="G240" s="147" t="str">
        <f>IF($C240="","",VLOOKUP($C240,'Tracking List'!$A$5:$AL$883,G$4,FALSE))</f>
        <v/>
      </c>
      <c r="H240" s="147" t="str">
        <f>IF($C240="","",VLOOKUP($C240,'Tracking List'!$A$5:$AL$883,H$4,FALSE))</f>
        <v/>
      </c>
      <c r="I240" s="147" t="str">
        <f>IF($C240="","",VLOOKUP($C240,'Tracking List'!$A$5:$AL$883,I$4,FALSE))</f>
        <v/>
      </c>
      <c r="J240" s="147" t="str">
        <f>IF($C240="","",VLOOKUP($C240,'Tracking List'!$A$5:$AL$883,J$4,FALSE))</f>
        <v/>
      </c>
      <c r="K240" s="147" t="str">
        <f>IF($C240="","",VLOOKUP($C240,'Tracking List'!$A$5:$AL$883,K$4,FALSE))</f>
        <v/>
      </c>
      <c r="L240" s="168" t="str">
        <f>IF($C240="","",VLOOKUP($C240,'Tracking List'!$A$5:$AL$883,L$4,FALSE))</f>
        <v/>
      </c>
      <c r="M240" s="147" t="str">
        <f>IF($C240="","",VLOOKUP($C240,'Tracking List'!$A$5:$AL$883,M$4,FALSE))</f>
        <v/>
      </c>
      <c r="N240" s="148" t="str">
        <f>IF($C240="","",IF(VLOOKUP($C240,'Tracking List'!$A$5:$AL$883,N$3,FALSE)&gt;0,"Y",VLOOKUP($C240,'Tracking List'!$A$5:$AL$883,N$4,FALSE)))</f>
        <v/>
      </c>
      <c r="O240" s="148" t="str">
        <f>IF($C240="","",IF(VLOOKUP($C240,'Tracking List'!$A$5:$AL$883,O$3,FALSE)&gt;0,"Y",VLOOKUP($C240,'Tracking List'!$A$5:$AL$883,O$4,FALSE)))</f>
        <v/>
      </c>
      <c r="P240" s="147" t="str">
        <f>IF($C240="","",IF(VLOOKUP($C240,'Tracking List'!$A$5:$AL$883,P$4,FALSE)&gt;0,"Y",""))</f>
        <v/>
      </c>
      <c r="Q240" s="149"/>
      <c r="R240" s="166" t="str">
        <f>IF($C240="","",VLOOKUP($C240,'Tracking List'!$A$5:$AL$883,R$4,FALSE))</f>
        <v/>
      </c>
    </row>
    <row r="241" spans="3:18">
      <c r="C241" s="146"/>
      <c r="D241" s="147" t="str">
        <f>IF($C241="","",VLOOKUP($C241,'Tracking List'!$A$5:$AL$883,D$4,FALSE))</f>
        <v/>
      </c>
      <c r="E241" s="147" t="str">
        <f>IF($C241="","",VLOOKUP($C241,'Tracking List'!$A$5:$AL$883,E$4,FALSE))</f>
        <v/>
      </c>
      <c r="F241" s="147" t="str">
        <f>IF($C241="","",VLOOKUP($C241,'Tracking List'!$A$5:$AL$883,F$4,FALSE))</f>
        <v/>
      </c>
      <c r="G241" s="147" t="str">
        <f>IF($C241="","",VLOOKUP($C241,'Tracking List'!$A$5:$AL$883,G$4,FALSE))</f>
        <v/>
      </c>
      <c r="H241" s="147" t="str">
        <f>IF($C241="","",VLOOKUP($C241,'Tracking List'!$A$5:$AL$883,H$4,FALSE))</f>
        <v/>
      </c>
      <c r="I241" s="147" t="str">
        <f>IF($C241="","",VLOOKUP($C241,'Tracking List'!$A$5:$AL$883,I$4,FALSE))</f>
        <v/>
      </c>
      <c r="J241" s="147" t="str">
        <f>IF($C241="","",VLOOKUP($C241,'Tracking List'!$A$5:$AL$883,J$4,FALSE))</f>
        <v/>
      </c>
      <c r="K241" s="147" t="str">
        <f>IF($C241="","",VLOOKUP($C241,'Tracking List'!$A$5:$AL$883,K$4,FALSE))</f>
        <v/>
      </c>
      <c r="L241" s="168" t="str">
        <f>IF($C241="","",VLOOKUP($C241,'Tracking List'!$A$5:$AL$883,L$4,FALSE))</f>
        <v/>
      </c>
      <c r="M241" s="147" t="str">
        <f>IF($C241="","",VLOOKUP($C241,'Tracking List'!$A$5:$AL$883,M$4,FALSE))</f>
        <v/>
      </c>
      <c r="N241" s="148" t="str">
        <f>IF($C241="","",IF(VLOOKUP($C241,'Tracking List'!$A$5:$AL$883,N$3,FALSE)&gt;0,"Y",VLOOKUP($C241,'Tracking List'!$A$5:$AL$883,N$4,FALSE)))</f>
        <v/>
      </c>
      <c r="O241" s="148" t="str">
        <f>IF($C241="","",IF(VLOOKUP($C241,'Tracking List'!$A$5:$AL$883,O$3,FALSE)&gt;0,"Y",VLOOKUP($C241,'Tracking List'!$A$5:$AL$883,O$4,FALSE)))</f>
        <v/>
      </c>
      <c r="P241" s="147" t="str">
        <f>IF($C241="","",IF(VLOOKUP($C241,'Tracking List'!$A$5:$AL$883,P$4,FALSE)&gt;0,"Y",""))</f>
        <v/>
      </c>
      <c r="Q241" s="149"/>
      <c r="R241" s="166" t="str">
        <f>IF($C241="","",VLOOKUP($C241,'Tracking List'!$A$5:$AL$883,R$4,FALSE))</f>
        <v/>
      </c>
    </row>
    <row r="242" spans="3:18">
      <c r="C242" s="146"/>
      <c r="D242" s="147" t="str">
        <f>IF($C242="","",VLOOKUP($C242,'Tracking List'!$A$5:$AL$883,D$4,FALSE))</f>
        <v/>
      </c>
      <c r="E242" s="147" t="str">
        <f>IF($C242="","",VLOOKUP($C242,'Tracking List'!$A$5:$AL$883,E$4,FALSE))</f>
        <v/>
      </c>
      <c r="F242" s="147" t="str">
        <f>IF($C242="","",VLOOKUP($C242,'Tracking List'!$A$5:$AL$883,F$4,FALSE))</f>
        <v/>
      </c>
      <c r="G242" s="147" t="str">
        <f>IF($C242="","",VLOOKUP($C242,'Tracking List'!$A$5:$AL$883,G$4,FALSE))</f>
        <v/>
      </c>
      <c r="H242" s="147" t="str">
        <f>IF($C242="","",VLOOKUP($C242,'Tracking List'!$A$5:$AL$883,H$4,FALSE))</f>
        <v/>
      </c>
      <c r="I242" s="147" t="str">
        <f>IF($C242="","",VLOOKUP($C242,'Tracking List'!$A$5:$AL$883,I$4,FALSE))</f>
        <v/>
      </c>
      <c r="J242" s="147" t="str">
        <f>IF($C242="","",VLOOKUP($C242,'Tracking List'!$A$5:$AL$883,J$4,FALSE))</f>
        <v/>
      </c>
      <c r="K242" s="147" t="str">
        <f>IF($C242="","",VLOOKUP($C242,'Tracking List'!$A$5:$AL$883,K$4,FALSE))</f>
        <v/>
      </c>
      <c r="L242" s="168" t="str">
        <f>IF($C242="","",VLOOKUP($C242,'Tracking List'!$A$5:$AL$883,L$4,FALSE))</f>
        <v/>
      </c>
      <c r="M242" s="147" t="str">
        <f>IF($C242="","",VLOOKUP($C242,'Tracking List'!$A$5:$AL$883,M$4,FALSE))</f>
        <v/>
      </c>
      <c r="N242" s="148" t="str">
        <f>IF($C242="","",IF(VLOOKUP($C242,'Tracking List'!$A$5:$AL$883,N$3,FALSE)&gt;0,"Y",VLOOKUP($C242,'Tracking List'!$A$5:$AL$883,N$4,FALSE)))</f>
        <v/>
      </c>
      <c r="O242" s="148" t="str">
        <f>IF($C242="","",IF(VLOOKUP($C242,'Tracking List'!$A$5:$AL$883,O$3,FALSE)&gt;0,"Y",VLOOKUP($C242,'Tracking List'!$A$5:$AL$883,O$4,FALSE)))</f>
        <v/>
      </c>
      <c r="P242" s="147" t="str">
        <f>IF($C242="","",IF(VLOOKUP($C242,'Tracking List'!$A$5:$AL$883,P$4,FALSE)&gt;0,"Y",""))</f>
        <v/>
      </c>
      <c r="Q242" s="149"/>
      <c r="R242" s="166" t="str">
        <f>IF($C242="","",VLOOKUP($C242,'Tracking List'!$A$5:$AL$883,R$4,FALSE))</f>
        <v/>
      </c>
    </row>
    <row r="243" spans="3:18">
      <c r="C243" s="146"/>
      <c r="D243" s="147" t="str">
        <f>IF($C243="","",VLOOKUP($C243,'Tracking List'!$A$5:$AL$883,D$4,FALSE))</f>
        <v/>
      </c>
      <c r="E243" s="147" t="str">
        <f>IF($C243="","",VLOOKUP($C243,'Tracking List'!$A$5:$AL$883,E$4,FALSE))</f>
        <v/>
      </c>
      <c r="F243" s="147" t="str">
        <f>IF($C243="","",VLOOKUP($C243,'Tracking List'!$A$5:$AL$883,F$4,FALSE))</f>
        <v/>
      </c>
      <c r="G243" s="147" t="str">
        <f>IF($C243="","",VLOOKUP($C243,'Tracking List'!$A$5:$AL$883,G$4,FALSE))</f>
        <v/>
      </c>
      <c r="H243" s="147" t="str">
        <f>IF($C243="","",VLOOKUP($C243,'Tracking List'!$A$5:$AL$883,H$4,FALSE))</f>
        <v/>
      </c>
      <c r="I243" s="147" t="str">
        <f>IF($C243="","",VLOOKUP($C243,'Tracking List'!$A$5:$AL$883,I$4,FALSE))</f>
        <v/>
      </c>
      <c r="J243" s="147" t="str">
        <f>IF($C243="","",VLOOKUP($C243,'Tracking List'!$A$5:$AL$883,J$4,FALSE))</f>
        <v/>
      </c>
      <c r="K243" s="147" t="str">
        <f>IF($C243="","",VLOOKUP($C243,'Tracking List'!$A$5:$AL$883,K$4,FALSE))</f>
        <v/>
      </c>
      <c r="L243" s="168" t="str">
        <f>IF($C243="","",VLOOKUP($C243,'Tracking List'!$A$5:$AL$883,L$4,FALSE))</f>
        <v/>
      </c>
      <c r="M243" s="147" t="str">
        <f>IF($C243="","",VLOOKUP($C243,'Tracking List'!$A$5:$AL$883,M$4,FALSE))</f>
        <v/>
      </c>
      <c r="N243" s="148" t="str">
        <f>IF($C243="","",IF(VLOOKUP($C243,'Tracking List'!$A$5:$AL$883,N$3,FALSE)&gt;0,"Y",VLOOKUP($C243,'Tracking List'!$A$5:$AL$883,N$4,FALSE)))</f>
        <v/>
      </c>
      <c r="O243" s="148" t="str">
        <f>IF($C243="","",IF(VLOOKUP($C243,'Tracking List'!$A$5:$AL$883,O$3,FALSE)&gt;0,"Y",VLOOKUP($C243,'Tracking List'!$A$5:$AL$883,O$4,FALSE)))</f>
        <v/>
      </c>
      <c r="P243" s="147" t="str">
        <f>IF($C243="","",IF(VLOOKUP($C243,'Tracking List'!$A$5:$AL$883,P$4,FALSE)&gt;0,"Y",""))</f>
        <v/>
      </c>
      <c r="Q243" s="149"/>
      <c r="R243" s="166" t="str">
        <f>IF($C243="","",VLOOKUP($C243,'Tracking List'!$A$5:$AL$883,R$4,FALSE))</f>
        <v/>
      </c>
    </row>
    <row r="244" spans="3:18">
      <c r="C244" s="146"/>
      <c r="D244" s="147" t="str">
        <f>IF($C244="","",VLOOKUP($C244,'Tracking List'!$A$5:$AL$883,D$4,FALSE))</f>
        <v/>
      </c>
      <c r="E244" s="147" t="str">
        <f>IF($C244="","",VLOOKUP($C244,'Tracking List'!$A$5:$AL$883,E$4,FALSE))</f>
        <v/>
      </c>
      <c r="F244" s="147" t="str">
        <f>IF($C244="","",VLOOKUP($C244,'Tracking List'!$A$5:$AL$883,F$4,FALSE))</f>
        <v/>
      </c>
      <c r="G244" s="147" t="str">
        <f>IF($C244="","",VLOOKUP($C244,'Tracking List'!$A$5:$AL$883,G$4,FALSE))</f>
        <v/>
      </c>
      <c r="H244" s="147" t="str">
        <f>IF($C244="","",VLOOKUP($C244,'Tracking List'!$A$5:$AL$883,H$4,FALSE))</f>
        <v/>
      </c>
      <c r="I244" s="147" t="str">
        <f>IF($C244="","",VLOOKUP($C244,'Tracking List'!$A$5:$AL$883,I$4,FALSE))</f>
        <v/>
      </c>
      <c r="J244" s="147" t="str">
        <f>IF($C244="","",VLOOKUP($C244,'Tracking List'!$A$5:$AL$883,J$4,FALSE))</f>
        <v/>
      </c>
      <c r="K244" s="147" t="str">
        <f>IF($C244="","",VLOOKUP($C244,'Tracking List'!$A$5:$AL$883,K$4,FALSE))</f>
        <v/>
      </c>
      <c r="L244" s="168" t="str">
        <f>IF($C244="","",VLOOKUP($C244,'Tracking List'!$A$5:$AL$883,L$4,FALSE))</f>
        <v/>
      </c>
      <c r="M244" s="147" t="str">
        <f>IF($C244="","",VLOOKUP($C244,'Tracking List'!$A$5:$AL$883,M$4,FALSE))</f>
        <v/>
      </c>
      <c r="N244" s="148" t="str">
        <f>IF($C244="","",IF(VLOOKUP($C244,'Tracking List'!$A$5:$AL$883,N$3,FALSE)&gt;0,"Y",VLOOKUP($C244,'Tracking List'!$A$5:$AL$883,N$4,FALSE)))</f>
        <v/>
      </c>
      <c r="O244" s="148" t="str">
        <f>IF($C244="","",IF(VLOOKUP($C244,'Tracking List'!$A$5:$AL$883,O$3,FALSE)&gt;0,"Y",VLOOKUP($C244,'Tracking List'!$A$5:$AL$883,O$4,FALSE)))</f>
        <v/>
      </c>
      <c r="P244" s="147" t="str">
        <f>IF($C244="","",IF(VLOOKUP($C244,'Tracking List'!$A$5:$AL$883,P$4,FALSE)&gt;0,"Y",""))</f>
        <v/>
      </c>
      <c r="Q244" s="149"/>
      <c r="R244" s="166" t="str">
        <f>IF($C244="","",VLOOKUP($C244,'Tracking List'!$A$5:$AL$883,R$4,FALSE))</f>
        <v/>
      </c>
    </row>
    <row r="245" spans="3:18">
      <c r="C245" s="146"/>
      <c r="D245" s="147" t="str">
        <f>IF($C245="","",VLOOKUP($C245,'Tracking List'!$A$5:$AL$883,D$4,FALSE))</f>
        <v/>
      </c>
      <c r="E245" s="147" t="str">
        <f>IF($C245="","",VLOOKUP($C245,'Tracking List'!$A$5:$AL$883,E$4,FALSE))</f>
        <v/>
      </c>
      <c r="F245" s="147" t="str">
        <f>IF($C245="","",VLOOKUP($C245,'Tracking List'!$A$5:$AL$883,F$4,FALSE))</f>
        <v/>
      </c>
      <c r="G245" s="147" t="str">
        <f>IF($C245="","",VLOOKUP($C245,'Tracking List'!$A$5:$AL$883,G$4,FALSE))</f>
        <v/>
      </c>
      <c r="H245" s="147" t="str">
        <f>IF($C245="","",VLOOKUP($C245,'Tracking List'!$A$5:$AL$883,H$4,FALSE))</f>
        <v/>
      </c>
      <c r="I245" s="147" t="str">
        <f>IF($C245="","",VLOOKUP($C245,'Tracking List'!$A$5:$AL$883,I$4,FALSE))</f>
        <v/>
      </c>
      <c r="J245" s="147" t="str">
        <f>IF($C245="","",VLOOKUP($C245,'Tracking List'!$A$5:$AL$883,J$4,FALSE))</f>
        <v/>
      </c>
      <c r="K245" s="147" t="str">
        <f>IF($C245="","",VLOOKUP($C245,'Tracking List'!$A$5:$AL$883,K$4,FALSE))</f>
        <v/>
      </c>
      <c r="L245" s="168" t="str">
        <f>IF($C245="","",VLOOKUP($C245,'Tracking List'!$A$5:$AL$883,L$4,FALSE))</f>
        <v/>
      </c>
      <c r="M245" s="147" t="str">
        <f>IF($C245="","",VLOOKUP($C245,'Tracking List'!$A$5:$AL$883,M$4,FALSE))</f>
        <v/>
      </c>
      <c r="N245" s="148" t="str">
        <f>IF($C245="","",IF(VLOOKUP($C245,'Tracking List'!$A$5:$AL$883,N$3,FALSE)&gt;0,"Y",VLOOKUP($C245,'Tracking List'!$A$5:$AL$883,N$4,FALSE)))</f>
        <v/>
      </c>
      <c r="O245" s="148" t="str">
        <f>IF($C245="","",IF(VLOOKUP($C245,'Tracking List'!$A$5:$AL$883,O$3,FALSE)&gt;0,"Y",VLOOKUP($C245,'Tracking List'!$A$5:$AL$883,O$4,FALSE)))</f>
        <v/>
      </c>
      <c r="P245" s="147" t="str">
        <f>IF($C245="","",IF(VLOOKUP($C245,'Tracking List'!$A$5:$AL$883,P$4,FALSE)&gt;0,"Y",""))</f>
        <v/>
      </c>
      <c r="Q245" s="149"/>
      <c r="R245" s="166" t="str">
        <f>IF($C245="","",VLOOKUP($C245,'Tracking List'!$A$5:$AL$883,R$4,FALSE))</f>
        <v/>
      </c>
    </row>
    <row r="246" spans="3:18">
      <c r="C246" s="146"/>
      <c r="D246" s="147" t="str">
        <f>IF($C246="","",VLOOKUP($C246,'Tracking List'!$A$5:$AL$883,D$4,FALSE))</f>
        <v/>
      </c>
      <c r="E246" s="147" t="str">
        <f>IF($C246="","",VLOOKUP($C246,'Tracking List'!$A$5:$AL$883,E$4,FALSE))</f>
        <v/>
      </c>
      <c r="F246" s="147" t="str">
        <f>IF($C246="","",VLOOKUP($C246,'Tracking List'!$A$5:$AL$883,F$4,FALSE))</f>
        <v/>
      </c>
      <c r="G246" s="147" t="str">
        <f>IF($C246="","",VLOOKUP($C246,'Tracking List'!$A$5:$AL$883,G$4,FALSE))</f>
        <v/>
      </c>
      <c r="H246" s="147" t="str">
        <f>IF($C246="","",VLOOKUP($C246,'Tracking List'!$A$5:$AL$883,H$4,FALSE))</f>
        <v/>
      </c>
      <c r="I246" s="147" t="str">
        <f>IF($C246="","",VLOOKUP($C246,'Tracking List'!$A$5:$AL$883,I$4,FALSE))</f>
        <v/>
      </c>
      <c r="J246" s="147" t="str">
        <f>IF($C246="","",VLOOKUP($C246,'Tracking List'!$A$5:$AL$883,J$4,FALSE))</f>
        <v/>
      </c>
      <c r="K246" s="147" t="str">
        <f>IF($C246="","",VLOOKUP($C246,'Tracking List'!$A$5:$AL$883,K$4,FALSE))</f>
        <v/>
      </c>
      <c r="L246" s="168" t="str">
        <f>IF($C246="","",VLOOKUP($C246,'Tracking List'!$A$5:$AL$883,L$4,FALSE))</f>
        <v/>
      </c>
      <c r="M246" s="147" t="str">
        <f>IF($C246="","",VLOOKUP($C246,'Tracking List'!$A$5:$AL$883,M$4,FALSE))</f>
        <v/>
      </c>
      <c r="N246" s="148" t="str">
        <f>IF($C246="","",IF(VLOOKUP($C246,'Tracking List'!$A$5:$AL$883,N$3,FALSE)&gt;0,"Y",VLOOKUP($C246,'Tracking List'!$A$5:$AL$883,N$4,FALSE)))</f>
        <v/>
      </c>
      <c r="O246" s="148" t="str">
        <f>IF($C246="","",IF(VLOOKUP($C246,'Tracking List'!$A$5:$AL$883,O$3,FALSE)&gt;0,"Y",VLOOKUP($C246,'Tracking List'!$A$5:$AL$883,O$4,FALSE)))</f>
        <v/>
      </c>
      <c r="P246" s="147" t="str">
        <f>IF($C246="","",IF(VLOOKUP($C246,'Tracking List'!$A$5:$AL$883,P$4,FALSE)&gt;0,"Y",""))</f>
        <v/>
      </c>
      <c r="Q246" s="149"/>
      <c r="R246" s="166" t="str">
        <f>IF($C246="","",VLOOKUP($C246,'Tracking List'!$A$5:$AL$883,R$4,FALSE))</f>
        <v/>
      </c>
    </row>
    <row r="247" spans="3:18">
      <c r="C247" s="146"/>
      <c r="D247" s="147" t="str">
        <f>IF($C247="","",VLOOKUP($C247,'Tracking List'!$A$5:$AL$883,D$4,FALSE))</f>
        <v/>
      </c>
      <c r="E247" s="147" t="str">
        <f>IF($C247="","",VLOOKUP($C247,'Tracking List'!$A$5:$AL$883,E$4,FALSE))</f>
        <v/>
      </c>
      <c r="F247" s="147" t="str">
        <f>IF($C247="","",VLOOKUP($C247,'Tracking List'!$A$5:$AL$883,F$4,FALSE))</f>
        <v/>
      </c>
      <c r="G247" s="147" t="str">
        <f>IF($C247="","",VLOOKUP($C247,'Tracking List'!$A$5:$AL$883,G$4,FALSE))</f>
        <v/>
      </c>
      <c r="H247" s="147" t="str">
        <f>IF($C247="","",VLOOKUP($C247,'Tracking List'!$A$5:$AL$883,H$4,FALSE))</f>
        <v/>
      </c>
      <c r="I247" s="147" t="str">
        <f>IF($C247="","",VLOOKUP($C247,'Tracking List'!$A$5:$AL$883,I$4,FALSE))</f>
        <v/>
      </c>
      <c r="J247" s="147" t="str">
        <f>IF($C247="","",VLOOKUP($C247,'Tracking List'!$A$5:$AL$883,J$4,FALSE))</f>
        <v/>
      </c>
      <c r="K247" s="147" t="str">
        <f>IF($C247="","",VLOOKUP($C247,'Tracking List'!$A$5:$AL$883,K$4,FALSE))</f>
        <v/>
      </c>
      <c r="L247" s="168" t="str">
        <f>IF($C247="","",VLOOKUP($C247,'Tracking List'!$A$5:$AL$883,L$4,FALSE))</f>
        <v/>
      </c>
      <c r="M247" s="147" t="str">
        <f>IF($C247="","",VLOOKUP($C247,'Tracking List'!$A$5:$AL$883,M$4,FALSE))</f>
        <v/>
      </c>
      <c r="N247" s="148" t="str">
        <f>IF($C247="","",IF(VLOOKUP($C247,'Tracking List'!$A$5:$AL$883,N$3,FALSE)&gt;0,"Y",VLOOKUP($C247,'Tracking List'!$A$5:$AL$883,N$4,FALSE)))</f>
        <v/>
      </c>
      <c r="O247" s="148" t="str">
        <f>IF($C247="","",IF(VLOOKUP($C247,'Tracking List'!$A$5:$AL$883,O$3,FALSE)&gt;0,"Y",VLOOKUP($C247,'Tracking List'!$A$5:$AL$883,O$4,FALSE)))</f>
        <v/>
      </c>
      <c r="P247" s="147" t="str">
        <f>IF($C247="","",IF(VLOOKUP($C247,'Tracking List'!$A$5:$AL$883,P$4,FALSE)&gt;0,"Y",""))</f>
        <v/>
      </c>
      <c r="Q247" s="149"/>
      <c r="R247" s="166" t="str">
        <f>IF($C247="","",VLOOKUP($C247,'Tracking List'!$A$5:$AL$883,R$4,FALSE))</f>
        <v/>
      </c>
    </row>
    <row r="248" spans="3:18">
      <c r="C248" s="146"/>
      <c r="D248" s="147" t="str">
        <f>IF($C248="","",VLOOKUP($C248,'Tracking List'!$A$5:$AL$883,D$4,FALSE))</f>
        <v/>
      </c>
      <c r="E248" s="147" t="str">
        <f>IF($C248="","",VLOOKUP($C248,'Tracking List'!$A$5:$AL$883,E$4,FALSE))</f>
        <v/>
      </c>
      <c r="F248" s="147" t="str">
        <f>IF($C248="","",VLOOKUP($C248,'Tracking List'!$A$5:$AL$883,F$4,FALSE))</f>
        <v/>
      </c>
      <c r="G248" s="147" t="str">
        <f>IF($C248="","",VLOOKUP($C248,'Tracking List'!$A$5:$AL$883,G$4,FALSE))</f>
        <v/>
      </c>
      <c r="H248" s="147" t="str">
        <f>IF($C248="","",VLOOKUP($C248,'Tracking List'!$A$5:$AL$883,H$4,FALSE))</f>
        <v/>
      </c>
      <c r="I248" s="147" t="str">
        <f>IF($C248="","",VLOOKUP($C248,'Tracking List'!$A$5:$AL$883,I$4,FALSE))</f>
        <v/>
      </c>
      <c r="J248" s="147" t="str">
        <f>IF($C248="","",VLOOKUP($C248,'Tracking List'!$A$5:$AL$883,J$4,FALSE))</f>
        <v/>
      </c>
      <c r="K248" s="147" t="str">
        <f>IF($C248="","",VLOOKUP($C248,'Tracking List'!$A$5:$AL$883,K$4,FALSE))</f>
        <v/>
      </c>
      <c r="L248" s="168" t="str">
        <f>IF($C248="","",VLOOKUP($C248,'Tracking List'!$A$5:$AL$883,L$4,FALSE))</f>
        <v/>
      </c>
      <c r="M248" s="147" t="str">
        <f>IF($C248="","",VLOOKUP($C248,'Tracking List'!$A$5:$AL$883,M$4,FALSE))</f>
        <v/>
      </c>
      <c r="N248" s="148" t="str">
        <f>IF($C248="","",IF(VLOOKUP($C248,'Tracking List'!$A$5:$AL$883,N$3,FALSE)&gt;0,"Y",VLOOKUP($C248,'Tracking List'!$A$5:$AL$883,N$4,FALSE)))</f>
        <v/>
      </c>
      <c r="O248" s="148" t="str">
        <f>IF($C248="","",IF(VLOOKUP($C248,'Tracking List'!$A$5:$AL$883,O$3,FALSE)&gt;0,"Y",VLOOKUP($C248,'Tracking List'!$A$5:$AL$883,O$4,FALSE)))</f>
        <v/>
      </c>
      <c r="P248" s="147" t="str">
        <f>IF($C248="","",IF(VLOOKUP($C248,'Tracking List'!$A$5:$AL$883,P$4,FALSE)&gt;0,"Y",""))</f>
        <v/>
      </c>
      <c r="Q248" s="149"/>
      <c r="R248" s="166" t="str">
        <f>IF($C248="","",VLOOKUP($C248,'Tracking List'!$A$5:$AL$883,R$4,FALSE))</f>
        <v/>
      </c>
    </row>
    <row r="249" spans="3:18">
      <c r="C249" s="146"/>
      <c r="D249" s="147" t="str">
        <f>IF($C249="","",VLOOKUP($C249,'Tracking List'!$A$5:$AL$883,D$4,FALSE))</f>
        <v/>
      </c>
      <c r="E249" s="147" t="str">
        <f>IF($C249="","",VLOOKUP($C249,'Tracking List'!$A$5:$AL$883,E$4,FALSE))</f>
        <v/>
      </c>
      <c r="F249" s="147" t="str">
        <f>IF($C249="","",VLOOKUP($C249,'Tracking List'!$A$5:$AL$883,F$4,FALSE))</f>
        <v/>
      </c>
      <c r="G249" s="147" t="str">
        <f>IF($C249="","",VLOOKUP($C249,'Tracking List'!$A$5:$AL$883,G$4,FALSE))</f>
        <v/>
      </c>
      <c r="H249" s="147" t="str">
        <f>IF($C249="","",VLOOKUP($C249,'Tracking List'!$A$5:$AL$883,H$4,FALSE))</f>
        <v/>
      </c>
      <c r="I249" s="147" t="str">
        <f>IF($C249="","",VLOOKUP($C249,'Tracking List'!$A$5:$AL$883,I$4,FALSE))</f>
        <v/>
      </c>
      <c r="J249" s="147" t="str">
        <f>IF($C249="","",VLOOKUP($C249,'Tracking List'!$A$5:$AL$883,J$4,FALSE))</f>
        <v/>
      </c>
      <c r="K249" s="147" t="str">
        <f>IF($C249="","",VLOOKUP($C249,'Tracking List'!$A$5:$AL$883,K$4,FALSE))</f>
        <v/>
      </c>
      <c r="L249" s="168" t="str">
        <f>IF($C249="","",VLOOKUP($C249,'Tracking List'!$A$5:$AL$883,L$4,FALSE))</f>
        <v/>
      </c>
      <c r="M249" s="147" t="str">
        <f>IF($C249="","",VLOOKUP($C249,'Tracking List'!$A$5:$AL$883,M$4,FALSE))</f>
        <v/>
      </c>
      <c r="N249" s="148" t="str">
        <f>IF($C249="","",IF(VLOOKUP($C249,'Tracking List'!$A$5:$AL$883,N$3,FALSE)&gt;0,"Y",VLOOKUP($C249,'Tracking List'!$A$5:$AL$883,N$4,FALSE)))</f>
        <v/>
      </c>
      <c r="O249" s="148" t="str">
        <f>IF($C249="","",IF(VLOOKUP($C249,'Tracking List'!$A$5:$AL$883,O$3,FALSE)&gt;0,"Y",VLOOKUP($C249,'Tracking List'!$A$5:$AL$883,O$4,FALSE)))</f>
        <v/>
      </c>
      <c r="P249" s="147" t="str">
        <f>IF($C249="","",IF(VLOOKUP($C249,'Tracking List'!$A$5:$AL$883,P$4,FALSE)&gt;0,"Y",""))</f>
        <v/>
      </c>
      <c r="Q249" s="149"/>
      <c r="R249" s="166" t="str">
        <f>IF($C249="","",VLOOKUP($C249,'Tracking List'!$A$5:$AL$883,R$4,FALSE))</f>
        <v/>
      </c>
    </row>
    <row r="250" spans="3:18">
      <c r="C250" s="146"/>
      <c r="D250" s="147" t="str">
        <f>IF($C250="","",VLOOKUP($C250,'Tracking List'!$A$5:$AL$883,D$4,FALSE))</f>
        <v/>
      </c>
      <c r="E250" s="147" t="str">
        <f>IF($C250="","",VLOOKUP($C250,'Tracking List'!$A$5:$AL$883,E$4,FALSE))</f>
        <v/>
      </c>
      <c r="F250" s="147" t="str">
        <f>IF($C250="","",VLOOKUP($C250,'Tracking List'!$A$5:$AL$883,F$4,FALSE))</f>
        <v/>
      </c>
      <c r="G250" s="147" t="str">
        <f>IF($C250="","",VLOOKUP($C250,'Tracking List'!$A$5:$AL$883,G$4,FALSE))</f>
        <v/>
      </c>
      <c r="H250" s="147" t="str">
        <f>IF($C250="","",VLOOKUP($C250,'Tracking List'!$A$5:$AL$883,H$4,FALSE))</f>
        <v/>
      </c>
      <c r="I250" s="147" t="str">
        <f>IF($C250="","",VLOOKUP($C250,'Tracking List'!$A$5:$AL$883,I$4,FALSE))</f>
        <v/>
      </c>
      <c r="J250" s="147" t="str">
        <f>IF($C250="","",VLOOKUP($C250,'Tracking List'!$A$5:$AL$883,J$4,FALSE))</f>
        <v/>
      </c>
      <c r="K250" s="147" t="str">
        <f>IF($C250="","",VLOOKUP($C250,'Tracking List'!$A$5:$AL$883,K$4,FALSE))</f>
        <v/>
      </c>
      <c r="L250" s="168" t="str">
        <f>IF($C250="","",VLOOKUP($C250,'Tracking List'!$A$5:$AL$883,L$4,FALSE))</f>
        <v/>
      </c>
      <c r="M250" s="147" t="str">
        <f>IF($C250="","",VLOOKUP($C250,'Tracking List'!$A$5:$AL$883,M$4,FALSE))</f>
        <v/>
      </c>
      <c r="N250" s="148" t="str">
        <f>IF($C250="","",IF(VLOOKUP($C250,'Tracking List'!$A$5:$AL$883,N$3,FALSE)&gt;0,"Y",VLOOKUP($C250,'Tracking List'!$A$5:$AL$883,N$4,FALSE)))</f>
        <v/>
      </c>
      <c r="O250" s="148" t="str">
        <f>IF($C250="","",IF(VLOOKUP($C250,'Tracking List'!$A$5:$AL$883,O$3,FALSE)&gt;0,"Y",VLOOKUP($C250,'Tracking List'!$A$5:$AL$883,O$4,FALSE)))</f>
        <v/>
      </c>
      <c r="P250" s="147" t="str">
        <f>IF($C250="","",IF(VLOOKUP($C250,'Tracking List'!$A$5:$AL$883,P$4,FALSE)&gt;0,"Y",""))</f>
        <v/>
      </c>
      <c r="Q250" s="149"/>
      <c r="R250" s="166" t="str">
        <f>IF($C250="","",VLOOKUP($C250,'Tracking List'!$A$5:$AL$883,R$4,FALSE))</f>
        <v/>
      </c>
    </row>
    <row r="251" spans="3:18">
      <c r="C251" s="146"/>
      <c r="D251" s="147" t="str">
        <f>IF($C251="","",VLOOKUP($C251,'Tracking List'!$A$5:$AL$883,D$4,FALSE))</f>
        <v/>
      </c>
      <c r="E251" s="147" t="str">
        <f>IF($C251="","",VLOOKUP($C251,'Tracking List'!$A$5:$AL$883,E$4,FALSE))</f>
        <v/>
      </c>
      <c r="F251" s="147" t="str">
        <f>IF($C251="","",VLOOKUP($C251,'Tracking List'!$A$5:$AL$883,F$4,FALSE))</f>
        <v/>
      </c>
      <c r="G251" s="147" t="str">
        <f>IF($C251="","",VLOOKUP($C251,'Tracking List'!$A$5:$AL$883,G$4,FALSE))</f>
        <v/>
      </c>
      <c r="H251" s="147" t="str">
        <f>IF($C251="","",VLOOKUP($C251,'Tracking List'!$A$5:$AL$883,H$4,FALSE))</f>
        <v/>
      </c>
      <c r="I251" s="147" t="str">
        <f>IF($C251="","",VLOOKUP($C251,'Tracking List'!$A$5:$AL$883,I$4,FALSE))</f>
        <v/>
      </c>
      <c r="J251" s="147" t="str">
        <f>IF($C251="","",VLOOKUP($C251,'Tracking List'!$A$5:$AL$883,J$4,FALSE))</f>
        <v/>
      </c>
      <c r="K251" s="147" t="str">
        <f>IF($C251="","",VLOOKUP($C251,'Tracking List'!$A$5:$AL$883,K$4,FALSE))</f>
        <v/>
      </c>
      <c r="L251" s="168" t="str">
        <f>IF($C251="","",VLOOKUP($C251,'Tracking List'!$A$5:$AL$883,L$4,FALSE))</f>
        <v/>
      </c>
      <c r="M251" s="147" t="str">
        <f>IF($C251="","",VLOOKUP($C251,'Tracking List'!$A$5:$AL$883,M$4,FALSE))</f>
        <v/>
      </c>
      <c r="N251" s="148" t="str">
        <f>IF($C251="","",IF(VLOOKUP($C251,'Tracking List'!$A$5:$AL$883,N$3,FALSE)&gt;0,"Y",VLOOKUP($C251,'Tracking List'!$A$5:$AL$883,N$4,FALSE)))</f>
        <v/>
      </c>
      <c r="O251" s="148" t="str">
        <f>IF($C251="","",IF(VLOOKUP($C251,'Tracking List'!$A$5:$AL$883,O$3,FALSE)&gt;0,"Y",VLOOKUP($C251,'Tracking List'!$A$5:$AL$883,O$4,FALSE)))</f>
        <v/>
      </c>
      <c r="P251" s="147" t="str">
        <f>IF($C251="","",IF(VLOOKUP($C251,'Tracking List'!$A$5:$AL$883,P$4,FALSE)&gt;0,"Y",""))</f>
        <v/>
      </c>
      <c r="Q251" s="149"/>
      <c r="R251" s="166" t="str">
        <f>IF($C251="","",VLOOKUP($C251,'Tracking List'!$A$5:$AL$883,R$4,FALSE))</f>
        <v/>
      </c>
    </row>
    <row r="252" spans="3:18">
      <c r="C252" s="146"/>
      <c r="D252" s="147" t="str">
        <f>IF($C252="","",VLOOKUP($C252,'Tracking List'!$A$5:$AL$883,D$4,FALSE))</f>
        <v/>
      </c>
      <c r="E252" s="147" t="str">
        <f>IF($C252="","",VLOOKUP($C252,'Tracking List'!$A$5:$AL$883,E$4,FALSE))</f>
        <v/>
      </c>
      <c r="F252" s="147" t="str">
        <f>IF($C252="","",VLOOKUP($C252,'Tracking List'!$A$5:$AL$883,F$4,FALSE))</f>
        <v/>
      </c>
      <c r="G252" s="147" t="str">
        <f>IF($C252="","",VLOOKUP($C252,'Tracking List'!$A$5:$AL$883,G$4,FALSE))</f>
        <v/>
      </c>
      <c r="H252" s="147" t="str">
        <f>IF($C252="","",VLOOKUP($C252,'Tracking List'!$A$5:$AL$883,H$4,FALSE))</f>
        <v/>
      </c>
      <c r="I252" s="147" t="str">
        <f>IF($C252="","",VLOOKUP($C252,'Tracking List'!$A$5:$AL$883,I$4,FALSE))</f>
        <v/>
      </c>
      <c r="J252" s="147" t="str">
        <f>IF($C252="","",VLOOKUP($C252,'Tracking List'!$A$5:$AL$883,J$4,FALSE))</f>
        <v/>
      </c>
      <c r="K252" s="147" t="str">
        <f>IF($C252="","",VLOOKUP($C252,'Tracking List'!$A$5:$AL$883,K$4,FALSE))</f>
        <v/>
      </c>
      <c r="L252" s="168" t="str">
        <f>IF($C252="","",VLOOKUP($C252,'Tracking List'!$A$5:$AL$883,L$4,FALSE))</f>
        <v/>
      </c>
      <c r="M252" s="147" t="str">
        <f>IF($C252="","",VLOOKUP($C252,'Tracking List'!$A$5:$AL$883,M$4,FALSE))</f>
        <v/>
      </c>
      <c r="N252" s="148" t="str">
        <f>IF($C252="","",IF(VLOOKUP($C252,'Tracking List'!$A$5:$AL$883,N$3,FALSE)&gt;0,"Y",VLOOKUP($C252,'Tracking List'!$A$5:$AL$883,N$4,FALSE)))</f>
        <v/>
      </c>
      <c r="O252" s="148" t="str">
        <f>IF($C252="","",IF(VLOOKUP($C252,'Tracking List'!$A$5:$AL$883,O$3,FALSE)&gt;0,"Y",VLOOKUP($C252,'Tracking List'!$A$5:$AL$883,O$4,FALSE)))</f>
        <v/>
      </c>
      <c r="P252" s="147" t="str">
        <f>IF($C252="","",IF(VLOOKUP($C252,'Tracking List'!$A$5:$AL$883,P$4,FALSE)&gt;0,"Y",""))</f>
        <v/>
      </c>
      <c r="Q252" s="149"/>
      <c r="R252" s="166" t="str">
        <f>IF($C252="","",VLOOKUP($C252,'Tracking List'!$A$5:$AL$883,R$4,FALSE))</f>
        <v/>
      </c>
    </row>
    <row r="253" spans="3:18">
      <c r="C253" s="146"/>
      <c r="D253" s="147" t="str">
        <f>IF($C253="","",VLOOKUP($C253,'Tracking List'!$A$5:$AL$883,D$4,FALSE))</f>
        <v/>
      </c>
      <c r="E253" s="147" t="str">
        <f>IF($C253="","",VLOOKUP($C253,'Tracking List'!$A$5:$AL$883,E$4,FALSE))</f>
        <v/>
      </c>
      <c r="F253" s="147" t="str">
        <f>IF($C253="","",VLOOKUP($C253,'Tracking List'!$A$5:$AL$883,F$4,FALSE))</f>
        <v/>
      </c>
      <c r="G253" s="147" t="str">
        <f>IF($C253="","",VLOOKUP($C253,'Tracking List'!$A$5:$AL$883,G$4,FALSE))</f>
        <v/>
      </c>
      <c r="H253" s="147" t="str">
        <f>IF($C253="","",VLOOKUP($C253,'Tracking List'!$A$5:$AL$883,H$4,FALSE))</f>
        <v/>
      </c>
      <c r="I253" s="147" t="str">
        <f>IF($C253="","",VLOOKUP($C253,'Tracking List'!$A$5:$AL$883,I$4,FALSE))</f>
        <v/>
      </c>
      <c r="J253" s="147" t="str">
        <f>IF($C253="","",VLOOKUP($C253,'Tracking List'!$A$5:$AL$883,J$4,FALSE))</f>
        <v/>
      </c>
      <c r="K253" s="147" t="str">
        <f>IF($C253="","",VLOOKUP($C253,'Tracking List'!$A$5:$AL$883,K$4,FALSE))</f>
        <v/>
      </c>
      <c r="L253" s="168" t="str">
        <f>IF($C253="","",VLOOKUP($C253,'Tracking List'!$A$5:$AL$883,L$4,FALSE))</f>
        <v/>
      </c>
      <c r="M253" s="147" t="str">
        <f>IF($C253="","",VLOOKUP($C253,'Tracking List'!$A$5:$AL$883,M$4,FALSE))</f>
        <v/>
      </c>
      <c r="N253" s="148" t="str">
        <f>IF($C253="","",IF(VLOOKUP($C253,'Tracking List'!$A$5:$AL$883,N$3,FALSE)&gt;0,"Y",VLOOKUP($C253,'Tracking List'!$A$5:$AL$883,N$4,FALSE)))</f>
        <v/>
      </c>
      <c r="O253" s="148" t="str">
        <f>IF($C253="","",IF(VLOOKUP($C253,'Tracking List'!$A$5:$AL$883,O$3,FALSE)&gt;0,"Y",VLOOKUP($C253,'Tracking List'!$A$5:$AL$883,O$4,FALSE)))</f>
        <v/>
      </c>
      <c r="P253" s="147" t="str">
        <f>IF($C253="","",IF(VLOOKUP($C253,'Tracking List'!$A$5:$AL$883,P$4,FALSE)&gt;0,"Y",""))</f>
        <v/>
      </c>
      <c r="Q253" s="149"/>
      <c r="R253" s="166" t="str">
        <f>IF($C253="","",VLOOKUP($C253,'Tracking List'!$A$5:$AL$883,R$4,FALSE))</f>
        <v/>
      </c>
    </row>
    <row r="254" spans="3:18">
      <c r="C254" s="146"/>
      <c r="D254" s="147" t="str">
        <f>IF($C254="","",VLOOKUP($C254,'Tracking List'!$A$5:$AL$883,D$4,FALSE))</f>
        <v/>
      </c>
      <c r="E254" s="147" t="str">
        <f>IF($C254="","",VLOOKUP($C254,'Tracking List'!$A$5:$AL$883,E$4,FALSE))</f>
        <v/>
      </c>
      <c r="F254" s="147" t="str">
        <f>IF($C254="","",VLOOKUP($C254,'Tracking List'!$A$5:$AL$883,F$4,FALSE))</f>
        <v/>
      </c>
      <c r="G254" s="147" t="str">
        <f>IF($C254="","",VLOOKUP($C254,'Tracking List'!$A$5:$AL$883,G$4,FALSE))</f>
        <v/>
      </c>
      <c r="H254" s="147" t="str">
        <f>IF($C254="","",VLOOKUP($C254,'Tracking List'!$A$5:$AL$883,H$4,FALSE))</f>
        <v/>
      </c>
      <c r="I254" s="147" t="str">
        <f>IF($C254="","",VLOOKUP($C254,'Tracking List'!$A$5:$AL$883,I$4,FALSE))</f>
        <v/>
      </c>
      <c r="J254" s="147" t="str">
        <f>IF($C254="","",VLOOKUP($C254,'Tracking List'!$A$5:$AL$883,J$4,FALSE))</f>
        <v/>
      </c>
      <c r="K254" s="147" t="str">
        <f>IF($C254="","",VLOOKUP($C254,'Tracking List'!$A$5:$AL$883,K$4,FALSE))</f>
        <v/>
      </c>
      <c r="L254" s="168" t="str">
        <f>IF($C254="","",VLOOKUP($C254,'Tracking List'!$A$5:$AL$883,L$4,FALSE))</f>
        <v/>
      </c>
      <c r="M254" s="147" t="str">
        <f>IF($C254="","",VLOOKUP($C254,'Tracking List'!$A$5:$AL$883,M$4,FALSE))</f>
        <v/>
      </c>
      <c r="N254" s="148" t="str">
        <f>IF($C254="","",IF(VLOOKUP($C254,'Tracking List'!$A$5:$AL$883,N$3,FALSE)&gt;0,"Y",VLOOKUP($C254,'Tracking List'!$A$5:$AL$883,N$4,FALSE)))</f>
        <v/>
      </c>
      <c r="O254" s="148" t="str">
        <f>IF($C254="","",IF(VLOOKUP($C254,'Tracking List'!$A$5:$AL$883,O$3,FALSE)&gt;0,"Y",VLOOKUP($C254,'Tracking List'!$A$5:$AL$883,O$4,FALSE)))</f>
        <v/>
      </c>
      <c r="P254" s="147" t="str">
        <f>IF($C254="","",IF(VLOOKUP($C254,'Tracking List'!$A$5:$AL$883,P$4,FALSE)&gt;0,"Y",""))</f>
        <v/>
      </c>
      <c r="Q254" s="149"/>
      <c r="R254" s="166" t="str">
        <f>IF($C254="","",VLOOKUP($C254,'Tracking List'!$A$5:$AL$883,R$4,FALSE))</f>
        <v/>
      </c>
    </row>
    <row r="255" spans="3:18">
      <c r="C255" s="146"/>
      <c r="D255" s="147" t="str">
        <f>IF($C255="","",VLOOKUP($C255,'Tracking List'!$A$5:$AL$883,D$4,FALSE))</f>
        <v/>
      </c>
      <c r="E255" s="147" t="str">
        <f>IF($C255="","",VLOOKUP($C255,'Tracking List'!$A$5:$AL$883,E$4,FALSE))</f>
        <v/>
      </c>
      <c r="F255" s="147" t="str">
        <f>IF($C255="","",VLOOKUP($C255,'Tracking List'!$A$5:$AL$883,F$4,FALSE))</f>
        <v/>
      </c>
      <c r="G255" s="147" t="str">
        <f>IF($C255="","",VLOOKUP($C255,'Tracking List'!$A$5:$AL$883,G$4,FALSE))</f>
        <v/>
      </c>
      <c r="H255" s="147" t="str">
        <f>IF($C255="","",VLOOKUP($C255,'Tracking List'!$A$5:$AL$883,H$4,FALSE))</f>
        <v/>
      </c>
      <c r="I255" s="147" t="str">
        <f>IF($C255="","",VLOOKUP($C255,'Tracking List'!$A$5:$AL$883,I$4,FALSE))</f>
        <v/>
      </c>
      <c r="J255" s="147" t="str">
        <f>IF($C255="","",VLOOKUP($C255,'Tracking List'!$A$5:$AL$883,J$4,FALSE))</f>
        <v/>
      </c>
      <c r="K255" s="147" t="str">
        <f>IF($C255="","",VLOOKUP($C255,'Tracking List'!$A$5:$AL$883,K$4,FALSE))</f>
        <v/>
      </c>
      <c r="L255" s="168" t="str">
        <f>IF($C255="","",VLOOKUP($C255,'Tracking List'!$A$5:$AL$883,L$4,FALSE))</f>
        <v/>
      </c>
      <c r="M255" s="147" t="str">
        <f>IF($C255="","",VLOOKUP($C255,'Tracking List'!$A$5:$AL$883,M$4,FALSE))</f>
        <v/>
      </c>
      <c r="N255" s="148" t="str">
        <f>IF($C255="","",IF(VLOOKUP($C255,'Tracking List'!$A$5:$AL$883,N$3,FALSE)&gt;0,"Y",VLOOKUP($C255,'Tracking List'!$A$5:$AL$883,N$4,FALSE)))</f>
        <v/>
      </c>
      <c r="O255" s="148" t="str">
        <f>IF($C255="","",IF(VLOOKUP($C255,'Tracking List'!$A$5:$AL$883,O$3,FALSE)&gt;0,"Y",VLOOKUP($C255,'Tracking List'!$A$5:$AL$883,O$4,FALSE)))</f>
        <v/>
      </c>
      <c r="P255" s="147" t="str">
        <f>IF($C255="","",IF(VLOOKUP($C255,'Tracking List'!$A$5:$AL$883,P$4,FALSE)&gt;0,"Y",""))</f>
        <v/>
      </c>
      <c r="Q255" s="149"/>
      <c r="R255" s="166" t="str">
        <f>IF($C255="","",VLOOKUP($C255,'Tracking List'!$A$5:$AL$883,R$4,FALSE))</f>
        <v/>
      </c>
    </row>
    <row r="256" spans="3:18">
      <c r="C256" s="146"/>
      <c r="D256" s="147" t="str">
        <f>IF($C256="","",VLOOKUP($C256,'Tracking List'!$A$5:$AL$883,D$4,FALSE))</f>
        <v/>
      </c>
      <c r="E256" s="147" t="str">
        <f>IF($C256="","",VLOOKUP($C256,'Tracking List'!$A$5:$AL$883,E$4,FALSE))</f>
        <v/>
      </c>
      <c r="F256" s="147" t="str">
        <f>IF($C256="","",VLOOKUP($C256,'Tracking List'!$A$5:$AL$883,F$4,FALSE))</f>
        <v/>
      </c>
      <c r="G256" s="147" t="str">
        <f>IF($C256="","",VLOOKUP($C256,'Tracking List'!$A$5:$AL$883,G$4,FALSE))</f>
        <v/>
      </c>
      <c r="H256" s="147" t="str">
        <f>IF($C256="","",VLOOKUP($C256,'Tracking List'!$A$5:$AL$883,H$4,FALSE))</f>
        <v/>
      </c>
      <c r="I256" s="147" t="str">
        <f>IF($C256="","",VLOOKUP($C256,'Tracking List'!$A$5:$AL$883,I$4,FALSE))</f>
        <v/>
      </c>
      <c r="J256" s="147" t="str">
        <f>IF($C256="","",VLOOKUP($C256,'Tracking List'!$A$5:$AL$883,J$4,FALSE))</f>
        <v/>
      </c>
      <c r="K256" s="147" t="str">
        <f>IF($C256="","",VLOOKUP($C256,'Tracking List'!$A$5:$AL$883,K$4,FALSE))</f>
        <v/>
      </c>
      <c r="L256" s="168" t="str">
        <f>IF($C256="","",VLOOKUP($C256,'Tracking List'!$A$5:$AL$883,L$4,FALSE))</f>
        <v/>
      </c>
      <c r="M256" s="147" t="str">
        <f>IF($C256="","",VLOOKUP($C256,'Tracking List'!$A$5:$AL$883,M$4,FALSE))</f>
        <v/>
      </c>
      <c r="N256" s="148" t="str">
        <f>IF($C256="","",IF(VLOOKUP($C256,'Tracking List'!$A$5:$AL$883,N$3,FALSE)&gt;0,"Y",VLOOKUP($C256,'Tracking List'!$A$5:$AL$883,N$4,FALSE)))</f>
        <v/>
      </c>
      <c r="O256" s="148" t="str">
        <f>IF($C256="","",IF(VLOOKUP($C256,'Tracking List'!$A$5:$AL$883,O$3,FALSE)&gt;0,"Y",VLOOKUP($C256,'Tracking List'!$A$5:$AL$883,O$4,FALSE)))</f>
        <v/>
      </c>
      <c r="P256" s="147" t="str">
        <f>IF($C256="","",IF(VLOOKUP($C256,'Tracking List'!$A$5:$AL$883,P$4,FALSE)&gt;0,"Y",""))</f>
        <v/>
      </c>
      <c r="Q256" s="149"/>
      <c r="R256" s="166" t="str">
        <f>IF($C256="","",VLOOKUP($C256,'Tracking List'!$A$5:$AL$883,R$4,FALSE))</f>
        <v/>
      </c>
    </row>
    <row r="257" spans="3:18">
      <c r="C257" s="146"/>
      <c r="D257" s="147" t="str">
        <f>IF($C257="","",VLOOKUP($C257,'Tracking List'!$A$5:$AL$883,D$4,FALSE))</f>
        <v/>
      </c>
      <c r="E257" s="147" t="str">
        <f>IF($C257="","",VLOOKUP($C257,'Tracking List'!$A$5:$AL$883,E$4,FALSE))</f>
        <v/>
      </c>
      <c r="F257" s="147" t="str">
        <f>IF($C257="","",VLOOKUP($C257,'Tracking List'!$A$5:$AL$883,F$4,FALSE))</f>
        <v/>
      </c>
      <c r="G257" s="147" t="str">
        <f>IF($C257="","",VLOOKUP($C257,'Tracking List'!$A$5:$AL$883,G$4,FALSE))</f>
        <v/>
      </c>
      <c r="H257" s="147" t="str">
        <f>IF($C257="","",VLOOKUP($C257,'Tracking List'!$A$5:$AL$883,H$4,FALSE))</f>
        <v/>
      </c>
      <c r="I257" s="147" t="str">
        <f>IF($C257="","",VLOOKUP($C257,'Tracking List'!$A$5:$AL$883,I$4,FALSE))</f>
        <v/>
      </c>
      <c r="J257" s="147" t="str">
        <f>IF($C257="","",VLOOKUP($C257,'Tracking List'!$A$5:$AL$883,J$4,FALSE))</f>
        <v/>
      </c>
      <c r="K257" s="147" t="str">
        <f>IF($C257="","",VLOOKUP($C257,'Tracking List'!$A$5:$AL$883,K$4,FALSE))</f>
        <v/>
      </c>
      <c r="L257" s="168" t="str">
        <f>IF($C257="","",VLOOKUP($C257,'Tracking List'!$A$5:$AL$883,L$4,FALSE))</f>
        <v/>
      </c>
      <c r="M257" s="147" t="str">
        <f>IF($C257="","",VLOOKUP($C257,'Tracking List'!$A$5:$AL$883,M$4,FALSE))</f>
        <v/>
      </c>
      <c r="N257" s="148" t="str">
        <f>IF($C257="","",IF(VLOOKUP($C257,'Tracking List'!$A$5:$AL$883,N$3,FALSE)&gt;0,"Y",VLOOKUP($C257,'Tracking List'!$A$5:$AL$883,N$4,FALSE)))</f>
        <v/>
      </c>
      <c r="O257" s="148" t="str">
        <f>IF($C257="","",IF(VLOOKUP($C257,'Tracking List'!$A$5:$AL$883,O$3,FALSE)&gt;0,"Y",VLOOKUP($C257,'Tracking List'!$A$5:$AL$883,O$4,FALSE)))</f>
        <v/>
      </c>
      <c r="P257" s="147" t="str">
        <f>IF($C257="","",IF(VLOOKUP($C257,'Tracking List'!$A$5:$AL$883,P$4,FALSE)&gt;0,"Y",""))</f>
        <v/>
      </c>
      <c r="Q257" s="149"/>
      <c r="R257" s="166" t="str">
        <f>IF($C257="","",VLOOKUP($C257,'Tracking List'!$A$5:$AL$883,R$4,FALSE))</f>
        <v/>
      </c>
    </row>
    <row r="258" spans="3:18">
      <c r="C258" s="146"/>
      <c r="D258" s="147" t="str">
        <f>IF($C258="","",VLOOKUP($C258,'Tracking List'!$A$5:$AL$883,D$4,FALSE))</f>
        <v/>
      </c>
      <c r="E258" s="147" t="str">
        <f>IF($C258="","",VLOOKUP($C258,'Tracking List'!$A$5:$AL$883,E$4,FALSE))</f>
        <v/>
      </c>
      <c r="F258" s="147" t="str">
        <f>IF($C258="","",VLOOKUP($C258,'Tracking List'!$A$5:$AL$883,F$4,FALSE))</f>
        <v/>
      </c>
      <c r="G258" s="147" t="str">
        <f>IF($C258="","",VLOOKUP($C258,'Tracking List'!$A$5:$AL$883,G$4,FALSE))</f>
        <v/>
      </c>
      <c r="H258" s="147" t="str">
        <f>IF($C258="","",VLOOKUP($C258,'Tracking List'!$A$5:$AL$883,H$4,FALSE))</f>
        <v/>
      </c>
      <c r="I258" s="147" t="str">
        <f>IF($C258="","",VLOOKUP($C258,'Tracking List'!$A$5:$AL$883,I$4,FALSE))</f>
        <v/>
      </c>
      <c r="J258" s="147" t="str">
        <f>IF($C258="","",VLOOKUP($C258,'Tracking List'!$A$5:$AL$883,J$4,FALSE))</f>
        <v/>
      </c>
      <c r="K258" s="147" t="str">
        <f>IF($C258="","",VLOOKUP($C258,'Tracking List'!$A$5:$AL$883,K$4,FALSE))</f>
        <v/>
      </c>
      <c r="L258" s="168" t="str">
        <f>IF($C258="","",VLOOKUP($C258,'Tracking List'!$A$5:$AL$883,L$4,FALSE))</f>
        <v/>
      </c>
      <c r="M258" s="147" t="str">
        <f>IF($C258="","",VLOOKUP($C258,'Tracking List'!$A$5:$AL$883,M$4,FALSE))</f>
        <v/>
      </c>
      <c r="N258" s="148" t="str">
        <f>IF($C258="","",IF(VLOOKUP($C258,'Tracking List'!$A$5:$AL$883,N$3,FALSE)&gt;0,"Y",VLOOKUP($C258,'Tracking List'!$A$5:$AL$883,N$4,FALSE)))</f>
        <v/>
      </c>
      <c r="O258" s="148" t="str">
        <f>IF($C258="","",IF(VLOOKUP($C258,'Tracking List'!$A$5:$AL$883,O$3,FALSE)&gt;0,"Y",VLOOKUP($C258,'Tracking List'!$A$5:$AL$883,O$4,FALSE)))</f>
        <v/>
      </c>
      <c r="P258" s="147" t="str">
        <f>IF($C258="","",IF(VLOOKUP($C258,'Tracking List'!$A$5:$AL$883,P$4,FALSE)&gt;0,"Y",""))</f>
        <v/>
      </c>
      <c r="Q258" s="149"/>
      <c r="R258" s="166" t="str">
        <f>IF($C258="","",VLOOKUP($C258,'Tracking List'!$A$5:$AL$883,R$4,FALSE))</f>
        <v/>
      </c>
    </row>
    <row r="259" spans="3:18">
      <c r="C259" s="146"/>
      <c r="D259" s="147" t="str">
        <f>IF($C259="","",VLOOKUP($C259,'Tracking List'!$A$5:$AL$883,D$4,FALSE))</f>
        <v/>
      </c>
      <c r="E259" s="147" t="str">
        <f>IF($C259="","",VLOOKUP($C259,'Tracking List'!$A$5:$AL$883,E$4,FALSE))</f>
        <v/>
      </c>
      <c r="F259" s="147" t="str">
        <f>IF($C259="","",VLOOKUP($C259,'Tracking List'!$A$5:$AL$883,F$4,FALSE))</f>
        <v/>
      </c>
      <c r="G259" s="147" t="str">
        <f>IF($C259="","",VLOOKUP($C259,'Tracking List'!$A$5:$AL$883,G$4,FALSE))</f>
        <v/>
      </c>
      <c r="H259" s="147" t="str">
        <f>IF($C259="","",VLOOKUP($C259,'Tracking List'!$A$5:$AL$883,H$4,FALSE))</f>
        <v/>
      </c>
      <c r="I259" s="147" t="str">
        <f>IF($C259="","",VLOOKUP($C259,'Tracking List'!$A$5:$AL$883,I$4,FALSE))</f>
        <v/>
      </c>
      <c r="J259" s="147" t="str">
        <f>IF($C259="","",VLOOKUP($C259,'Tracking List'!$A$5:$AL$883,J$4,FALSE))</f>
        <v/>
      </c>
      <c r="K259" s="147" t="str">
        <f>IF($C259="","",VLOOKUP($C259,'Tracking List'!$A$5:$AL$883,K$4,FALSE))</f>
        <v/>
      </c>
      <c r="L259" s="168" t="str">
        <f>IF($C259="","",VLOOKUP($C259,'Tracking List'!$A$5:$AL$883,L$4,FALSE))</f>
        <v/>
      </c>
      <c r="M259" s="147" t="str">
        <f>IF($C259="","",VLOOKUP($C259,'Tracking List'!$A$5:$AL$883,M$4,FALSE))</f>
        <v/>
      </c>
      <c r="N259" s="148" t="str">
        <f>IF($C259="","",IF(VLOOKUP($C259,'Tracking List'!$A$5:$AL$883,N$3,FALSE)&gt;0,"Y",VLOOKUP($C259,'Tracking List'!$A$5:$AL$883,N$4,FALSE)))</f>
        <v/>
      </c>
      <c r="O259" s="148" t="str">
        <f>IF($C259="","",IF(VLOOKUP($C259,'Tracking List'!$A$5:$AL$883,O$3,FALSE)&gt;0,"Y",VLOOKUP($C259,'Tracking List'!$A$5:$AL$883,O$4,FALSE)))</f>
        <v/>
      </c>
      <c r="P259" s="147" t="str">
        <f>IF($C259="","",IF(VLOOKUP($C259,'Tracking List'!$A$5:$AL$883,P$4,FALSE)&gt;0,"Y",""))</f>
        <v/>
      </c>
      <c r="Q259" s="149"/>
      <c r="R259" s="166" t="str">
        <f>IF($C259="","",VLOOKUP($C259,'Tracking List'!$A$5:$AL$883,R$4,FALSE))</f>
        <v/>
      </c>
    </row>
    <row r="260" spans="3:18">
      <c r="C260" s="146"/>
      <c r="D260" s="147" t="str">
        <f>IF($C260="","",VLOOKUP($C260,'Tracking List'!$A$5:$AL$883,D$4,FALSE))</f>
        <v/>
      </c>
      <c r="E260" s="147" t="str">
        <f>IF($C260="","",VLOOKUP($C260,'Tracking List'!$A$5:$AL$883,E$4,FALSE))</f>
        <v/>
      </c>
      <c r="F260" s="147" t="str">
        <f>IF($C260="","",VLOOKUP($C260,'Tracking List'!$A$5:$AL$883,F$4,FALSE))</f>
        <v/>
      </c>
      <c r="G260" s="147" t="str">
        <f>IF($C260="","",VLOOKUP($C260,'Tracking List'!$A$5:$AL$883,G$4,FALSE))</f>
        <v/>
      </c>
      <c r="H260" s="147" t="str">
        <f>IF($C260="","",VLOOKUP($C260,'Tracking List'!$A$5:$AL$883,H$4,FALSE))</f>
        <v/>
      </c>
      <c r="I260" s="147" t="str">
        <f>IF($C260="","",VLOOKUP($C260,'Tracking List'!$A$5:$AL$883,I$4,FALSE))</f>
        <v/>
      </c>
      <c r="J260" s="147" t="str">
        <f>IF($C260="","",VLOOKUP($C260,'Tracking List'!$A$5:$AL$883,J$4,FALSE))</f>
        <v/>
      </c>
      <c r="K260" s="147" t="str">
        <f>IF($C260="","",VLOOKUP($C260,'Tracking List'!$A$5:$AL$883,K$4,FALSE))</f>
        <v/>
      </c>
      <c r="L260" s="168" t="str">
        <f>IF($C260="","",VLOOKUP($C260,'Tracking List'!$A$5:$AL$883,L$4,FALSE))</f>
        <v/>
      </c>
      <c r="M260" s="147" t="str">
        <f>IF($C260="","",VLOOKUP($C260,'Tracking List'!$A$5:$AL$883,M$4,FALSE))</f>
        <v/>
      </c>
      <c r="N260" s="148" t="str">
        <f>IF($C260="","",IF(VLOOKUP($C260,'Tracking List'!$A$5:$AL$883,N$3,FALSE)&gt;0,"Y",VLOOKUP($C260,'Tracking List'!$A$5:$AL$883,N$4,FALSE)))</f>
        <v/>
      </c>
      <c r="O260" s="148" t="str">
        <f>IF($C260="","",IF(VLOOKUP($C260,'Tracking List'!$A$5:$AL$883,O$3,FALSE)&gt;0,"Y",VLOOKUP($C260,'Tracking List'!$A$5:$AL$883,O$4,FALSE)))</f>
        <v/>
      </c>
      <c r="P260" s="147" t="str">
        <f>IF($C260="","",IF(VLOOKUP($C260,'Tracking List'!$A$5:$AL$883,P$4,FALSE)&gt;0,"Y",""))</f>
        <v/>
      </c>
      <c r="Q260" s="149"/>
      <c r="R260" s="166" t="str">
        <f>IF($C260="","",VLOOKUP($C260,'Tracking List'!$A$5:$AL$883,R$4,FALSE))</f>
        <v/>
      </c>
    </row>
    <row r="261" spans="3:18">
      <c r="C261" s="146"/>
      <c r="D261" s="147" t="str">
        <f>IF($C261="","",VLOOKUP($C261,'Tracking List'!$A$5:$AL$883,D$4,FALSE))</f>
        <v/>
      </c>
      <c r="E261" s="147" t="str">
        <f>IF($C261="","",VLOOKUP($C261,'Tracking List'!$A$5:$AL$883,E$4,FALSE))</f>
        <v/>
      </c>
      <c r="F261" s="147" t="str">
        <f>IF($C261="","",VLOOKUP($C261,'Tracking List'!$A$5:$AL$883,F$4,FALSE))</f>
        <v/>
      </c>
      <c r="G261" s="147" t="str">
        <f>IF($C261="","",VLOOKUP($C261,'Tracking List'!$A$5:$AL$883,G$4,FALSE))</f>
        <v/>
      </c>
      <c r="H261" s="147" t="str">
        <f>IF($C261="","",VLOOKUP($C261,'Tracking List'!$A$5:$AL$883,H$4,FALSE))</f>
        <v/>
      </c>
      <c r="I261" s="147" t="str">
        <f>IF($C261="","",VLOOKUP($C261,'Tracking List'!$A$5:$AL$883,I$4,FALSE))</f>
        <v/>
      </c>
      <c r="J261" s="147" t="str">
        <f>IF($C261="","",VLOOKUP($C261,'Tracking List'!$A$5:$AL$883,J$4,FALSE))</f>
        <v/>
      </c>
      <c r="K261" s="147" t="str">
        <f>IF($C261="","",VLOOKUP($C261,'Tracking List'!$A$5:$AL$883,K$4,FALSE))</f>
        <v/>
      </c>
      <c r="L261" s="168" t="str">
        <f>IF($C261="","",VLOOKUP($C261,'Tracking List'!$A$5:$AL$883,L$4,FALSE))</f>
        <v/>
      </c>
      <c r="M261" s="147" t="str">
        <f>IF($C261="","",VLOOKUP($C261,'Tracking List'!$A$5:$AL$883,M$4,FALSE))</f>
        <v/>
      </c>
      <c r="N261" s="148" t="str">
        <f>IF($C261="","",IF(VLOOKUP($C261,'Tracking List'!$A$5:$AL$883,N$3,FALSE)&gt;0,"Y",VLOOKUP($C261,'Tracking List'!$A$5:$AL$883,N$4,FALSE)))</f>
        <v/>
      </c>
      <c r="O261" s="148" t="str">
        <f>IF($C261="","",IF(VLOOKUP($C261,'Tracking List'!$A$5:$AL$883,O$3,FALSE)&gt;0,"Y",VLOOKUP($C261,'Tracking List'!$A$5:$AL$883,O$4,FALSE)))</f>
        <v/>
      </c>
      <c r="P261" s="147" t="str">
        <f>IF($C261="","",IF(VLOOKUP($C261,'Tracking List'!$A$5:$AL$883,P$4,FALSE)&gt;0,"Y",""))</f>
        <v/>
      </c>
      <c r="Q261" s="149"/>
      <c r="R261" s="166" t="str">
        <f>IF($C261="","",VLOOKUP($C261,'Tracking List'!$A$5:$AL$883,R$4,FALSE))</f>
        <v/>
      </c>
    </row>
    <row r="262" spans="3:18">
      <c r="C262" s="146"/>
      <c r="D262" s="147" t="str">
        <f>IF($C262="","",VLOOKUP($C262,'Tracking List'!$A$5:$AL$883,D$4,FALSE))</f>
        <v/>
      </c>
      <c r="E262" s="147" t="str">
        <f>IF($C262="","",VLOOKUP($C262,'Tracking List'!$A$5:$AL$883,E$4,FALSE))</f>
        <v/>
      </c>
      <c r="F262" s="147" t="str">
        <f>IF($C262="","",VLOOKUP($C262,'Tracking List'!$A$5:$AL$883,F$4,FALSE))</f>
        <v/>
      </c>
      <c r="G262" s="147" t="str">
        <f>IF($C262="","",VLOOKUP($C262,'Tracking List'!$A$5:$AL$883,G$4,FALSE))</f>
        <v/>
      </c>
      <c r="H262" s="147" t="str">
        <f>IF($C262="","",VLOOKUP($C262,'Tracking List'!$A$5:$AL$883,H$4,FALSE))</f>
        <v/>
      </c>
      <c r="I262" s="147" t="str">
        <f>IF($C262="","",VLOOKUP($C262,'Tracking List'!$A$5:$AL$883,I$4,FALSE))</f>
        <v/>
      </c>
      <c r="J262" s="147" t="str">
        <f>IF($C262="","",VLOOKUP($C262,'Tracking List'!$A$5:$AL$883,J$4,FALSE))</f>
        <v/>
      </c>
      <c r="K262" s="147" t="str">
        <f>IF($C262="","",VLOOKUP($C262,'Tracking List'!$A$5:$AL$883,K$4,FALSE))</f>
        <v/>
      </c>
      <c r="L262" s="168" t="str">
        <f>IF($C262="","",VLOOKUP($C262,'Tracking List'!$A$5:$AL$883,L$4,FALSE))</f>
        <v/>
      </c>
      <c r="M262" s="147" t="str">
        <f>IF($C262="","",VLOOKUP($C262,'Tracking List'!$A$5:$AL$883,M$4,FALSE))</f>
        <v/>
      </c>
      <c r="N262" s="148" t="str">
        <f>IF($C262="","",IF(VLOOKUP($C262,'Tracking List'!$A$5:$AL$883,N$3,FALSE)&gt;0,"Y",VLOOKUP($C262,'Tracking List'!$A$5:$AL$883,N$4,FALSE)))</f>
        <v/>
      </c>
      <c r="O262" s="148" t="str">
        <f>IF($C262="","",IF(VLOOKUP($C262,'Tracking List'!$A$5:$AL$883,O$3,FALSE)&gt;0,"Y",VLOOKUP($C262,'Tracking List'!$A$5:$AL$883,O$4,FALSE)))</f>
        <v/>
      </c>
      <c r="P262" s="147" t="str">
        <f>IF($C262="","",IF(VLOOKUP($C262,'Tracking List'!$A$5:$AL$883,P$4,FALSE)&gt;0,"Y",""))</f>
        <v/>
      </c>
      <c r="Q262" s="149"/>
      <c r="R262" s="166" t="str">
        <f>IF($C262="","",VLOOKUP($C262,'Tracking List'!$A$5:$AL$883,R$4,FALSE))</f>
        <v/>
      </c>
    </row>
    <row r="263" spans="3:18">
      <c r="C263" s="146"/>
      <c r="D263" s="147" t="str">
        <f>IF($C263="","",VLOOKUP($C263,'Tracking List'!$A$5:$AL$883,D$4,FALSE))</f>
        <v/>
      </c>
      <c r="E263" s="147" t="str">
        <f>IF($C263="","",VLOOKUP($C263,'Tracking List'!$A$5:$AL$883,E$4,FALSE))</f>
        <v/>
      </c>
      <c r="F263" s="147" t="str">
        <f>IF($C263="","",VLOOKUP($C263,'Tracking List'!$A$5:$AL$883,F$4,FALSE))</f>
        <v/>
      </c>
      <c r="G263" s="147" t="str">
        <f>IF($C263="","",VLOOKUP($C263,'Tracking List'!$A$5:$AL$883,G$4,FALSE))</f>
        <v/>
      </c>
      <c r="H263" s="147" t="str">
        <f>IF($C263="","",VLOOKUP($C263,'Tracking List'!$A$5:$AL$883,H$4,FALSE))</f>
        <v/>
      </c>
      <c r="I263" s="147" t="str">
        <f>IF($C263="","",VLOOKUP($C263,'Tracking List'!$A$5:$AL$883,I$4,FALSE))</f>
        <v/>
      </c>
      <c r="J263" s="147" t="str">
        <f>IF($C263="","",VLOOKUP($C263,'Tracking List'!$A$5:$AL$883,J$4,FALSE))</f>
        <v/>
      </c>
      <c r="K263" s="147" t="str">
        <f>IF($C263="","",VLOOKUP($C263,'Tracking List'!$A$5:$AL$883,K$4,FALSE))</f>
        <v/>
      </c>
      <c r="L263" s="168" t="str">
        <f>IF($C263="","",VLOOKUP($C263,'Tracking List'!$A$5:$AL$883,L$4,FALSE))</f>
        <v/>
      </c>
      <c r="M263" s="147" t="str">
        <f>IF($C263="","",VLOOKUP($C263,'Tracking List'!$A$5:$AL$883,M$4,FALSE))</f>
        <v/>
      </c>
      <c r="N263" s="148" t="str">
        <f>IF($C263="","",IF(VLOOKUP($C263,'Tracking List'!$A$5:$AL$883,N$3,FALSE)&gt;0,"Y",VLOOKUP($C263,'Tracking List'!$A$5:$AL$883,N$4,FALSE)))</f>
        <v/>
      </c>
      <c r="O263" s="148" t="str">
        <f>IF($C263="","",IF(VLOOKUP($C263,'Tracking List'!$A$5:$AL$883,O$3,FALSE)&gt;0,"Y",VLOOKUP($C263,'Tracking List'!$A$5:$AL$883,O$4,FALSE)))</f>
        <v/>
      </c>
      <c r="P263" s="147" t="str">
        <f>IF($C263="","",IF(VLOOKUP($C263,'Tracking List'!$A$5:$AL$883,P$4,FALSE)&gt;0,"Y",""))</f>
        <v/>
      </c>
      <c r="Q263" s="149"/>
      <c r="R263" s="166" t="str">
        <f>IF($C263="","",VLOOKUP($C263,'Tracking List'!$A$5:$AL$883,R$4,FALSE))</f>
        <v/>
      </c>
    </row>
    <row r="264" spans="3:18">
      <c r="C264" s="146"/>
      <c r="D264" s="147" t="str">
        <f>IF($C264="","",VLOOKUP($C264,'Tracking List'!$A$5:$AL$883,D$4,FALSE))</f>
        <v/>
      </c>
      <c r="E264" s="147" t="str">
        <f>IF($C264="","",VLOOKUP($C264,'Tracking List'!$A$5:$AL$883,E$4,FALSE))</f>
        <v/>
      </c>
      <c r="F264" s="147" t="str">
        <f>IF($C264="","",VLOOKUP($C264,'Tracking List'!$A$5:$AL$883,F$4,FALSE))</f>
        <v/>
      </c>
      <c r="G264" s="147" t="str">
        <f>IF($C264="","",VLOOKUP($C264,'Tracking List'!$A$5:$AL$883,G$4,FALSE))</f>
        <v/>
      </c>
      <c r="H264" s="147" t="str">
        <f>IF($C264="","",VLOOKUP($C264,'Tracking List'!$A$5:$AL$883,H$4,FALSE))</f>
        <v/>
      </c>
      <c r="I264" s="147" t="str">
        <f>IF($C264="","",VLOOKUP($C264,'Tracking List'!$A$5:$AL$883,I$4,FALSE))</f>
        <v/>
      </c>
      <c r="J264" s="147" t="str">
        <f>IF($C264="","",VLOOKUP($C264,'Tracking List'!$A$5:$AL$883,J$4,FALSE))</f>
        <v/>
      </c>
      <c r="K264" s="147" t="str">
        <f>IF($C264="","",VLOOKUP($C264,'Tracking List'!$A$5:$AL$883,K$4,FALSE))</f>
        <v/>
      </c>
      <c r="L264" s="168" t="str">
        <f>IF($C264="","",VLOOKUP($C264,'Tracking List'!$A$5:$AL$883,L$4,FALSE))</f>
        <v/>
      </c>
      <c r="M264" s="147" t="str">
        <f>IF($C264="","",VLOOKUP($C264,'Tracking List'!$A$5:$AL$883,M$4,FALSE))</f>
        <v/>
      </c>
      <c r="N264" s="148" t="str">
        <f>IF($C264="","",IF(VLOOKUP($C264,'Tracking List'!$A$5:$AL$883,N$3,FALSE)&gt;0,"Y",VLOOKUP($C264,'Tracking List'!$A$5:$AL$883,N$4,FALSE)))</f>
        <v/>
      </c>
      <c r="O264" s="148" t="str">
        <f>IF($C264="","",IF(VLOOKUP($C264,'Tracking List'!$A$5:$AL$883,O$3,FALSE)&gt;0,"Y",VLOOKUP($C264,'Tracking List'!$A$5:$AL$883,O$4,FALSE)))</f>
        <v/>
      </c>
      <c r="P264" s="147" t="str">
        <f>IF($C264="","",IF(VLOOKUP($C264,'Tracking List'!$A$5:$AL$883,P$4,FALSE)&gt;0,"Y",""))</f>
        <v/>
      </c>
      <c r="Q264" s="149"/>
      <c r="R264" s="166" t="str">
        <f>IF($C264="","",VLOOKUP($C264,'Tracking List'!$A$5:$AL$883,R$4,FALSE))</f>
        <v/>
      </c>
    </row>
    <row r="265" spans="3:18">
      <c r="C265" s="146"/>
      <c r="D265" s="147" t="str">
        <f>IF($C265="","",VLOOKUP($C265,'Tracking List'!$A$5:$AL$883,D$4,FALSE))</f>
        <v/>
      </c>
      <c r="E265" s="147" t="str">
        <f>IF($C265="","",VLOOKUP($C265,'Tracking List'!$A$5:$AL$883,E$4,FALSE))</f>
        <v/>
      </c>
      <c r="F265" s="147" t="str">
        <f>IF($C265="","",VLOOKUP($C265,'Tracking List'!$A$5:$AL$883,F$4,FALSE))</f>
        <v/>
      </c>
      <c r="G265" s="147" t="str">
        <f>IF($C265="","",VLOOKUP($C265,'Tracking List'!$A$5:$AL$883,G$4,FALSE))</f>
        <v/>
      </c>
      <c r="H265" s="147" t="str">
        <f>IF($C265="","",VLOOKUP($C265,'Tracking List'!$A$5:$AL$883,H$4,FALSE))</f>
        <v/>
      </c>
      <c r="I265" s="147" t="str">
        <f>IF($C265="","",VLOOKUP($C265,'Tracking List'!$A$5:$AL$883,I$4,FALSE))</f>
        <v/>
      </c>
      <c r="J265" s="147" t="str">
        <f>IF($C265="","",VLOOKUP($C265,'Tracking List'!$A$5:$AL$883,J$4,FALSE))</f>
        <v/>
      </c>
      <c r="K265" s="147" t="str">
        <f>IF($C265="","",VLOOKUP($C265,'Tracking List'!$A$5:$AL$883,K$4,FALSE))</f>
        <v/>
      </c>
      <c r="L265" s="168" t="str">
        <f>IF($C265="","",VLOOKUP($C265,'Tracking List'!$A$5:$AL$883,L$4,FALSE))</f>
        <v/>
      </c>
      <c r="M265" s="147" t="str">
        <f>IF($C265="","",VLOOKUP($C265,'Tracking List'!$A$5:$AL$883,M$4,FALSE))</f>
        <v/>
      </c>
      <c r="N265" s="148" t="str">
        <f>IF($C265="","",IF(VLOOKUP($C265,'Tracking List'!$A$5:$AL$883,N$3,FALSE)&gt;0,"Y",VLOOKUP($C265,'Tracking List'!$A$5:$AL$883,N$4,FALSE)))</f>
        <v/>
      </c>
      <c r="O265" s="148" t="str">
        <f>IF($C265="","",IF(VLOOKUP($C265,'Tracking List'!$A$5:$AL$883,O$3,FALSE)&gt;0,"Y",VLOOKUP($C265,'Tracking List'!$A$5:$AL$883,O$4,FALSE)))</f>
        <v/>
      </c>
      <c r="P265" s="147" t="str">
        <f>IF($C265="","",IF(VLOOKUP($C265,'Tracking List'!$A$5:$AL$883,P$4,FALSE)&gt;0,"Y",""))</f>
        <v/>
      </c>
      <c r="Q265" s="149"/>
      <c r="R265" s="166" t="str">
        <f>IF($C265="","",VLOOKUP($C265,'Tracking List'!$A$5:$AL$883,R$4,FALSE))</f>
        <v/>
      </c>
    </row>
    <row r="266" spans="3:18">
      <c r="C266" s="146"/>
      <c r="D266" s="147" t="str">
        <f>IF($C266="","",VLOOKUP($C266,'Tracking List'!$A$5:$AL$883,D$4,FALSE))</f>
        <v/>
      </c>
      <c r="E266" s="147" t="str">
        <f>IF($C266="","",VLOOKUP($C266,'Tracking List'!$A$5:$AL$883,E$4,FALSE))</f>
        <v/>
      </c>
      <c r="F266" s="147" t="str">
        <f>IF($C266="","",VLOOKUP($C266,'Tracking List'!$A$5:$AL$883,F$4,FALSE))</f>
        <v/>
      </c>
      <c r="G266" s="147" t="str">
        <f>IF($C266="","",VLOOKUP($C266,'Tracking List'!$A$5:$AL$883,G$4,FALSE))</f>
        <v/>
      </c>
      <c r="H266" s="147" t="str">
        <f>IF($C266="","",VLOOKUP($C266,'Tracking List'!$A$5:$AL$883,H$4,FALSE))</f>
        <v/>
      </c>
      <c r="I266" s="147" t="str">
        <f>IF($C266="","",VLOOKUP($C266,'Tracking List'!$A$5:$AL$883,I$4,FALSE))</f>
        <v/>
      </c>
      <c r="J266" s="147" t="str">
        <f>IF($C266="","",VLOOKUP($C266,'Tracking List'!$A$5:$AL$883,J$4,FALSE))</f>
        <v/>
      </c>
      <c r="K266" s="147" t="str">
        <f>IF($C266="","",VLOOKUP($C266,'Tracking List'!$A$5:$AL$883,K$4,FALSE))</f>
        <v/>
      </c>
      <c r="L266" s="168" t="str">
        <f>IF($C266="","",VLOOKUP($C266,'Tracking List'!$A$5:$AL$883,L$4,FALSE))</f>
        <v/>
      </c>
      <c r="M266" s="147" t="str">
        <f>IF($C266="","",VLOOKUP($C266,'Tracking List'!$A$5:$AL$883,M$4,FALSE))</f>
        <v/>
      </c>
      <c r="N266" s="148" t="str">
        <f>IF($C266="","",IF(VLOOKUP($C266,'Tracking List'!$A$5:$AL$883,N$3,FALSE)&gt;0,"Y",VLOOKUP($C266,'Tracking List'!$A$5:$AL$883,N$4,FALSE)))</f>
        <v/>
      </c>
      <c r="O266" s="148" t="str">
        <f>IF($C266="","",IF(VLOOKUP($C266,'Tracking List'!$A$5:$AL$883,O$3,FALSE)&gt;0,"Y",VLOOKUP($C266,'Tracking List'!$A$5:$AL$883,O$4,FALSE)))</f>
        <v/>
      </c>
      <c r="P266" s="147" t="str">
        <f>IF($C266="","",IF(VLOOKUP($C266,'Tracking List'!$A$5:$AL$883,P$4,FALSE)&gt;0,"Y",""))</f>
        <v/>
      </c>
      <c r="Q266" s="149"/>
      <c r="R266" s="166" t="str">
        <f>IF($C266="","",VLOOKUP($C266,'Tracking List'!$A$5:$AL$883,R$4,FALSE))</f>
        <v/>
      </c>
    </row>
    <row r="267" spans="3:18">
      <c r="C267" s="146"/>
      <c r="D267" s="147" t="str">
        <f>IF($C267="","",VLOOKUP($C267,'Tracking List'!$A$5:$AL$883,D$4,FALSE))</f>
        <v/>
      </c>
      <c r="E267" s="147" t="str">
        <f>IF($C267="","",VLOOKUP($C267,'Tracking List'!$A$5:$AL$883,E$4,FALSE))</f>
        <v/>
      </c>
      <c r="F267" s="147" t="str">
        <f>IF($C267="","",VLOOKUP($C267,'Tracking List'!$A$5:$AL$883,F$4,FALSE))</f>
        <v/>
      </c>
      <c r="G267" s="147" t="str">
        <f>IF($C267="","",VLOOKUP($C267,'Tracking List'!$A$5:$AL$883,G$4,FALSE))</f>
        <v/>
      </c>
      <c r="H267" s="147" t="str">
        <f>IF($C267="","",VLOOKUP($C267,'Tracking List'!$A$5:$AL$883,H$4,FALSE))</f>
        <v/>
      </c>
      <c r="I267" s="147" t="str">
        <f>IF($C267="","",VLOOKUP($C267,'Tracking List'!$A$5:$AL$883,I$4,FALSE))</f>
        <v/>
      </c>
      <c r="J267" s="147" t="str">
        <f>IF($C267="","",VLOOKUP($C267,'Tracking List'!$A$5:$AL$883,J$4,FALSE))</f>
        <v/>
      </c>
      <c r="K267" s="147" t="str">
        <f>IF($C267="","",VLOOKUP($C267,'Tracking List'!$A$5:$AL$883,K$4,FALSE))</f>
        <v/>
      </c>
      <c r="L267" s="168" t="str">
        <f>IF($C267="","",VLOOKUP($C267,'Tracking List'!$A$5:$AL$883,L$4,FALSE))</f>
        <v/>
      </c>
      <c r="M267" s="147" t="str">
        <f>IF($C267="","",VLOOKUP($C267,'Tracking List'!$A$5:$AL$883,M$4,FALSE))</f>
        <v/>
      </c>
      <c r="N267" s="148" t="str">
        <f>IF($C267="","",IF(VLOOKUP($C267,'Tracking List'!$A$5:$AL$883,N$3,FALSE)&gt;0,"Y",VLOOKUP($C267,'Tracking List'!$A$5:$AL$883,N$4,FALSE)))</f>
        <v/>
      </c>
      <c r="O267" s="148" t="str">
        <f>IF($C267="","",IF(VLOOKUP($C267,'Tracking List'!$A$5:$AL$883,O$3,FALSE)&gt;0,"Y",VLOOKUP($C267,'Tracking List'!$A$5:$AL$883,O$4,FALSE)))</f>
        <v/>
      </c>
      <c r="P267" s="147" t="str">
        <f>IF($C267="","",IF(VLOOKUP($C267,'Tracking List'!$A$5:$AL$883,P$4,FALSE)&gt;0,"Y",""))</f>
        <v/>
      </c>
      <c r="Q267" s="149"/>
      <c r="R267" s="166" t="str">
        <f>IF($C267="","",VLOOKUP($C267,'Tracking List'!$A$5:$AL$883,R$4,FALSE))</f>
        <v/>
      </c>
    </row>
    <row r="268" spans="3:18">
      <c r="C268" s="146"/>
      <c r="D268" s="147" t="str">
        <f>IF($C268="","",VLOOKUP($C268,'Tracking List'!$A$5:$AL$883,D$4,FALSE))</f>
        <v/>
      </c>
      <c r="E268" s="147" t="str">
        <f>IF($C268="","",VLOOKUP($C268,'Tracking List'!$A$5:$AL$883,E$4,FALSE))</f>
        <v/>
      </c>
      <c r="F268" s="147" t="str">
        <f>IF($C268="","",VLOOKUP($C268,'Tracking List'!$A$5:$AL$883,F$4,FALSE))</f>
        <v/>
      </c>
      <c r="G268" s="147" t="str">
        <f>IF($C268="","",VLOOKUP($C268,'Tracking List'!$A$5:$AL$883,G$4,FALSE))</f>
        <v/>
      </c>
      <c r="H268" s="147" t="str">
        <f>IF($C268="","",VLOOKUP($C268,'Tracking List'!$A$5:$AL$883,H$4,FALSE))</f>
        <v/>
      </c>
      <c r="I268" s="147" t="str">
        <f>IF($C268="","",VLOOKUP($C268,'Tracking List'!$A$5:$AL$883,I$4,FALSE))</f>
        <v/>
      </c>
      <c r="J268" s="147" t="str">
        <f>IF($C268="","",VLOOKUP($C268,'Tracking List'!$A$5:$AL$883,J$4,FALSE))</f>
        <v/>
      </c>
      <c r="K268" s="147" t="str">
        <f>IF($C268="","",VLOOKUP($C268,'Tracking List'!$A$5:$AL$883,K$4,FALSE))</f>
        <v/>
      </c>
      <c r="L268" s="168" t="str">
        <f>IF($C268="","",VLOOKUP($C268,'Tracking List'!$A$5:$AL$883,L$4,FALSE))</f>
        <v/>
      </c>
      <c r="M268" s="147" t="str">
        <f>IF($C268="","",VLOOKUP($C268,'Tracking List'!$A$5:$AL$883,M$4,FALSE))</f>
        <v/>
      </c>
      <c r="N268" s="148" t="str">
        <f>IF($C268="","",IF(VLOOKUP($C268,'Tracking List'!$A$5:$AL$883,N$3,FALSE)&gt;0,"Y",VLOOKUP($C268,'Tracking List'!$A$5:$AL$883,N$4,FALSE)))</f>
        <v/>
      </c>
      <c r="O268" s="148" t="str">
        <f>IF($C268="","",IF(VLOOKUP($C268,'Tracking List'!$A$5:$AL$883,O$3,FALSE)&gt;0,"Y",VLOOKUP($C268,'Tracking List'!$A$5:$AL$883,O$4,FALSE)))</f>
        <v/>
      </c>
      <c r="P268" s="147" t="str">
        <f>IF($C268="","",IF(VLOOKUP($C268,'Tracking List'!$A$5:$AL$883,P$4,FALSE)&gt;0,"Y",""))</f>
        <v/>
      </c>
      <c r="Q268" s="149"/>
      <c r="R268" s="166" t="str">
        <f>IF($C268="","",VLOOKUP($C268,'Tracking List'!$A$5:$AL$883,R$4,FALSE))</f>
        <v/>
      </c>
    </row>
    <row r="269" spans="3:18">
      <c r="C269" s="146"/>
      <c r="D269" s="147" t="str">
        <f>IF($C269="","",VLOOKUP($C269,'Tracking List'!$A$5:$AL$883,D$4,FALSE))</f>
        <v/>
      </c>
      <c r="E269" s="147" t="str">
        <f>IF($C269="","",VLOOKUP($C269,'Tracking List'!$A$5:$AL$883,E$4,FALSE))</f>
        <v/>
      </c>
      <c r="F269" s="147" t="str">
        <f>IF($C269="","",VLOOKUP($C269,'Tracking List'!$A$5:$AL$883,F$4,FALSE))</f>
        <v/>
      </c>
      <c r="G269" s="147" t="str">
        <f>IF($C269="","",VLOOKUP($C269,'Tracking List'!$A$5:$AL$883,G$4,FALSE))</f>
        <v/>
      </c>
      <c r="H269" s="147" t="str">
        <f>IF($C269="","",VLOOKUP($C269,'Tracking List'!$A$5:$AL$883,H$4,FALSE))</f>
        <v/>
      </c>
      <c r="I269" s="147" t="str">
        <f>IF($C269="","",VLOOKUP($C269,'Tracking List'!$A$5:$AL$883,I$4,FALSE))</f>
        <v/>
      </c>
      <c r="J269" s="147" t="str">
        <f>IF($C269="","",VLOOKUP($C269,'Tracking List'!$A$5:$AL$883,J$4,FALSE))</f>
        <v/>
      </c>
      <c r="K269" s="147" t="str">
        <f>IF($C269="","",VLOOKUP($C269,'Tracking List'!$A$5:$AL$883,K$4,FALSE))</f>
        <v/>
      </c>
      <c r="L269" s="168" t="str">
        <f>IF($C269="","",VLOOKUP($C269,'Tracking List'!$A$5:$AL$883,L$4,FALSE))</f>
        <v/>
      </c>
      <c r="M269" s="147" t="str">
        <f>IF($C269="","",VLOOKUP($C269,'Tracking List'!$A$5:$AL$883,M$4,FALSE))</f>
        <v/>
      </c>
      <c r="N269" s="148" t="str">
        <f>IF($C269="","",IF(VLOOKUP($C269,'Tracking List'!$A$5:$AL$883,N$3,FALSE)&gt;0,"Y",VLOOKUP($C269,'Tracking List'!$A$5:$AL$883,N$4,FALSE)))</f>
        <v/>
      </c>
      <c r="O269" s="148" t="str">
        <f>IF($C269="","",IF(VLOOKUP($C269,'Tracking List'!$A$5:$AL$883,O$3,FALSE)&gt;0,"Y",VLOOKUP($C269,'Tracking List'!$A$5:$AL$883,O$4,FALSE)))</f>
        <v/>
      </c>
      <c r="P269" s="147" t="str">
        <f>IF($C269="","",IF(VLOOKUP($C269,'Tracking List'!$A$5:$AL$883,P$4,FALSE)&gt;0,"Y",""))</f>
        <v/>
      </c>
      <c r="Q269" s="149"/>
      <c r="R269" s="166" t="str">
        <f>IF($C269="","",VLOOKUP($C269,'Tracking List'!$A$5:$AL$883,R$4,FALSE))</f>
        <v/>
      </c>
    </row>
    <row r="270" spans="3:18">
      <c r="C270" s="146"/>
      <c r="D270" s="147" t="str">
        <f>IF($C270="","",VLOOKUP($C270,'Tracking List'!$A$5:$AL$883,D$4,FALSE))</f>
        <v/>
      </c>
      <c r="E270" s="147" t="str">
        <f>IF($C270="","",VLOOKUP($C270,'Tracking List'!$A$5:$AL$883,E$4,FALSE))</f>
        <v/>
      </c>
      <c r="F270" s="147" t="str">
        <f>IF($C270="","",VLOOKUP($C270,'Tracking List'!$A$5:$AL$883,F$4,FALSE))</f>
        <v/>
      </c>
      <c r="G270" s="147" t="str">
        <f>IF($C270="","",VLOOKUP($C270,'Tracking List'!$A$5:$AL$883,G$4,FALSE))</f>
        <v/>
      </c>
      <c r="H270" s="147" t="str">
        <f>IF($C270="","",VLOOKUP($C270,'Tracking List'!$A$5:$AL$883,H$4,FALSE))</f>
        <v/>
      </c>
      <c r="I270" s="147" t="str">
        <f>IF($C270="","",VLOOKUP($C270,'Tracking List'!$A$5:$AL$883,I$4,FALSE))</f>
        <v/>
      </c>
      <c r="J270" s="147" t="str">
        <f>IF($C270="","",VLOOKUP($C270,'Tracking List'!$A$5:$AL$883,J$4,FALSE))</f>
        <v/>
      </c>
      <c r="K270" s="147" t="str">
        <f>IF($C270="","",VLOOKUP($C270,'Tracking List'!$A$5:$AL$883,K$4,FALSE))</f>
        <v/>
      </c>
      <c r="L270" s="168" t="str">
        <f>IF($C270="","",VLOOKUP($C270,'Tracking List'!$A$5:$AL$883,L$4,FALSE))</f>
        <v/>
      </c>
      <c r="M270" s="147" t="str">
        <f>IF($C270="","",VLOOKUP($C270,'Tracking List'!$A$5:$AL$883,M$4,FALSE))</f>
        <v/>
      </c>
      <c r="N270" s="148" t="str">
        <f>IF($C270="","",IF(VLOOKUP($C270,'Tracking List'!$A$5:$AL$883,N$3,FALSE)&gt;0,"Y",VLOOKUP($C270,'Tracking List'!$A$5:$AL$883,N$4,FALSE)))</f>
        <v/>
      </c>
      <c r="O270" s="148" t="str">
        <f>IF($C270="","",IF(VLOOKUP($C270,'Tracking List'!$A$5:$AL$883,O$3,FALSE)&gt;0,"Y",VLOOKUP($C270,'Tracking List'!$A$5:$AL$883,O$4,FALSE)))</f>
        <v/>
      </c>
      <c r="P270" s="147" t="str">
        <f>IF($C270="","",IF(VLOOKUP($C270,'Tracking List'!$A$5:$AL$883,P$4,FALSE)&gt;0,"Y",""))</f>
        <v/>
      </c>
      <c r="Q270" s="149"/>
      <c r="R270" s="166" t="str">
        <f>IF($C270="","",VLOOKUP($C270,'Tracking List'!$A$5:$AL$883,R$4,FALSE))</f>
        <v/>
      </c>
    </row>
    <row r="271" spans="3:18">
      <c r="C271" s="146"/>
      <c r="D271" s="147" t="str">
        <f>IF($C271="","",VLOOKUP($C271,'Tracking List'!$A$5:$AL$883,D$4,FALSE))</f>
        <v/>
      </c>
      <c r="E271" s="147" t="str">
        <f>IF($C271="","",VLOOKUP($C271,'Tracking List'!$A$5:$AL$883,E$4,FALSE))</f>
        <v/>
      </c>
      <c r="F271" s="147" t="str">
        <f>IF($C271="","",VLOOKUP($C271,'Tracking List'!$A$5:$AL$883,F$4,FALSE))</f>
        <v/>
      </c>
      <c r="G271" s="147" t="str">
        <f>IF($C271="","",VLOOKUP($C271,'Tracking List'!$A$5:$AL$883,G$4,FALSE))</f>
        <v/>
      </c>
      <c r="H271" s="147" t="str">
        <f>IF($C271="","",VLOOKUP($C271,'Tracking List'!$A$5:$AL$883,H$4,FALSE))</f>
        <v/>
      </c>
      <c r="I271" s="147" t="str">
        <f>IF($C271="","",VLOOKUP($C271,'Tracking List'!$A$5:$AL$883,I$4,FALSE))</f>
        <v/>
      </c>
      <c r="J271" s="147" t="str">
        <f>IF($C271="","",VLOOKUP($C271,'Tracking List'!$A$5:$AL$883,J$4,FALSE))</f>
        <v/>
      </c>
      <c r="K271" s="147" t="str">
        <f>IF($C271="","",VLOOKUP($C271,'Tracking List'!$A$5:$AL$883,K$4,FALSE))</f>
        <v/>
      </c>
      <c r="L271" s="168" t="str">
        <f>IF($C271="","",VLOOKUP($C271,'Tracking List'!$A$5:$AL$883,L$4,FALSE))</f>
        <v/>
      </c>
      <c r="M271" s="147" t="str">
        <f>IF($C271="","",VLOOKUP($C271,'Tracking List'!$A$5:$AL$883,M$4,FALSE))</f>
        <v/>
      </c>
      <c r="N271" s="148" t="str">
        <f>IF($C271="","",IF(VLOOKUP($C271,'Tracking List'!$A$5:$AL$883,N$3,FALSE)&gt;0,"Y",VLOOKUP($C271,'Tracking List'!$A$5:$AL$883,N$4,FALSE)))</f>
        <v/>
      </c>
      <c r="O271" s="148" t="str">
        <f>IF($C271="","",IF(VLOOKUP($C271,'Tracking List'!$A$5:$AL$883,O$3,FALSE)&gt;0,"Y",VLOOKUP($C271,'Tracking List'!$A$5:$AL$883,O$4,FALSE)))</f>
        <v/>
      </c>
      <c r="P271" s="147" t="str">
        <f>IF($C271="","",IF(VLOOKUP($C271,'Tracking List'!$A$5:$AL$883,P$4,FALSE)&gt;0,"Y",""))</f>
        <v/>
      </c>
      <c r="Q271" s="149"/>
      <c r="R271" s="166" t="str">
        <f>IF($C271="","",VLOOKUP($C271,'Tracking List'!$A$5:$AL$883,R$4,FALSE))</f>
        <v/>
      </c>
    </row>
    <row r="272" spans="3:18">
      <c r="C272" s="146"/>
      <c r="D272" s="147" t="str">
        <f>IF($C272="","",VLOOKUP($C272,'Tracking List'!$A$5:$AL$883,D$4,FALSE))</f>
        <v/>
      </c>
      <c r="E272" s="147" t="str">
        <f>IF($C272="","",VLOOKUP($C272,'Tracking List'!$A$5:$AL$883,E$4,FALSE))</f>
        <v/>
      </c>
      <c r="F272" s="147" t="str">
        <f>IF($C272="","",VLOOKUP($C272,'Tracking List'!$A$5:$AL$883,F$4,FALSE))</f>
        <v/>
      </c>
      <c r="G272" s="147" t="str">
        <f>IF($C272="","",VLOOKUP($C272,'Tracking List'!$A$5:$AL$883,G$4,FALSE))</f>
        <v/>
      </c>
      <c r="H272" s="147" t="str">
        <f>IF($C272="","",VLOOKUP($C272,'Tracking List'!$A$5:$AL$883,H$4,FALSE))</f>
        <v/>
      </c>
      <c r="I272" s="147" t="str">
        <f>IF($C272="","",VLOOKUP($C272,'Tracking List'!$A$5:$AL$883,I$4,FALSE))</f>
        <v/>
      </c>
      <c r="J272" s="147" t="str">
        <f>IF($C272="","",VLOOKUP($C272,'Tracking List'!$A$5:$AL$883,J$4,FALSE))</f>
        <v/>
      </c>
      <c r="K272" s="147" t="str">
        <f>IF($C272="","",VLOOKUP($C272,'Tracking List'!$A$5:$AL$883,K$4,FALSE))</f>
        <v/>
      </c>
      <c r="L272" s="168" t="str">
        <f>IF($C272="","",VLOOKUP($C272,'Tracking List'!$A$5:$AL$883,L$4,FALSE))</f>
        <v/>
      </c>
      <c r="M272" s="147" t="str">
        <f>IF($C272="","",VLOOKUP($C272,'Tracking List'!$A$5:$AL$883,M$4,FALSE))</f>
        <v/>
      </c>
      <c r="N272" s="148" t="str">
        <f>IF($C272="","",IF(VLOOKUP($C272,'Tracking List'!$A$5:$AL$883,N$3,FALSE)&gt;0,"Y",VLOOKUP($C272,'Tracking List'!$A$5:$AL$883,N$4,FALSE)))</f>
        <v/>
      </c>
      <c r="O272" s="148" t="str">
        <f>IF($C272="","",IF(VLOOKUP($C272,'Tracking List'!$A$5:$AL$883,O$3,FALSE)&gt;0,"Y",VLOOKUP($C272,'Tracking List'!$A$5:$AL$883,O$4,FALSE)))</f>
        <v/>
      </c>
      <c r="P272" s="147" t="str">
        <f>IF($C272="","",IF(VLOOKUP($C272,'Tracking List'!$A$5:$AL$883,P$4,FALSE)&gt;0,"Y",""))</f>
        <v/>
      </c>
      <c r="Q272" s="149"/>
      <c r="R272" s="166" t="str">
        <f>IF($C272="","",VLOOKUP($C272,'Tracking List'!$A$5:$AL$883,R$4,FALSE))</f>
        <v/>
      </c>
    </row>
    <row r="273" spans="3:18">
      <c r="C273" s="146"/>
      <c r="D273" s="147" t="str">
        <f>IF($C273="","",VLOOKUP($C273,'Tracking List'!$A$5:$AL$883,D$4,FALSE))</f>
        <v/>
      </c>
      <c r="E273" s="147" t="str">
        <f>IF($C273="","",VLOOKUP($C273,'Tracking List'!$A$5:$AL$883,E$4,FALSE))</f>
        <v/>
      </c>
      <c r="F273" s="147" t="str">
        <f>IF($C273="","",VLOOKUP($C273,'Tracking List'!$A$5:$AL$883,F$4,FALSE))</f>
        <v/>
      </c>
      <c r="G273" s="147" t="str">
        <f>IF($C273="","",VLOOKUP($C273,'Tracking List'!$A$5:$AL$883,G$4,FALSE))</f>
        <v/>
      </c>
      <c r="H273" s="147" t="str">
        <f>IF($C273="","",VLOOKUP($C273,'Tracking List'!$A$5:$AL$883,H$4,FALSE))</f>
        <v/>
      </c>
      <c r="I273" s="147" t="str">
        <f>IF($C273="","",VLOOKUP($C273,'Tracking List'!$A$5:$AL$883,I$4,FALSE))</f>
        <v/>
      </c>
      <c r="J273" s="147" t="str">
        <f>IF($C273="","",VLOOKUP($C273,'Tracking List'!$A$5:$AL$883,J$4,FALSE))</f>
        <v/>
      </c>
      <c r="K273" s="147" t="str">
        <f>IF($C273="","",VLOOKUP($C273,'Tracking List'!$A$5:$AL$883,K$4,FALSE))</f>
        <v/>
      </c>
      <c r="L273" s="168" t="str">
        <f>IF($C273="","",VLOOKUP($C273,'Tracking List'!$A$5:$AL$883,L$4,FALSE))</f>
        <v/>
      </c>
      <c r="M273" s="147" t="str">
        <f>IF($C273="","",VLOOKUP($C273,'Tracking List'!$A$5:$AL$883,M$4,FALSE))</f>
        <v/>
      </c>
      <c r="N273" s="148" t="str">
        <f>IF($C273="","",IF(VLOOKUP($C273,'Tracking List'!$A$5:$AL$883,N$3,FALSE)&gt;0,"Y",VLOOKUP($C273,'Tracking List'!$A$5:$AL$883,N$4,FALSE)))</f>
        <v/>
      </c>
      <c r="O273" s="148" t="str">
        <f>IF($C273="","",IF(VLOOKUP($C273,'Tracking List'!$A$5:$AL$883,O$3,FALSE)&gt;0,"Y",VLOOKUP($C273,'Tracking List'!$A$5:$AL$883,O$4,FALSE)))</f>
        <v/>
      </c>
      <c r="P273" s="147" t="str">
        <f>IF($C273="","",IF(VLOOKUP($C273,'Tracking List'!$A$5:$AL$883,P$4,FALSE)&gt;0,"Y",""))</f>
        <v/>
      </c>
      <c r="Q273" s="149"/>
      <c r="R273" s="166" t="str">
        <f>IF($C273="","",VLOOKUP($C273,'Tracking List'!$A$5:$AL$883,R$4,FALSE))</f>
        <v/>
      </c>
    </row>
    <row r="274" spans="3:18">
      <c r="C274" s="146"/>
      <c r="D274" s="147" t="str">
        <f>IF($C274="","",VLOOKUP($C274,'Tracking List'!$A$5:$AL$883,D$4,FALSE))</f>
        <v/>
      </c>
      <c r="E274" s="147" t="str">
        <f>IF($C274="","",VLOOKUP($C274,'Tracking List'!$A$5:$AL$883,E$4,FALSE))</f>
        <v/>
      </c>
      <c r="F274" s="147" t="str">
        <f>IF($C274="","",VLOOKUP($C274,'Tracking List'!$A$5:$AL$883,F$4,FALSE))</f>
        <v/>
      </c>
      <c r="G274" s="147" t="str">
        <f>IF($C274="","",VLOOKUP($C274,'Tracking List'!$A$5:$AL$883,G$4,FALSE))</f>
        <v/>
      </c>
      <c r="H274" s="147" t="str">
        <f>IF($C274="","",VLOOKUP($C274,'Tracking List'!$A$5:$AL$883,H$4,FALSE))</f>
        <v/>
      </c>
      <c r="I274" s="147" t="str">
        <f>IF($C274="","",VLOOKUP($C274,'Tracking List'!$A$5:$AL$883,I$4,FALSE))</f>
        <v/>
      </c>
      <c r="J274" s="147" t="str">
        <f>IF($C274="","",VLOOKUP($C274,'Tracking List'!$A$5:$AL$883,J$4,FALSE))</f>
        <v/>
      </c>
      <c r="K274" s="147" t="str">
        <f>IF($C274="","",VLOOKUP($C274,'Tracking List'!$A$5:$AL$883,K$4,FALSE))</f>
        <v/>
      </c>
      <c r="L274" s="168" t="str">
        <f>IF($C274="","",VLOOKUP($C274,'Tracking List'!$A$5:$AL$883,L$4,FALSE))</f>
        <v/>
      </c>
      <c r="M274" s="147" t="str">
        <f>IF($C274="","",VLOOKUP($C274,'Tracking List'!$A$5:$AL$883,M$4,FALSE))</f>
        <v/>
      </c>
      <c r="N274" s="148" t="str">
        <f>IF($C274="","",IF(VLOOKUP($C274,'Tracking List'!$A$5:$AL$883,N$3,FALSE)&gt;0,"Y",VLOOKUP($C274,'Tracking List'!$A$5:$AL$883,N$4,FALSE)))</f>
        <v/>
      </c>
      <c r="O274" s="148" t="str">
        <f>IF($C274="","",IF(VLOOKUP($C274,'Tracking List'!$A$5:$AL$883,O$3,FALSE)&gt;0,"Y",VLOOKUP($C274,'Tracking List'!$A$5:$AL$883,O$4,FALSE)))</f>
        <v/>
      </c>
      <c r="P274" s="147" t="str">
        <f>IF($C274="","",IF(VLOOKUP($C274,'Tracking List'!$A$5:$AL$883,P$4,FALSE)&gt;0,"Y",""))</f>
        <v/>
      </c>
      <c r="Q274" s="149"/>
      <c r="R274" s="166" t="str">
        <f>IF($C274="","",VLOOKUP($C274,'Tracking List'!$A$5:$AL$883,R$4,FALSE))</f>
        <v/>
      </c>
    </row>
    <row r="275" spans="3:18">
      <c r="C275" s="146"/>
      <c r="D275" s="147" t="str">
        <f>IF($C275="","",VLOOKUP($C275,'Tracking List'!$A$5:$AL$883,D$4,FALSE))</f>
        <v/>
      </c>
      <c r="E275" s="147" t="str">
        <f>IF($C275="","",VLOOKUP($C275,'Tracking List'!$A$5:$AL$883,E$4,FALSE))</f>
        <v/>
      </c>
      <c r="F275" s="147" t="str">
        <f>IF($C275="","",VLOOKUP($C275,'Tracking List'!$A$5:$AL$883,F$4,FALSE))</f>
        <v/>
      </c>
      <c r="G275" s="147" t="str">
        <f>IF($C275="","",VLOOKUP($C275,'Tracking List'!$A$5:$AL$883,G$4,FALSE))</f>
        <v/>
      </c>
      <c r="H275" s="147" t="str">
        <f>IF($C275="","",VLOOKUP($C275,'Tracking List'!$A$5:$AL$883,H$4,FALSE))</f>
        <v/>
      </c>
      <c r="I275" s="147" t="str">
        <f>IF($C275="","",VLOOKUP($C275,'Tracking List'!$A$5:$AL$883,I$4,FALSE))</f>
        <v/>
      </c>
      <c r="J275" s="147" t="str">
        <f>IF($C275="","",VLOOKUP($C275,'Tracking List'!$A$5:$AL$883,J$4,FALSE))</f>
        <v/>
      </c>
      <c r="K275" s="147" t="str">
        <f>IF($C275="","",VLOOKUP($C275,'Tracking List'!$A$5:$AL$883,K$4,FALSE))</f>
        <v/>
      </c>
      <c r="L275" s="168" t="str">
        <f>IF($C275="","",VLOOKUP($C275,'Tracking List'!$A$5:$AL$883,L$4,FALSE))</f>
        <v/>
      </c>
      <c r="M275" s="147" t="str">
        <f>IF($C275="","",VLOOKUP($C275,'Tracking List'!$A$5:$AL$883,M$4,FALSE))</f>
        <v/>
      </c>
      <c r="N275" s="148" t="str">
        <f>IF($C275="","",IF(VLOOKUP($C275,'Tracking List'!$A$5:$AL$883,N$3,FALSE)&gt;0,"Y",VLOOKUP($C275,'Tracking List'!$A$5:$AL$883,N$4,FALSE)))</f>
        <v/>
      </c>
      <c r="O275" s="148" t="str">
        <f>IF($C275="","",IF(VLOOKUP($C275,'Tracking List'!$A$5:$AL$883,O$3,FALSE)&gt;0,"Y",VLOOKUP($C275,'Tracking List'!$A$5:$AL$883,O$4,FALSE)))</f>
        <v/>
      </c>
      <c r="P275" s="147" t="str">
        <f>IF($C275="","",IF(VLOOKUP($C275,'Tracking List'!$A$5:$AL$883,P$4,FALSE)&gt;0,"Y",""))</f>
        <v/>
      </c>
      <c r="Q275" s="149"/>
      <c r="R275" s="166" t="str">
        <f>IF($C275="","",VLOOKUP($C275,'Tracking List'!$A$5:$AL$883,R$4,FALSE))</f>
        <v/>
      </c>
    </row>
    <row r="276" spans="3:18">
      <c r="C276" s="146"/>
      <c r="D276" s="147" t="str">
        <f>IF($C276="","",VLOOKUP($C276,'Tracking List'!$A$5:$AL$883,D$4,FALSE))</f>
        <v/>
      </c>
      <c r="E276" s="147" t="str">
        <f>IF($C276="","",VLOOKUP($C276,'Tracking List'!$A$5:$AL$883,E$4,FALSE))</f>
        <v/>
      </c>
      <c r="F276" s="147" t="str">
        <f>IF($C276="","",VLOOKUP($C276,'Tracking List'!$A$5:$AL$883,F$4,FALSE))</f>
        <v/>
      </c>
      <c r="G276" s="147" t="str">
        <f>IF($C276="","",VLOOKUP($C276,'Tracking List'!$A$5:$AL$883,G$4,FALSE))</f>
        <v/>
      </c>
      <c r="H276" s="147" t="str">
        <f>IF($C276="","",VLOOKUP($C276,'Tracking List'!$A$5:$AL$883,H$4,FALSE))</f>
        <v/>
      </c>
      <c r="I276" s="147" t="str">
        <f>IF($C276="","",VLOOKUP($C276,'Tracking List'!$A$5:$AL$883,I$4,FALSE))</f>
        <v/>
      </c>
      <c r="J276" s="147" t="str">
        <f>IF($C276="","",VLOOKUP($C276,'Tracking List'!$A$5:$AL$883,J$4,FALSE))</f>
        <v/>
      </c>
      <c r="K276" s="147" t="str">
        <f>IF($C276="","",VLOOKUP($C276,'Tracking List'!$A$5:$AL$883,K$4,FALSE))</f>
        <v/>
      </c>
      <c r="L276" s="168" t="str">
        <f>IF($C276="","",VLOOKUP($C276,'Tracking List'!$A$5:$AL$883,L$4,FALSE))</f>
        <v/>
      </c>
      <c r="M276" s="147" t="str">
        <f>IF($C276="","",VLOOKUP($C276,'Tracking List'!$A$5:$AL$883,M$4,FALSE))</f>
        <v/>
      </c>
      <c r="N276" s="148" t="str">
        <f>IF($C276="","",IF(VLOOKUP($C276,'Tracking List'!$A$5:$AL$883,N$3,FALSE)&gt;0,"Y",VLOOKUP($C276,'Tracking List'!$A$5:$AL$883,N$4,FALSE)))</f>
        <v/>
      </c>
      <c r="O276" s="148" t="str">
        <f>IF($C276="","",IF(VLOOKUP($C276,'Tracking List'!$A$5:$AL$883,O$3,FALSE)&gt;0,"Y",VLOOKUP($C276,'Tracking List'!$A$5:$AL$883,O$4,FALSE)))</f>
        <v/>
      </c>
      <c r="P276" s="147" t="str">
        <f>IF($C276="","",IF(VLOOKUP($C276,'Tracking List'!$A$5:$AL$883,P$4,FALSE)&gt;0,"Y",""))</f>
        <v/>
      </c>
      <c r="Q276" s="149"/>
      <c r="R276" s="166" t="str">
        <f>IF($C276="","",VLOOKUP($C276,'Tracking List'!$A$5:$AL$883,R$4,FALSE))</f>
        <v/>
      </c>
    </row>
    <row r="277" spans="3:18">
      <c r="C277" s="146"/>
      <c r="D277" s="147" t="str">
        <f>IF($C277="","",VLOOKUP($C277,'Tracking List'!$A$5:$AL$883,D$4,FALSE))</f>
        <v/>
      </c>
      <c r="E277" s="147" t="str">
        <f>IF($C277="","",VLOOKUP($C277,'Tracking List'!$A$5:$AL$883,E$4,FALSE))</f>
        <v/>
      </c>
      <c r="F277" s="147" t="str">
        <f>IF($C277="","",VLOOKUP($C277,'Tracking List'!$A$5:$AL$883,F$4,FALSE))</f>
        <v/>
      </c>
      <c r="G277" s="147" t="str">
        <f>IF($C277="","",VLOOKUP($C277,'Tracking List'!$A$5:$AL$883,G$4,FALSE))</f>
        <v/>
      </c>
      <c r="H277" s="147" t="str">
        <f>IF($C277="","",VLOOKUP($C277,'Tracking List'!$A$5:$AL$883,H$4,FALSE))</f>
        <v/>
      </c>
      <c r="I277" s="147" t="str">
        <f>IF($C277="","",VLOOKUP($C277,'Tracking List'!$A$5:$AL$883,I$4,FALSE))</f>
        <v/>
      </c>
      <c r="J277" s="147" t="str">
        <f>IF($C277="","",VLOOKUP($C277,'Tracking List'!$A$5:$AL$883,J$4,FALSE))</f>
        <v/>
      </c>
      <c r="K277" s="147" t="str">
        <f>IF($C277="","",VLOOKUP($C277,'Tracking List'!$A$5:$AL$883,K$4,FALSE))</f>
        <v/>
      </c>
      <c r="L277" s="168" t="str">
        <f>IF($C277="","",VLOOKUP($C277,'Tracking List'!$A$5:$AL$883,L$4,FALSE))</f>
        <v/>
      </c>
      <c r="M277" s="147" t="str">
        <f>IF($C277="","",VLOOKUP($C277,'Tracking List'!$A$5:$AL$883,M$4,FALSE))</f>
        <v/>
      </c>
      <c r="N277" s="148" t="str">
        <f>IF($C277="","",IF(VLOOKUP($C277,'Tracking List'!$A$5:$AL$883,N$3,FALSE)&gt;0,"Y",VLOOKUP($C277,'Tracking List'!$A$5:$AL$883,N$4,FALSE)))</f>
        <v/>
      </c>
      <c r="O277" s="148" t="str">
        <f>IF($C277="","",IF(VLOOKUP($C277,'Tracking List'!$A$5:$AL$883,O$3,FALSE)&gt;0,"Y",VLOOKUP($C277,'Tracking List'!$A$5:$AL$883,O$4,FALSE)))</f>
        <v/>
      </c>
      <c r="P277" s="147" t="str">
        <f>IF($C277="","",IF(VLOOKUP($C277,'Tracking List'!$A$5:$AL$883,P$4,FALSE)&gt;0,"Y",""))</f>
        <v/>
      </c>
      <c r="Q277" s="149"/>
      <c r="R277" s="166" t="str">
        <f>IF($C277="","",VLOOKUP($C277,'Tracking List'!$A$5:$AL$883,R$4,FALSE))</f>
        <v/>
      </c>
    </row>
    <row r="278" spans="3:18">
      <c r="C278" s="146"/>
      <c r="D278" s="147" t="str">
        <f>IF($C278="","",VLOOKUP($C278,'Tracking List'!$A$5:$AL$883,D$4,FALSE))</f>
        <v/>
      </c>
      <c r="E278" s="147" t="str">
        <f>IF($C278="","",VLOOKUP($C278,'Tracking List'!$A$5:$AL$883,E$4,FALSE))</f>
        <v/>
      </c>
      <c r="F278" s="147" t="str">
        <f>IF($C278="","",VLOOKUP($C278,'Tracking List'!$A$5:$AL$883,F$4,FALSE))</f>
        <v/>
      </c>
      <c r="G278" s="147" t="str">
        <f>IF($C278="","",VLOOKUP($C278,'Tracking List'!$A$5:$AL$883,G$4,FALSE))</f>
        <v/>
      </c>
      <c r="H278" s="147" t="str">
        <f>IF($C278="","",VLOOKUP($C278,'Tracking List'!$A$5:$AL$883,H$4,FALSE))</f>
        <v/>
      </c>
      <c r="I278" s="147" t="str">
        <f>IF($C278="","",VLOOKUP($C278,'Tracking List'!$A$5:$AL$883,I$4,FALSE))</f>
        <v/>
      </c>
      <c r="J278" s="147" t="str">
        <f>IF($C278="","",VLOOKUP($C278,'Tracking List'!$A$5:$AL$883,J$4,FALSE))</f>
        <v/>
      </c>
      <c r="K278" s="147" t="str">
        <f>IF($C278="","",VLOOKUP($C278,'Tracking List'!$A$5:$AL$883,K$4,FALSE))</f>
        <v/>
      </c>
      <c r="L278" s="168" t="str">
        <f>IF($C278="","",VLOOKUP($C278,'Tracking List'!$A$5:$AL$883,L$4,FALSE))</f>
        <v/>
      </c>
      <c r="M278" s="147" t="str">
        <f>IF($C278="","",VLOOKUP($C278,'Tracking List'!$A$5:$AL$883,M$4,FALSE))</f>
        <v/>
      </c>
      <c r="N278" s="148" t="str">
        <f>IF($C278="","",IF(VLOOKUP($C278,'Tracking List'!$A$5:$AL$883,N$3,FALSE)&gt;0,"Y",VLOOKUP($C278,'Tracking List'!$A$5:$AL$883,N$4,FALSE)))</f>
        <v/>
      </c>
      <c r="O278" s="148" t="str">
        <f>IF($C278="","",IF(VLOOKUP($C278,'Tracking List'!$A$5:$AL$883,O$3,FALSE)&gt;0,"Y",VLOOKUP($C278,'Tracking List'!$A$5:$AL$883,O$4,FALSE)))</f>
        <v/>
      </c>
      <c r="P278" s="147" t="str">
        <f>IF($C278="","",IF(VLOOKUP($C278,'Tracking List'!$A$5:$AL$883,P$4,FALSE)&gt;0,"Y",""))</f>
        <v/>
      </c>
      <c r="Q278" s="149"/>
      <c r="R278" s="166" t="str">
        <f>IF($C278="","",VLOOKUP($C278,'Tracking List'!$A$5:$AL$883,R$4,FALSE))</f>
        <v/>
      </c>
    </row>
    <row r="279" spans="3:18">
      <c r="C279" s="146"/>
      <c r="D279" s="147" t="str">
        <f>IF($C279="","",VLOOKUP($C279,'Tracking List'!$A$5:$AL$883,D$4,FALSE))</f>
        <v/>
      </c>
      <c r="E279" s="147" t="str">
        <f>IF($C279="","",VLOOKUP($C279,'Tracking List'!$A$5:$AL$883,E$4,FALSE))</f>
        <v/>
      </c>
      <c r="F279" s="147" t="str">
        <f>IF($C279="","",VLOOKUP($C279,'Tracking List'!$A$5:$AL$883,F$4,FALSE))</f>
        <v/>
      </c>
      <c r="G279" s="147" t="str">
        <f>IF($C279="","",VLOOKUP($C279,'Tracking List'!$A$5:$AL$883,G$4,FALSE))</f>
        <v/>
      </c>
      <c r="H279" s="147" t="str">
        <f>IF($C279="","",VLOOKUP($C279,'Tracking List'!$A$5:$AL$883,H$4,FALSE))</f>
        <v/>
      </c>
      <c r="I279" s="147" t="str">
        <f>IF($C279="","",VLOOKUP($C279,'Tracking List'!$A$5:$AL$883,I$4,FALSE))</f>
        <v/>
      </c>
      <c r="J279" s="147" t="str">
        <f>IF($C279="","",VLOOKUP($C279,'Tracking List'!$A$5:$AL$883,J$4,FALSE))</f>
        <v/>
      </c>
      <c r="K279" s="147" t="str">
        <f>IF($C279="","",VLOOKUP($C279,'Tracking List'!$A$5:$AL$883,K$4,FALSE))</f>
        <v/>
      </c>
      <c r="L279" s="168" t="str">
        <f>IF($C279="","",VLOOKUP($C279,'Tracking List'!$A$5:$AL$883,L$4,FALSE))</f>
        <v/>
      </c>
      <c r="M279" s="147" t="str">
        <f>IF($C279="","",VLOOKUP($C279,'Tracking List'!$A$5:$AL$883,M$4,FALSE))</f>
        <v/>
      </c>
      <c r="N279" s="148" t="str">
        <f>IF($C279="","",IF(VLOOKUP($C279,'Tracking List'!$A$5:$AL$883,N$3,FALSE)&gt;0,"Y",VLOOKUP($C279,'Tracking List'!$A$5:$AL$883,N$4,FALSE)))</f>
        <v/>
      </c>
      <c r="O279" s="148" t="str">
        <f>IF($C279="","",IF(VLOOKUP($C279,'Tracking List'!$A$5:$AL$883,O$3,FALSE)&gt;0,"Y",VLOOKUP($C279,'Tracking List'!$A$5:$AL$883,O$4,FALSE)))</f>
        <v/>
      </c>
      <c r="P279" s="147" t="str">
        <f>IF($C279="","",IF(VLOOKUP($C279,'Tracking List'!$A$5:$AL$883,P$4,FALSE)&gt;0,"Y",""))</f>
        <v/>
      </c>
      <c r="Q279" s="149"/>
      <c r="R279" s="166" t="str">
        <f>IF($C279="","",VLOOKUP($C279,'Tracking List'!$A$5:$AL$883,R$4,FALSE))</f>
        <v/>
      </c>
    </row>
    <row r="280" spans="3:18">
      <c r="C280" s="146"/>
      <c r="D280" s="147" t="str">
        <f>IF($C280="","",VLOOKUP($C280,'Tracking List'!$A$5:$AL$883,D$4,FALSE))</f>
        <v/>
      </c>
      <c r="E280" s="147" t="str">
        <f>IF($C280="","",VLOOKUP($C280,'Tracking List'!$A$5:$AL$883,E$4,FALSE))</f>
        <v/>
      </c>
      <c r="F280" s="147" t="str">
        <f>IF($C280="","",VLOOKUP($C280,'Tracking List'!$A$5:$AL$883,F$4,FALSE))</f>
        <v/>
      </c>
      <c r="G280" s="147" t="str">
        <f>IF($C280="","",VLOOKUP($C280,'Tracking List'!$A$5:$AL$883,G$4,FALSE))</f>
        <v/>
      </c>
      <c r="H280" s="147" t="str">
        <f>IF($C280="","",VLOOKUP($C280,'Tracking List'!$A$5:$AL$883,H$4,FALSE))</f>
        <v/>
      </c>
      <c r="I280" s="147" t="str">
        <f>IF($C280="","",VLOOKUP($C280,'Tracking List'!$A$5:$AL$883,I$4,FALSE))</f>
        <v/>
      </c>
      <c r="J280" s="147" t="str">
        <f>IF($C280="","",VLOOKUP($C280,'Tracking List'!$A$5:$AL$883,J$4,FALSE))</f>
        <v/>
      </c>
      <c r="K280" s="147" t="str">
        <f>IF($C280="","",VLOOKUP($C280,'Tracking List'!$A$5:$AL$883,K$4,FALSE))</f>
        <v/>
      </c>
      <c r="L280" s="168" t="str">
        <f>IF($C280="","",VLOOKUP($C280,'Tracking List'!$A$5:$AL$883,L$4,FALSE))</f>
        <v/>
      </c>
      <c r="M280" s="147" t="str">
        <f>IF($C280="","",VLOOKUP($C280,'Tracking List'!$A$5:$AL$883,M$4,FALSE))</f>
        <v/>
      </c>
      <c r="N280" s="148" t="str">
        <f>IF($C280="","",IF(VLOOKUP($C280,'Tracking List'!$A$5:$AL$883,N$3,FALSE)&gt;0,"Y",VLOOKUP($C280,'Tracking List'!$A$5:$AL$883,N$4,FALSE)))</f>
        <v/>
      </c>
      <c r="O280" s="148" t="str">
        <f>IF($C280="","",IF(VLOOKUP($C280,'Tracking List'!$A$5:$AL$883,O$3,FALSE)&gt;0,"Y",VLOOKUP($C280,'Tracking List'!$A$5:$AL$883,O$4,FALSE)))</f>
        <v/>
      </c>
      <c r="P280" s="147" t="str">
        <f>IF($C280="","",IF(VLOOKUP($C280,'Tracking List'!$A$5:$AL$883,P$4,FALSE)&gt;0,"Y",""))</f>
        <v/>
      </c>
      <c r="Q280" s="149"/>
      <c r="R280" s="166" t="str">
        <f>IF($C280="","",VLOOKUP($C280,'Tracking List'!$A$5:$AL$883,R$4,FALSE))</f>
        <v/>
      </c>
    </row>
    <row r="281" spans="3:18">
      <c r="C281" s="146"/>
      <c r="D281" s="147" t="str">
        <f>IF($C281="","",VLOOKUP($C281,'Tracking List'!$A$5:$AL$883,D$4,FALSE))</f>
        <v/>
      </c>
      <c r="E281" s="147" t="str">
        <f>IF($C281="","",VLOOKUP($C281,'Tracking List'!$A$5:$AL$883,E$4,FALSE))</f>
        <v/>
      </c>
      <c r="F281" s="147" t="str">
        <f>IF($C281="","",VLOOKUP($C281,'Tracking List'!$A$5:$AL$883,F$4,FALSE))</f>
        <v/>
      </c>
      <c r="G281" s="147" t="str">
        <f>IF($C281="","",VLOOKUP($C281,'Tracking List'!$A$5:$AL$883,G$4,FALSE))</f>
        <v/>
      </c>
      <c r="H281" s="147" t="str">
        <f>IF($C281="","",VLOOKUP($C281,'Tracking List'!$A$5:$AL$883,H$4,FALSE))</f>
        <v/>
      </c>
      <c r="I281" s="147" t="str">
        <f>IF($C281="","",VLOOKUP($C281,'Tracking List'!$A$5:$AL$883,I$4,FALSE))</f>
        <v/>
      </c>
      <c r="J281" s="147" t="str">
        <f>IF($C281="","",VLOOKUP($C281,'Tracking List'!$A$5:$AL$883,J$4,FALSE))</f>
        <v/>
      </c>
      <c r="K281" s="147" t="str">
        <f>IF($C281="","",VLOOKUP($C281,'Tracking List'!$A$5:$AL$883,K$4,FALSE))</f>
        <v/>
      </c>
      <c r="L281" s="168" t="str">
        <f>IF($C281="","",VLOOKUP($C281,'Tracking List'!$A$5:$AL$883,L$4,FALSE))</f>
        <v/>
      </c>
      <c r="M281" s="147" t="str">
        <f>IF($C281="","",VLOOKUP($C281,'Tracking List'!$A$5:$AL$883,M$4,FALSE))</f>
        <v/>
      </c>
      <c r="N281" s="148" t="str">
        <f>IF($C281="","",IF(VLOOKUP($C281,'Tracking List'!$A$5:$AL$883,N$3,FALSE)&gt;0,"Y",VLOOKUP($C281,'Tracking List'!$A$5:$AL$883,N$4,FALSE)))</f>
        <v/>
      </c>
      <c r="O281" s="148" t="str">
        <f>IF($C281="","",IF(VLOOKUP($C281,'Tracking List'!$A$5:$AL$883,O$3,FALSE)&gt;0,"Y",VLOOKUP($C281,'Tracking List'!$A$5:$AL$883,O$4,FALSE)))</f>
        <v/>
      </c>
      <c r="P281" s="147" t="str">
        <f>IF($C281="","",IF(VLOOKUP($C281,'Tracking List'!$A$5:$AL$883,P$4,FALSE)&gt;0,"Y",""))</f>
        <v/>
      </c>
      <c r="Q281" s="149"/>
      <c r="R281" s="166" t="str">
        <f>IF($C281="","",VLOOKUP($C281,'Tracking List'!$A$5:$AL$883,R$4,FALSE))</f>
        <v/>
      </c>
    </row>
    <row r="282" spans="3:18">
      <c r="C282" s="146"/>
      <c r="D282" s="147" t="str">
        <f>IF($C282="","",VLOOKUP($C282,'Tracking List'!$A$5:$AL$883,D$4,FALSE))</f>
        <v/>
      </c>
      <c r="E282" s="147" t="str">
        <f>IF($C282="","",VLOOKUP($C282,'Tracking List'!$A$5:$AL$883,E$4,FALSE))</f>
        <v/>
      </c>
      <c r="F282" s="147" t="str">
        <f>IF($C282="","",VLOOKUP($C282,'Tracking List'!$A$5:$AL$883,F$4,FALSE))</f>
        <v/>
      </c>
      <c r="G282" s="147" t="str">
        <f>IF($C282="","",VLOOKUP($C282,'Tracking List'!$A$5:$AL$883,G$4,FALSE))</f>
        <v/>
      </c>
      <c r="H282" s="147" t="str">
        <f>IF($C282="","",VLOOKUP($C282,'Tracking List'!$A$5:$AL$883,H$4,FALSE))</f>
        <v/>
      </c>
      <c r="I282" s="147" t="str">
        <f>IF($C282="","",VLOOKUP($C282,'Tracking List'!$A$5:$AL$883,I$4,FALSE))</f>
        <v/>
      </c>
      <c r="J282" s="147" t="str">
        <f>IF($C282="","",VLOOKUP($C282,'Tracking List'!$A$5:$AL$883,J$4,FALSE))</f>
        <v/>
      </c>
      <c r="K282" s="147" t="str">
        <f>IF($C282="","",VLOOKUP($C282,'Tracking List'!$A$5:$AL$883,K$4,FALSE))</f>
        <v/>
      </c>
      <c r="L282" s="168" t="str">
        <f>IF($C282="","",VLOOKUP($C282,'Tracking List'!$A$5:$AL$883,L$4,FALSE))</f>
        <v/>
      </c>
      <c r="M282" s="147" t="str">
        <f>IF($C282="","",VLOOKUP($C282,'Tracking List'!$A$5:$AL$883,M$4,FALSE))</f>
        <v/>
      </c>
      <c r="N282" s="148" t="str">
        <f>IF($C282="","",IF(VLOOKUP($C282,'Tracking List'!$A$5:$AL$883,N$3,FALSE)&gt;0,"Y",VLOOKUP($C282,'Tracking List'!$A$5:$AL$883,N$4,FALSE)))</f>
        <v/>
      </c>
      <c r="O282" s="148" t="str">
        <f>IF($C282="","",IF(VLOOKUP($C282,'Tracking List'!$A$5:$AL$883,O$3,FALSE)&gt;0,"Y",VLOOKUP($C282,'Tracking List'!$A$5:$AL$883,O$4,FALSE)))</f>
        <v/>
      </c>
      <c r="P282" s="147" t="str">
        <f>IF($C282="","",IF(VLOOKUP($C282,'Tracking List'!$A$5:$AL$883,P$4,FALSE)&gt;0,"Y",""))</f>
        <v/>
      </c>
      <c r="Q282" s="149"/>
      <c r="R282" s="166" t="str">
        <f>IF($C282="","",VLOOKUP($C282,'Tracking List'!$A$5:$AL$883,R$4,FALSE))</f>
        <v/>
      </c>
    </row>
    <row r="283" spans="3:18">
      <c r="C283" s="146"/>
      <c r="D283" s="147" t="str">
        <f>IF($C283="","",VLOOKUP($C283,'Tracking List'!$A$5:$AL$883,D$4,FALSE))</f>
        <v/>
      </c>
      <c r="E283" s="147" t="str">
        <f>IF($C283="","",VLOOKUP($C283,'Tracking List'!$A$5:$AL$883,E$4,FALSE))</f>
        <v/>
      </c>
      <c r="F283" s="147" t="str">
        <f>IF($C283="","",VLOOKUP($C283,'Tracking List'!$A$5:$AL$883,F$4,FALSE))</f>
        <v/>
      </c>
      <c r="G283" s="147" t="str">
        <f>IF($C283="","",VLOOKUP($C283,'Tracking List'!$A$5:$AL$883,G$4,FALSE))</f>
        <v/>
      </c>
      <c r="H283" s="147" t="str">
        <f>IF($C283="","",VLOOKUP($C283,'Tracking List'!$A$5:$AL$883,H$4,FALSE))</f>
        <v/>
      </c>
      <c r="I283" s="147" t="str">
        <f>IF($C283="","",VLOOKUP($C283,'Tracking List'!$A$5:$AL$883,I$4,FALSE))</f>
        <v/>
      </c>
      <c r="J283" s="147" t="str">
        <f>IF($C283="","",VLOOKUP($C283,'Tracking List'!$A$5:$AL$883,J$4,FALSE))</f>
        <v/>
      </c>
      <c r="K283" s="147" t="str">
        <f>IF($C283="","",VLOOKUP($C283,'Tracking List'!$A$5:$AL$883,K$4,FALSE))</f>
        <v/>
      </c>
      <c r="L283" s="168" t="str">
        <f>IF($C283="","",VLOOKUP($C283,'Tracking List'!$A$5:$AL$883,L$4,FALSE))</f>
        <v/>
      </c>
      <c r="M283" s="147" t="str">
        <f>IF($C283="","",VLOOKUP($C283,'Tracking List'!$A$5:$AL$883,M$4,FALSE))</f>
        <v/>
      </c>
      <c r="N283" s="148" t="str">
        <f>IF($C283="","",IF(VLOOKUP($C283,'Tracking List'!$A$5:$AL$883,N$3,FALSE)&gt;0,"Y",VLOOKUP($C283,'Tracking List'!$A$5:$AL$883,N$4,FALSE)))</f>
        <v/>
      </c>
      <c r="O283" s="148" t="str">
        <f>IF($C283="","",IF(VLOOKUP($C283,'Tracking List'!$A$5:$AL$883,O$3,FALSE)&gt;0,"Y",VLOOKUP($C283,'Tracking List'!$A$5:$AL$883,O$4,FALSE)))</f>
        <v/>
      </c>
      <c r="P283" s="147" t="str">
        <f>IF($C283="","",IF(VLOOKUP($C283,'Tracking List'!$A$5:$AL$883,P$4,FALSE)&gt;0,"Y",""))</f>
        <v/>
      </c>
      <c r="Q283" s="149"/>
      <c r="R283" s="166" t="str">
        <f>IF($C283="","",VLOOKUP($C283,'Tracking List'!$A$5:$AL$883,R$4,FALSE))</f>
        <v/>
      </c>
    </row>
    <row r="284" spans="3:18">
      <c r="C284" s="146"/>
      <c r="D284" s="147" t="str">
        <f>IF($C284="","",VLOOKUP($C284,'Tracking List'!$A$5:$AL$883,D$4,FALSE))</f>
        <v/>
      </c>
      <c r="E284" s="147" t="str">
        <f>IF($C284="","",VLOOKUP($C284,'Tracking List'!$A$5:$AL$883,E$4,FALSE))</f>
        <v/>
      </c>
      <c r="F284" s="147" t="str">
        <f>IF($C284="","",VLOOKUP($C284,'Tracking List'!$A$5:$AL$883,F$4,FALSE))</f>
        <v/>
      </c>
      <c r="G284" s="147" t="str">
        <f>IF($C284="","",VLOOKUP($C284,'Tracking List'!$A$5:$AL$883,G$4,FALSE))</f>
        <v/>
      </c>
      <c r="H284" s="147" t="str">
        <f>IF($C284="","",VLOOKUP($C284,'Tracking List'!$A$5:$AL$883,H$4,FALSE))</f>
        <v/>
      </c>
      <c r="I284" s="147" t="str">
        <f>IF($C284="","",VLOOKUP($C284,'Tracking List'!$A$5:$AL$883,I$4,FALSE))</f>
        <v/>
      </c>
      <c r="J284" s="147" t="str">
        <f>IF($C284="","",VLOOKUP($C284,'Tracking List'!$A$5:$AL$883,J$4,FALSE))</f>
        <v/>
      </c>
      <c r="K284" s="147" t="str">
        <f>IF($C284="","",VLOOKUP($C284,'Tracking List'!$A$5:$AL$883,K$4,FALSE))</f>
        <v/>
      </c>
      <c r="L284" s="168" t="str">
        <f>IF($C284="","",VLOOKUP($C284,'Tracking List'!$A$5:$AL$883,L$4,FALSE))</f>
        <v/>
      </c>
      <c r="M284" s="147" t="str">
        <f>IF($C284="","",VLOOKUP($C284,'Tracking List'!$A$5:$AL$883,M$4,FALSE))</f>
        <v/>
      </c>
      <c r="N284" s="148" t="str">
        <f>IF($C284="","",IF(VLOOKUP($C284,'Tracking List'!$A$5:$AL$883,N$3,FALSE)&gt;0,"Y",VLOOKUP($C284,'Tracking List'!$A$5:$AL$883,N$4,FALSE)))</f>
        <v/>
      </c>
      <c r="O284" s="148" t="str">
        <f>IF($C284="","",IF(VLOOKUP($C284,'Tracking List'!$A$5:$AL$883,O$3,FALSE)&gt;0,"Y",VLOOKUP($C284,'Tracking List'!$A$5:$AL$883,O$4,FALSE)))</f>
        <v/>
      </c>
      <c r="P284" s="147" t="str">
        <f>IF($C284="","",IF(VLOOKUP($C284,'Tracking List'!$A$5:$AL$883,P$4,FALSE)&gt;0,"Y",""))</f>
        <v/>
      </c>
      <c r="Q284" s="149"/>
      <c r="R284" s="166" t="str">
        <f>IF($C284="","",VLOOKUP($C284,'Tracking List'!$A$5:$AL$883,R$4,FALSE))</f>
        <v/>
      </c>
    </row>
    <row r="285" spans="3:18">
      <c r="C285" s="146"/>
      <c r="D285" s="147" t="str">
        <f>IF($C285="","",VLOOKUP($C285,'Tracking List'!$A$5:$AL$883,D$4,FALSE))</f>
        <v/>
      </c>
      <c r="E285" s="147" t="str">
        <f>IF($C285="","",VLOOKUP($C285,'Tracking List'!$A$5:$AL$883,E$4,FALSE))</f>
        <v/>
      </c>
      <c r="F285" s="147" t="str">
        <f>IF($C285="","",VLOOKUP($C285,'Tracking List'!$A$5:$AL$883,F$4,FALSE))</f>
        <v/>
      </c>
      <c r="G285" s="147" t="str">
        <f>IF($C285="","",VLOOKUP($C285,'Tracking List'!$A$5:$AL$883,G$4,FALSE))</f>
        <v/>
      </c>
      <c r="H285" s="147" t="str">
        <f>IF($C285="","",VLOOKUP($C285,'Tracking List'!$A$5:$AL$883,H$4,FALSE))</f>
        <v/>
      </c>
      <c r="I285" s="147" t="str">
        <f>IF($C285="","",VLOOKUP($C285,'Tracking List'!$A$5:$AL$883,I$4,FALSE))</f>
        <v/>
      </c>
      <c r="J285" s="147" t="str">
        <f>IF($C285="","",VLOOKUP($C285,'Tracking List'!$A$5:$AL$883,J$4,FALSE))</f>
        <v/>
      </c>
      <c r="K285" s="147" t="str">
        <f>IF($C285="","",VLOOKUP($C285,'Tracking List'!$A$5:$AL$883,K$4,FALSE))</f>
        <v/>
      </c>
      <c r="L285" s="168" t="str">
        <f>IF($C285="","",VLOOKUP($C285,'Tracking List'!$A$5:$AL$883,L$4,FALSE))</f>
        <v/>
      </c>
      <c r="M285" s="147" t="str">
        <f>IF($C285="","",VLOOKUP($C285,'Tracking List'!$A$5:$AL$883,M$4,FALSE))</f>
        <v/>
      </c>
      <c r="N285" s="148" t="str">
        <f>IF($C285="","",IF(VLOOKUP($C285,'Tracking List'!$A$5:$AL$883,N$3,FALSE)&gt;0,"Y",VLOOKUP($C285,'Tracking List'!$A$5:$AL$883,N$4,FALSE)))</f>
        <v/>
      </c>
      <c r="O285" s="148" t="str">
        <f>IF($C285="","",IF(VLOOKUP($C285,'Tracking List'!$A$5:$AL$883,O$3,FALSE)&gt;0,"Y",VLOOKUP($C285,'Tracking List'!$A$5:$AL$883,O$4,FALSE)))</f>
        <v/>
      </c>
      <c r="P285" s="147" t="str">
        <f>IF($C285="","",IF(VLOOKUP($C285,'Tracking List'!$A$5:$AL$883,P$4,FALSE)&gt;0,"Y",""))</f>
        <v/>
      </c>
      <c r="Q285" s="149"/>
      <c r="R285" s="166" t="str">
        <f>IF($C285="","",VLOOKUP($C285,'Tracking List'!$A$5:$AL$883,R$4,FALSE))</f>
        <v/>
      </c>
    </row>
    <row r="286" spans="3:18">
      <c r="C286" s="146"/>
      <c r="D286" s="147" t="str">
        <f>IF($C286="","",VLOOKUP($C286,'Tracking List'!$A$5:$AL$883,D$4,FALSE))</f>
        <v/>
      </c>
      <c r="E286" s="147" t="str">
        <f>IF($C286="","",VLOOKUP($C286,'Tracking List'!$A$5:$AL$883,E$4,FALSE))</f>
        <v/>
      </c>
      <c r="F286" s="147" t="str">
        <f>IF($C286="","",VLOOKUP($C286,'Tracking List'!$A$5:$AL$883,F$4,FALSE))</f>
        <v/>
      </c>
      <c r="G286" s="147" t="str">
        <f>IF($C286="","",VLOOKUP($C286,'Tracking List'!$A$5:$AL$883,G$4,FALSE))</f>
        <v/>
      </c>
      <c r="H286" s="147" t="str">
        <f>IF($C286="","",VLOOKUP($C286,'Tracking List'!$A$5:$AL$883,H$4,FALSE))</f>
        <v/>
      </c>
      <c r="I286" s="147" t="str">
        <f>IF($C286="","",VLOOKUP($C286,'Tracking List'!$A$5:$AL$883,I$4,FALSE))</f>
        <v/>
      </c>
      <c r="J286" s="147" t="str">
        <f>IF($C286="","",VLOOKUP($C286,'Tracking List'!$A$5:$AL$883,J$4,FALSE))</f>
        <v/>
      </c>
      <c r="K286" s="147" t="str">
        <f>IF($C286="","",VLOOKUP($C286,'Tracking List'!$A$5:$AL$883,K$4,FALSE))</f>
        <v/>
      </c>
      <c r="L286" s="168" t="str">
        <f>IF($C286="","",VLOOKUP($C286,'Tracking List'!$A$5:$AL$883,L$4,FALSE))</f>
        <v/>
      </c>
      <c r="M286" s="147" t="str">
        <f>IF($C286="","",VLOOKUP($C286,'Tracking List'!$A$5:$AL$883,M$4,FALSE))</f>
        <v/>
      </c>
      <c r="N286" s="148" t="str">
        <f>IF($C286="","",IF(VLOOKUP($C286,'Tracking List'!$A$5:$AL$883,N$3,FALSE)&gt;0,"Y",VLOOKUP($C286,'Tracking List'!$A$5:$AL$883,N$4,FALSE)))</f>
        <v/>
      </c>
      <c r="O286" s="148" t="str">
        <f>IF($C286="","",IF(VLOOKUP($C286,'Tracking List'!$A$5:$AL$883,O$3,FALSE)&gt;0,"Y",VLOOKUP($C286,'Tracking List'!$A$5:$AL$883,O$4,FALSE)))</f>
        <v/>
      </c>
      <c r="P286" s="147" t="str">
        <f>IF($C286="","",IF(VLOOKUP($C286,'Tracking List'!$A$5:$AL$883,P$4,FALSE)&gt;0,"Y",""))</f>
        <v/>
      </c>
      <c r="Q286" s="149"/>
      <c r="R286" s="166" t="str">
        <f>IF($C286="","",VLOOKUP($C286,'Tracking List'!$A$5:$AL$883,R$4,FALSE))</f>
        <v/>
      </c>
    </row>
    <row r="287" spans="3:18">
      <c r="C287" s="146"/>
      <c r="D287" s="147" t="str">
        <f>IF($C287="","",VLOOKUP($C287,'Tracking List'!$A$5:$AL$883,D$4,FALSE))</f>
        <v/>
      </c>
      <c r="E287" s="147" t="str">
        <f>IF($C287="","",VLOOKUP($C287,'Tracking List'!$A$5:$AL$883,E$4,FALSE))</f>
        <v/>
      </c>
      <c r="F287" s="147" t="str">
        <f>IF($C287="","",VLOOKUP($C287,'Tracking List'!$A$5:$AL$883,F$4,FALSE))</f>
        <v/>
      </c>
      <c r="G287" s="147" t="str">
        <f>IF($C287="","",VLOOKUP($C287,'Tracking List'!$A$5:$AL$883,G$4,FALSE))</f>
        <v/>
      </c>
      <c r="H287" s="147" t="str">
        <f>IF($C287="","",VLOOKUP($C287,'Tracking List'!$A$5:$AL$883,H$4,FALSE))</f>
        <v/>
      </c>
      <c r="I287" s="147" t="str">
        <f>IF($C287="","",VLOOKUP($C287,'Tracking List'!$A$5:$AL$883,I$4,FALSE))</f>
        <v/>
      </c>
      <c r="J287" s="147" t="str">
        <f>IF($C287="","",VLOOKUP($C287,'Tracking List'!$A$5:$AL$883,J$4,FALSE))</f>
        <v/>
      </c>
      <c r="K287" s="147" t="str">
        <f>IF($C287="","",VLOOKUP($C287,'Tracking List'!$A$5:$AL$883,K$4,FALSE))</f>
        <v/>
      </c>
      <c r="L287" s="168" t="str">
        <f>IF($C287="","",VLOOKUP($C287,'Tracking List'!$A$5:$AL$883,L$4,FALSE))</f>
        <v/>
      </c>
      <c r="M287" s="147" t="str">
        <f>IF($C287="","",VLOOKUP($C287,'Tracking List'!$A$5:$AL$883,M$4,FALSE))</f>
        <v/>
      </c>
      <c r="N287" s="148" t="str">
        <f>IF($C287="","",IF(VLOOKUP($C287,'Tracking List'!$A$5:$AL$883,N$3,FALSE)&gt;0,"Y",VLOOKUP($C287,'Tracking List'!$A$5:$AL$883,N$4,FALSE)))</f>
        <v/>
      </c>
      <c r="O287" s="148" t="str">
        <f>IF($C287="","",IF(VLOOKUP($C287,'Tracking List'!$A$5:$AL$883,O$3,FALSE)&gt;0,"Y",VLOOKUP($C287,'Tracking List'!$A$5:$AL$883,O$4,FALSE)))</f>
        <v/>
      </c>
      <c r="P287" s="147" t="str">
        <f>IF($C287="","",IF(VLOOKUP($C287,'Tracking List'!$A$5:$AL$883,P$4,FALSE)&gt;0,"Y",""))</f>
        <v/>
      </c>
      <c r="Q287" s="149"/>
      <c r="R287" s="166" t="str">
        <f>IF($C287="","",VLOOKUP($C287,'Tracking List'!$A$5:$AL$883,R$4,FALSE))</f>
        <v/>
      </c>
    </row>
    <row r="288" spans="3:18">
      <c r="C288" s="146"/>
      <c r="D288" s="147" t="str">
        <f>IF($C288="","",VLOOKUP($C288,'Tracking List'!$A$5:$AL$883,D$4,FALSE))</f>
        <v/>
      </c>
      <c r="E288" s="147" t="str">
        <f>IF($C288="","",VLOOKUP($C288,'Tracking List'!$A$5:$AL$883,E$4,FALSE))</f>
        <v/>
      </c>
      <c r="F288" s="147" t="str">
        <f>IF($C288="","",VLOOKUP($C288,'Tracking List'!$A$5:$AL$883,F$4,FALSE))</f>
        <v/>
      </c>
      <c r="G288" s="147" t="str">
        <f>IF($C288="","",VLOOKUP($C288,'Tracking List'!$A$5:$AL$883,G$4,FALSE))</f>
        <v/>
      </c>
      <c r="H288" s="147" t="str">
        <f>IF($C288="","",VLOOKUP($C288,'Tracking List'!$A$5:$AL$883,H$4,FALSE))</f>
        <v/>
      </c>
      <c r="I288" s="147" t="str">
        <f>IF($C288="","",VLOOKUP($C288,'Tracking List'!$A$5:$AL$883,I$4,FALSE))</f>
        <v/>
      </c>
      <c r="J288" s="147" t="str">
        <f>IF($C288="","",VLOOKUP($C288,'Tracking List'!$A$5:$AL$883,J$4,FALSE))</f>
        <v/>
      </c>
      <c r="K288" s="147" t="str">
        <f>IF($C288="","",VLOOKUP($C288,'Tracking List'!$A$5:$AL$883,K$4,FALSE))</f>
        <v/>
      </c>
      <c r="L288" s="168" t="str">
        <f>IF($C288="","",VLOOKUP($C288,'Tracking List'!$A$5:$AL$883,L$4,FALSE))</f>
        <v/>
      </c>
      <c r="M288" s="147" t="str">
        <f>IF($C288="","",VLOOKUP($C288,'Tracking List'!$A$5:$AL$883,M$4,FALSE))</f>
        <v/>
      </c>
      <c r="N288" s="148" t="str">
        <f>IF($C288="","",IF(VLOOKUP($C288,'Tracking List'!$A$5:$AL$883,N$3,FALSE)&gt;0,"Y",VLOOKUP($C288,'Tracking List'!$A$5:$AL$883,N$4,FALSE)))</f>
        <v/>
      </c>
      <c r="O288" s="148" t="str">
        <f>IF($C288="","",IF(VLOOKUP($C288,'Tracking List'!$A$5:$AL$883,O$3,FALSE)&gt;0,"Y",VLOOKUP($C288,'Tracking List'!$A$5:$AL$883,O$4,FALSE)))</f>
        <v/>
      </c>
      <c r="P288" s="147" t="str">
        <f>IF($C288="","",IF(VLOOKUP($C288,'Tracking List'!$A$5:$AL$883,P$4,FALSE)&gt;0,"Y",""))</f>
        <v/>
      </c>
      <c r="Q288" s="149"/>
      <c r="R288" s="166" t="str">
        <f>IF($C288="","",VLOOKUP($C288,'Tracking List'!$A$5:$AL$883,R$4,FALSE))</f>
        <v/>
      </c>
    </row>
    <row r="289" spans="3:18">
      <c r="C289" s="146"/>
      <c r="D289" s="147" t="str">
        <f>IF($C289="","",VLOOKUP($C289,'Tracking List'!$A$5:$AL$883,D$4,FALSE))</f>
        <v/>
      </c>
      <c r="E289" s="147" t="str">
        <f>IF($C289="","",VLOOKUP($C289,'Tracking List'!$A$5:$AL$883,E$4,FALSE))</f>
        <v/>
      </c>
      <c r="F289" s="147" t="str">
        <f>IF($C289="","",VLOOKUP($C289,'Tracking List'!$A$5:$AL$883,F$4,FALSE))</f>
        <v/>
      </c>
      <c r="G289" s="147" t="str">
        <f>IF($C289="","",VLOOKUP($C289,'Tracking List'!$A$5:$AL$883,G$4,FALSE))</f>
        <v/>
      </c>
      <c r="H289" s="147" t="str">
        <f>IF($C289="","",VLOOKUP($C289,'Tracking List'!$A$5:$AL$883,H$4,FALSE))</f>
        <v/>
      </c>
      <c r="I289" s="147" t="str">
        <f>IF($C289="","",VLOOKUP($C289,'Tracking List'!$A$5:$AL$883,I$4,FALSE))</f>
        <v/>
      </c>
      <c r="J289" s="147" t="str">
        <f>IF($C289="","",VLOOKUP($C289,'Tracking List'!$A$5:$AL$883,J$4,FALSE))</f>
        <v/>
      </c>
      <c r="K289" s="147" t="str">
        <f>IF($C289="","",VLOOKUP($C289,'Tracking List'!$A$5:$AL$883,K$4,FALSE))</f>
        <v/>
      </c>
      <c r="L289" s="168" t="str">
        <f>IF($C289="","",VLOOKUP($C289,'Tracking List'!$A$5:$AL$883,L$4,FALSE))</f>
        <v/>
      </c>
      <c r="M289" s="147" t="str">
        <f>IF($C289="","",VLOOKUP($C289,'Tracking List'!$A$5:$AL$883,M$4,FALSE))</f>
        <v/>
      </c>
      <c r="N289" s="148" t="str">
        <f>IF($C289="","",IF(VLOOKUP($C289,'Tracking List'!$A$5:$AL$883,N$3,FALSE)&gt;0,"Y",VLOOKUP($C289,'Tracking List'!$A$5:$AL$883,N$4,FALSE)))</f>
        <v/>
      </c>
      <c r="O289" s="148" t="str">
        <f>IF($C289="","",IF(VLOOKUP($C289,'Tracking List'!$A$5:$AL$883,O$3,FALSE)&gt;0,"Y",VLOOKUP($C289,'Tracking List'!$A$5:$AL$883,O$4,FALSE)))</f>
        <v/>
      </c>
      <c r="P289" s="147" t="str">
        <f>IF($C289="","",IF(VLOOKUP($C289,'Tracking List'!$A$5:$AL$883,P$4,FALSE)&gt;0,"Y",""))</f>
        <v/>
      </c>
      <c r="Q289" s="149"/>
      <c r="R289" s="166" t="str">
        <f>IF($C289="","",VLOOKUP($C289,'Tracking List'!$A$5:$AL$883,R$4,FALSE))</f>
        <v/>
      </c>
    </row>
    <row r="290" spans="3:18">
      <c r="C290" s="146"/>
      <c r="D290" s="147" t="str">
        <f>IF($C290="","",VLOOKUP($C290,'Tracking List'!$A$5:$AL$883,D$4,FALSE))</f>
        <v/>
      </c>
      <c r="E290" s="147" t="str">
        <f>IF($C290="","",VLOOKUP($C290,'Tracking List'!$A$5:$AL$883,E$4,FALSE))</f>
        <v/>
      </c>
      <c r="F290" s="147" t="str">
        <f>IF($C290="","",VLOOKUP($C290,'Tracking List'!$A$5:$AL$883,F$4,FALSE))</f>
        <v/>
      </c>
      <c r="G290" s="147" t="str">
        <f>IF($C290="","",VLOOKUP($C290,'Tracking List'!$A$5:$AL$883,G$4,FALSE))</f>
        <v/>
      </c>
      <c r="H290" s="147" t="str">
        <f>IF($C290="","",VLOOKUP($C290,'Tracking List'!$A$5:$AL$883,H$4,FALSE))</f>
        <v/>
      </c>
      <c r="I290" s="147" t="str">
        <f>IF($C290="","",VLOOKUP($C290,'Tracking List'!$A$5:$AL$883,I$4,FALSE))</f>
        <v/>
      </c>
      <c r="J290" s="147" t="str">
        <f>IF($C290="","",VLOOKUP($C290,'Tracking List'!$A$5:$AL$883,J$4,FALSE))</f>
        <v/>
      </c>
      <c r="K290" s="147" t="str">
        <f>IF($C290="","",VLOOKUP($C290,'Tracking List'!$A$5:$AL$883,K$4,FALSE))</f>
        <v/>
      </c>
      <c r="L290" s="168" t="str">
        <f>IF($C290="","",VLOOKUP($C290,'Tracking List'!$A$5:$AL$883,L$4,FALSE))</f>
        <v/>
      </c>
      <c r="M290" s="147" t="str">
        <f>IF($C290="","",VLOOKUP($C290,'Tracking List'!$A$5:$AL$883,M$4,FALSE))</f>
        <v/>
      </c>
      <c r="N290" s="148" t="str">
        <f>IF($C290="","",IF(VLOOKUP($C290,'Tracking List'!$A$5:$AL$883,N$3,FALSE)&gt;0,"Y",VLOOKUP($C290,'Tracking List'!$A$5:$AL$883,N$4,FALSE)))</f>
        <v/>
      </c>
      <c r="O290" s="148" t="str">
        <f>IF($C290="","",IF(VLOOKUP($C290,'Tracking List'!$A$5:$AL$883,O$3,FALSE)&gt;0,"Y",VLOOKUP($C290,'Tracking List'!$A$5:$AL$883,O$4,FALSE)))</f>
        <v/>
      </c>
      <c r="P290" s="147" t="str">
        <f>IF($C290="","",IF(VLOOKUP($C290,'Tracking List'!$A$5:$AL$883,P$4,FALSE)&gt;0,"Y",""))</f>
        <v/>
      </c>
      <c r="Q290" s="149"/>
      <c r="R290" s="166" t="str">
        <f>IF($C290="","",VLOOKUP($C290,'Tracking List'!$A$5:$AL$883,R$4,FALSE))</f>
        <v/>
      </c>
    </row>
    <row r="291" spans="3:18">
      <c r="C291" s="146"/>
      <c r="D291" s="147" t="str">
        <f>IF($C291="","",VLOOKUP($C291,'Tracking List'!$A$5:$AL$883,D$4,FALSE))</f>
        <v/>
      </c>
      <c r="E291" s="147" t="str">
        <f>IF($C291="","",VLOOKUP($C291,'Tracking List'!$A$5:$AL$883,E$4,FALSE))</f>
        <v/>
      </c>
      <c r="F291" s="147" t="str">
        <f>IF($C291="","",VLOOKUP($C291,'Tracking List'!$A$5:$AL$883,F$4,FALSE))</f>
        <v/>
      </c>
      <c r="G291" s="147" t="str">
        <f>IF($C291="","",VLOOKUP($C291,'Tracking List'!$A$5:$AL$883,G$4,FALSE))</f>
        <v/>
      </c>
      <c r="H291" s="147" t="str">
        <f>IF($C291="","",VLOOKUP($C291,'Tracking List'!$A$5:$AL$883,H$4,FALSE))</f>
        <v/>
      </c>
      <c r="I291" s="147" t="str">
        <f>IF($C291="","",VLOOKUP($C291,'Tracking List'!$A$5:$AL$883,I$4,FALSE))</f>
        <v/>
      </c>
      <c r="J291" s="147" t="str">
        <f>IF($C291="","",VLOOKUP($C291,'Tracking List'!$A$5:$AL$883,J$4,FALSE))</f>
        <v/>
      </c>
      <c r="K291" s="147" t="str">
        <f>IF($C291="","",VLOOKUP($C291,'Tracking List'!$A$5:$AL$883,K$4,FALSE))</f>
        <v/>
      </c>
      <c r="L291" s="168" t="str">
        <f>IF($C291="","",VLOOKUP($C291,'Tracking List'!$A$5:$AL$883,L$4,FALSE))</f>
        <v/>
      </c>
      <c r="M291" s="147" t="str">
        <f>IF($C291="","",VLOOKUP($C291,'Tracking List'!$A$5:$AL$883,M$4,FALSE))</f>
        <v/>
      </c>
      <c r="N291" s="148" t="str">
        <f>IF($C291="","",IF(VLOOKUP($C291,'Tracking List'!$A$5:$AL$883,N$3,FALSE)&gt;0,"Y",VLOOKUP($C291,'Tracking List'!$A$5:$AL$883,N$4,FALSE)))</f>
        <v/>
      </c>
      <c r="O291" s="148" t="str">
        <f>IF($C291="","",IF(VLOOKUP($C291,'Tracking List'!$A$5:$AL$883,O$3,FALSE)&gt;0,"Y",VLOOKUP($C291,'Tracking List'!$A$5:$AL$883,O$4,FALSE)))</f>
        <v/>
      </c>
      <c r="P291" s="147" t="str">
        <f>IF($C291="","",IF(VLOOKUP($C291,'Tracking List'!$A$5:$AL$883,P$4,FALSE)&gt;0,"Y",""))</f>
        <v/>
      </c>
      <c r="Q291" s="149"/>
      <c r="R291" s="166" t="str">
        <f>IF($C291="","",VLOOKUP($C291,'Tracking List'!$A$5:$AL$883,R$4,FALSE))</f>
        <v/>
      </c>
    </row>
    <row r="292" spans="3:18">
      <c r="C292" s="146"/>
      <c r="D292" s="147" t="str">
        <f>IF($C292="","",VLOOKUP($C292,'Tracking List'!$A$5:$AL$883,D$4,FALSE))</f>
        <v/>
      </c>
      <c r="E292" s="147" t="str">
        <f>IF($C292="","",VLOOKUP($C292,'Tracking List'!$A$5:$AL$883,E$4,FALSE))</f>
        <v/>
      </c>
      <c r="F292" s="147" t="str">
        <f>IF($C292="","",VLOOKUP($C292,'Tracking List'!$A$5:$AL$883,F$4,FALSE))</f>
        <v/>
      </c>
      <c r="G292" s="147" t="str">
        <f>IF($C292="","",VLOOKUP($C292,'Tracking List'!$A$5:$AL$883,G$4,FALSE))</f>
        <v/>
      </c>
      <c r="H292" s="147" t="str">
        <f>IF($C292="","",VLOOKUP($C292,'Tracking List'!$A$5:$AL$883,H$4,FALSE))</f>
        <v/>
      </c>
      <c r="I292" s="147" t="str">
        <f>IF($C292="","",VLOOKUP($C292,'Tracking List'!$A$5:$AL$883,I$4,FALSE))</f>
        <v/>
      </c>
      <c r="J292" s="147" t="str">
        <f>IF($C292="","",VLOOKUP($C292,'Tracking List'!$A$5:$AL$883,J$4,FALSE))</f>
        <v/>
      </c>
      <c r="K292" s="147" t="str">
        <f>IF($C292="","",VLOOKUP($C292,'Tracking List'!$A$5:$AL$883,K$4,FALSE))</f>
        <v/>
      </c>
      <c r="L292" s="168" t="str">
        <f>IF($C292="","",VLOOKUP($C292,'Tracking List'!$A$5:$AL$883,L$4,FALSE))</f>
        <v/>
      </c>
      <c r="M292" s="147" t="str">
        <f>IF($C292="","",VLOOKUP($C292,'Tracking List'!$A$5:$AL$883,M$4,FALSE))</f>
        <v/>
      </c>
      <c r="N292" s="148" t="str">
        <f>IF($C292="","",IF(VLOOKUP($C292,'Tracking List'!$A$5:$AL$883,N$3,FALSE)&gt;0,"Y",VLOOKUP($C292,'Tracking List'!$A$5:$AL$883,N$4,FALSE)))</f>
        <v/>
      </c>
      <c r="O292" s="148" t="str">
        <f>IF($C292="","",IF(VLOOKUP($C292,'Tracking List'!$A$5:$AL$883,O$3,FALSE)&gt;0,"Y",VLOOKUP($C292,'Tracking List'!$A$5:$AL$883,O$4,FALSE)))</f>
        <v/>
      </c>
      <c r="P292" s="147" t="str">
        <f>IF($C292="","",IF(VLOOKUP($C292,'Tracking List'!$A$5:$AL$883,P$4,FALSE)&gt;0,"Y",""))</f>
        <v/>
      </c>
      <c r="Q292" s="149"/>
      <c r="R292" s="166" t="str">
        <f>IF($C292="","",VLOOKUP($C292,'Tracking List'!$A$5:$AL$883,R$4,FALSE))</f>
        <v/>
      </c>
    </row>
    <row r="293" spans="3:18">
      <c r="C293" s="146"/>
      <c r="D293" s="147" t="str">
        <f>IF($C293="","",VLOOKUP($C293,'Tracking List'!$A$5:$AL$883,D$4,FALSE))</f>
        <v/>
      </c>
      <c r="E293" s="147" t="str">
        <f>IF($C293="","",VLOOKUP($C293,'Tracking List'!$A$5:$AL$883,E$4,FALSE))</f>
        <v/>
      </c>
      <c r="F293" s="147" t="str">
        <f>IF($C293="","",VLOOKUP($C293,'Tracking List'!$A$5:$AL$883,F$4,FALSE))</f>
        <v/>
      </c>
      <c r="G293" s="147" t="str">
        <f>IF($C293="","",VLOOKUP($C293,'Tracking List'!$A$5:$AL$883,G$4,FALSE))</f>
        <v/>
      </c>
      <c r="H293" s="147" t="str">
        <f>IF($C293="","",VLOOKUP($C293,'Tracking List'!$A$5:$AL$883,H$4,FALSE))</f>
        <v/>
      </c>
      <c r="I293" s="147" t="str">
        <f>IF($C293="","",VLOOKUP($C293,'Tracking List'!$A$5:$AL$883,I$4,FALSE))</f>
        <v/>
      </c>
      <c r="J293" s="147" t="str">
        <f>IF($C293="","",VLOOKUP($C293,'Tracking List'!$A$5:$AL$883,J$4,FALSE))</f>
        <v/>
      </c>
      <c r="K293" s="147" t="str">
        <f>IF($C293="","",VLOOKUP($C293,'Tracking List'!$A$5:$AL$883,K$4,FALSE))</f>
        <v/>
      </c>
      <c r="L293" s="168" t="str">
        <f>IF($C293="","",VLOOKUP($C293,'Tracking List'!$A$5:$AL$883,L$4,FALSE))</f>
        <v/>
      </c>
      <c r="M293" s="147" t="str">
        <f>IF($C293="","",VLOOKUP($C293,'Tracking List'!$A$5:$AL$883,M$4,FALSE))</f>
        <v/>
      </c>
      <c r="N293" s="148" t="str">
        <f>IF($C293="","",IF(VLOOKUP($C293,'Tracking List'!$A$5:$AL$883,N$3,FALSE)&gt;0,"Y",VLOOKUP($C293,'Tracking List'!$A$5:$AL$883,N$4,FALSE)))</f>
        <v/>
      </c>
      <c r="O293" s="148" t="str">
        <f>IF($C293="","",IF(VLOOKUP($C293,'Tracking List'!$A$5:$AL$883,O$3,FALSE)&gt;0,"Y",VLOOKUP($C293,'Tracking List'!$A$5:$AL$883,O$4,FALSE)))</f>
        <v/>
      </c>
      <c r="P293" s="147" t="str">
        <f>IF($C293="","",IF(VLOOKUP($C293,'Tracking List'!$A$5:$AL$883,P$4,FALSE)&gt;0,"Y",""))</f>
        <v/>
      </c>
      <c r="Q293" s="149"/>
      <c r="R293" s="166" t="str">
        <f>IF($C293="","",VLOOKUP($C293,'Tracking List'!$A$5:$AL$883,R$4,FALSE))</f>
        <v/>
      </c>
    </row>
    <row r="294" spans="3:18">
      <c r="C294" s="146"/>
      <c r="D294" s="147" t="str">
        <f>IF($C294="","",VLOOKUP($C294,'Tracking List'!$A$5:$AL$883,D$4,FALSE))</f>
        <v/>
      </c>
      <c r="E294" s="147" t="str">
        <f>IF($C294="","",VLOOKUP($C294,'Tracking List'!$A$5:$AL$883,E$4,FALSE))</f>
        <v/>
      </c>
      <c r="F294" s="147" t="str">
        <f>IF($C294="","",VLOOKUP($C294,'Tracking List'!$A$5:$AL$883,F$4,FALSE))</f>
        <v/>
      </c>
      <c r="G294" s="147" t="str">
        <f>IF($C294="","",VLOOKUP($C294,'Tracking List'!$A$5:$AL$883,G$4,FALSE))</f>
        <v/>
      </c>
      <c r="H294" s="147" t="str">
        <f>IF($C294="","",VLOOKUP($C294,'Tracking List'!$A$5:$AL$883,H$4,FALSE))</f>
        <v/>
      </c>
      <c r="I294" s="147" t="str">
        <f>IF($C294="","",VLOOKUP($C294,'Tracking List'!$A$5:$AL$883,I$4,FALSE))</f>
        <v/>
      </c>
      <c r="J294" s="147" t="str">
        <f>IF($C294="","",VLOOKUP($C294,'Tracking List'!$A$5:$AL$883,J$4,FALSE))</f>
        <v/>
      </c>
      <c r="K294" s="147" t="str">
        <f>IF($C294="","",VLOOKUP($C294,'Tracking List'!$A$5:$AL$883,K$4,FALSE))</f>
        <v/>
      </c>
      <c r="L294" s="168" t="str">
        <f>IF($C294="","",VLOOKUP($C294,'Tracking List'!$A$5:$AL$883,L$4,FALSE))</f>
        <v/>
      </c>
      <c r="M294" s="147" t="str">
        <f>IF($C294="","",VLOOKUP($C294,'Tracking List'!$A$5:$AL$883,M$4,FALSE))</f>
        <v/>
      </c>
      <c r="N294" s="148" t="str">
        <f>IF($C294="","",IF(VLOOKUP($C294,'Tracking List'!$A$5:$AL$883,N$3,FALSE)&gt;0,"Y",VLOOKUP($C294,'Tracking List'!$A$5:$AL$883,N$4,FALSE)))</f>
        <v/>
      </c>
      <c r="O294" s="148" t="str">
        <f>IF($C294="","",IF(VLOOKUP($C294,'Tracking List'!$A$5:$AL$883,O$3,FALSE)&gt;0,"Y",VLOOKUP($C294,'Tracking List'!$A$5:$AL$883,O$4,FALSE)))</f>
        <v/>
      </c>
      <c r="P294" s="147" t="str">
        <f>IF($C294="","",IF(VLOOKUP($C294,'Tracking List'!$A$5:$AL$883,P$4,FALSE)&gt;0,"Y",""))</f>
        <v/>
      </c>
      <c r="Q294" s="149"/>
      <c r="R294" s="166" t="str">
        <f>IF($C294="","",VLOOKUP($C294,'Tracking List'!$A$5:$AL$883,R$4,FALSE))</f>
        <v/>
      </c>
    </row>
    <row r="295" spans="3:18">
      <c r="C295" s="146"/>
      <c r="D295" s="147" t="str">
        <f>IF($C295="","",VLOOKUP($C295,'Tracking List'!$A$5:$AL$883,D$4,FALSE))</f>
        <v/>
      </c>
      <c r="E295" s="147" t="str">
        <f>IF($C295="","",VLOOKUP($C295,'Tracking List'!$A$5:$AL$883,E$4,FALSE))</f>
        <v/>
      </c>
      <c r="F295" s="147" t="str">
        <f>IF($C295="","",VLOOKUP($C295,'Tracking List'!$A$5:$AL$883,F$4,FALSE))</f>
        <v/>
      </c>
      <c r="G295" s="147" t="str">
        <f>IF($C295="","",VLOOKUP($C295,'Tracking List'!$A$5:$AL$883,G$4,FALSE))</f>
        <v/>
      </c>
      <c r="H295" s="147" t="str">
        <f>IF($C295="","",VLOOKUP($C295,'Tracking List'!$A$5:$AL$883,H$4,FALSE))</f>
        <v/>
      </c>
      <c r="I295" s="147" t="str">
        <f>IF($C295="","",VLOOKUP($C295,'Tracking List'!$A$5:$AL$883,I$4,FALSE))</f>
        <v/>
      </c>
      <c r="J295" s="147" t="str">
        <f>IF($C295="","",VLOOKUP($C295,'Tracking List'!$A$5:$AL$883,J$4,FALSE))</f>
        <v/>
      </c>
      <c r="K295" s="147" t="str">
        <f>IF($C295="","",VLOOKUP($C295,'Tracking List'!$A$5:$AL$883,K$4,FALSE))</f>
        <v/>
      </c>
      <c r="L295" s="168" t="str">
        <f>IF($C295="","",VLOOKUP($C295,'Tracking List'!$A$5:$AL$883,L$4,FALSE))</f>
        <v/>
      </c>
      <c r="M295" s="147" t="str">
        <f>IF($C295="","",VLOOKUP($C295,'Tracking List'!$A$5:$AL$883,M$4,FALSE))</f>
        <v/>
      </c>
      <c r="N295" s="148" t="str">
        <f>IF($C295="","",IF(VLOOKUP($C295,'Tracking List'!$A$5:$AL$883,N$3,FALSE)&gt;0,"Y",VLOOKUP($C295,'Tracking List'!$A$5:$AL$883,N$4,FALSE)))</f>
        <v/>
      </c>
      <c r="O295" s="148" t="str">
        <f>IF($C295="","",IF(VLOOKUP($C295,'Tracking List'!$A$5:$AL$883,O$3,FALSE)&gt;0,"Y",VLOOKUP($C295,'Tracking List'!$A$5:$AL$883,O$4,FALSE)))</f>
        <v/>
      </c>
      <c r="P295" s="147" t="str">
        <f>IF($C295="","",IF(VLOOKUP($C295,'Tracking List'!$A$5:$AL$883,P$4,FALSE)&gt;0,"Y",""))</f>
        <v/>
      </c>
      <c r="Q295" s="149"/>
      <c r="R295" s="166" t="str">
        <f>IF($C295="","",VLOOKUP($C295,'Tracking List'!$A$5:$AL$883,R$4,FALSE))</f>
        <v/>
      </c>
    </row>
    <row r="296" spans="3:18">
      <c r="C296" s="146"/>
      <c r="D296" s="147" t="str">
        <f>IF($C296="","",VLOOKUP($C296,'Tracking List'!$A$5:$AL$883,D$4,FALSE))</f>
        <v/>
      </c>
      <c r="E296" s="147" t="str">
        <f>IF($C296="","",VLOOKUP($C296,'Tracking List'!$A$5:$AL$883,E$4,FALSE))</f>
        <v/>
      </c>
      <c r="F296" s="147" t="str">
        <f>IF($C296="","",VLOOKUP($C296,'Tracking List'!$A$5:$AL$883,F$4,FALSE))</f>
        <v/>
      </c>
      <c r="G296" s="147" t="str">
        <f>IF($C296="","",VLOOKUP($C296,'Tracking List'!$A$5:$AL$883,G$4,FALSE))</f>
        <v/>
      </c>
      <c r="H296" s="147" t="str">
        <f>IF($C296="","",VLOOKUP($C296,'Tracking List'!$A$5:$AL$883,H$4,FALSE))</f>
        <v/>
      </c>
      <c r="I296" s="147" t="str">
        <f>IF($C296="","",VLOOKUP($C296,'Tracking List'!$A$5:$AL$883,I$4,FALSE))</f>
        <v/>
      </c>
      <c r="J296" s="147" t="str">
        <f>IF($C296="","",VLOOKUP($C296,'Tracking List'!$A$5:$AL$883,J$4,FALSE))</f>
        <v/>
      </c>
      <c r="K296" s="147" t="str">
        <f>IF($C296="","",VLOOKUP($C296,'Tracking List'!$A$5:$AL$883,K$4,FALSE))</f>
        <v/>
      </c>
      <c r="L296" s="168" t="str">
        <f>IF($C296="","",VLOOKUP($C296,'Tracking List'!$A$5:$AL$883,L$4,FALSE))</f>
        <v/>
      </c>
      <c r="M296" s="147" t="str">
        <f>IF($C296="","",VLOOKUP($C296,'Tracking List'!$A$5:$AL$883,M$4,FALSE))</f>
        <v/>
      </c>
      <c r="N296" s="148" t="str">
        <f>IF($C296="","",IF(VLOOKUP($C296,'Tracking List'!$A$5:$AL$883,N$3,FALSE)&gt;0,"Y",VLOOKUP($C296,'Tracking List'!$A$5:$AL$883,N$4,FALSE)))</f>
        <v/>
      </c>
      <c r="O296" s="148" t="str">
        <f>IF($C296="","",IF(VLOOKUP($C296,'Tracking List'!$A$5:$AL$883,O$3,FALSE)&gt;0,"Y",VLOOKUP($C296,'Tracking List'!$A$5:$AL$883,O$4,FALSE)))</f>
        <v/>
      </c>
      <c r="P296" s="147" t="str">
        <f>IF($C296="","",IF(VLOOKUP($C296,'Tracking List'!$A$5:$AL$883,P$4,FALSE)&gt;0,"Y",""))</f>
        <v/>
      </c>
      <c r="Q296" s="149"/>
      <c r="R296" s="166" t="str">
        <f>IF($C296="","",VLOOKUP($C296,'Tracking List'!$A$5:$AL$883,R$4,FALSE))</f>
        <v/>
      </c>
    </row>
    <row r="297" spans="3:18">
      <c r="C297" s="146"/>
      <c r="D297" s="147" t="str">
        <f>IF($C297="","",VLOOKUP($C297,'Tracking List'!$A$5:$AL$883,D$4,FALSE))</f>
        <v/>
      </c>
      <c r="E297" s="147" t="str">
        <f>IF($C297="","",VLOOKUP($C297,'Tracking List'!$A$5:$AL$883,E$4,FALSE))</f>
        <v/>
      </c>
      <c r="F297" s="147" t="str">
        <f>IF($C297="","",VLOOKUP($C297,'Tracking List'!$A$5:$AL$883,F$4,FALSE))</f>
        <v/>
      </c>
      <c r="G297" s="147" t="str">
        <f>IF($C297="","",VLOOKUP($C297,'Tracking List'!$A$5:$AL$883,G$4,FALSE))</f>
        <v/>
      </c>
      <c r="H297" s="147" t="str">
        <f>IF($C297="","",VLOOKUP($C297,'Tracking List'!$A$5:$AL$883,H$4,FALSE))</f>
        <v/>
      </c>
      <c r="I297" s="147" t="str">
        <f>IF($C297="","",VLOOKUP($C297,'Tracking List'!$A$5:$AL$883,I$4,FALSE))</f>
        <v/>
      </c>
      <c r="J297" s="147" t="str">
        <f>IF($C297="","",VLOOKUP($C297,'Tracking List'!$A$5:$AL$883,J$4,FALSE))</f>
        <v/>
      </c>
      <c r="K297" s="147" t="str">
        <f>IF($C297="","",VLOOKUP($C297,'Tracking List'!$A$5:$AL$883,K$4,FALSE))</f>
        <v/>
      </c>
      <c r="L297" s="168" t="str">
        <f>IF($C297="","",VLOOKUP($C297,'Tracking List'!$A$5:$AL$883,L$4,FALSE))</f>
        <v/>
      </c>
      <c r="M297" s="147" t="str">
        <f>IF($C297="","",VLOOKUP($C297,'Tracking List'!$A$5:$AL$883,M$4,FALSE))</f>
        <v/>
      </c>
      <c r="N297" s="148" t="str">
        <f>IF($C297="","",IF(VLOOKUP($C297,'Tracking List'!$A$5:$AL$883,N$3,FALSE)&gt;0,"Y",VLOOKUP($C297,'Tracking List'!$A$5:$AL$883,N$4,FALSE)))</f>
        <v/>
      </c>
      <c r="O297" s="148" t="str">
        <f>IF($C297="","",IF(VLOOKUP($C297,'Tracking List'!$A$5:$AL$883,O$3,FALSE)&gt;0,"Y",VLOOKUP($C297,'Tracking List'!$A$5:$AL$883,O$4,FALSE)))</f>
        <v/>
      </c>
      <c r="P297" s="147" t="str">
        <f>IF($C297="","",IF(VLOOKUP($C297,'Tracking List'!$A$5:$AL$883,P$4,FALSE)&gt;0,"Y",""))</f>
        <v/>
      </c>
      <c r="Q297" s="149"/>
      <c r="R297" s="166" t="str">
        <f>IF($C297="","",VLOOKUP($C297,'Tracking List'!$A$5:$AL$883,R$4,FALSE))</f>
        <v/>
      </c>
    </row>
    <row r="298" spans="3:18">
      <c r="C298" s="146"/>
      <c r="D298" s="147" t="str">
        <f>IF($C298="","",VLOOKUP($C298,'Tracking List'!$A$5:$AL$883,D$4,FALSE))</f>
        <v/>
      </c>
      <c r="E298" s="147" t="str">
        <f>IF($C298="","",VLOOKUP($C298,'Tracking List'!$A$5:$AL$883,E$4,FALSE))</f>
        <v/>
      </c>
      <c r="F298" s="147" t="str">
        <f>IF($C298="","",VLOOKUP($C298,'Tracking List'!$A$5:$AL$883,F$4,FALSE))</f>
        <v/>
      </c>
      <c r="G298" s="147" t="str">
        <f>IF($C298="","",VLOOKUP($C298,'Tracking List'!$A$5:$AL$883,G$4,FALSE))</f>
        <v/>
      </c>
      <c r="H298" s="147" t="str">
        <f>IF($C298="","",VLOOKUP($C298,'Tracking List'!$A$5:$AL$883,H$4,FALSE))</f>
        <v/>
      </c>
      <c r="I298" s="147" t="str">
        <f>IF($C298="","",VLOOKUP($C298,'Tracking List'!$A$5:$AL$883,I$4,FALSE))</f>
        <v/>
      </c>
      <c r="J298" s="147" t="str">
        <f>IF($C298="","",VLOOKUP($C298,'Tracking List'!$A$5:$AL$883,J$4,FALSE))</f>
        <v/>
      </c>
      <c r="K298" s="147" t="str">
        <f>IF($C298="","",VLOOKUP($C298,'Tracking List'!$A$5:$AL$883,K$4,FALSE))</f>
        <v/>
      </c>
      <c r="L298" s="168" t="str">
        <f>IF($C298="","",VLOOKUP($C298,'Tracking List'!$A$5:$AL$883,L$4,FALSE))</f>
        <v/>
      </c>
      <c r="M298" s="147" t="str">
        <f>IF($C298="","",VLOOKUP($C298,'Tracking List'!$A$5:$AL$883,M$4,FALSE))</f>
        <v/>
      </c>
      <c r="N298" s="148" t="str">
        <f>IF($C298="","",IF(VLOOKUP($C298,'Tracking List'!$A$5:$AL$883,N$3,FALSE)&gt;0,"Y",VLOOKUP($C298,'Tracking List'!$A$5:$AL$883,N$4,FALSE)))</f>
        <v/>
      </c>
      <c r="O298" s="148" t="str">
        <f>IF($C298="","",IF(VLOOKUP($C298,'Tracking List'!$A$5:$AL$883,O$3,FALSE)&gt;0,"Y",VLOOKUP($C298,'Tracking List'!$A$5:$AL$883,O$4,FALSE)))</f>
        <v/>
      </c>
      <c r="P298" s="147" t="str">
        <f>IF($C298="","",IF(VLOOKUP($C298,'Tracking List'!$A$5:$AL$883,P$4,FALSE)&gt;0,"Y",""))</f>
        <v/>
      </c>
      <c r="Q298" s="149"/>
      <c r="R298" s="166" t="str">
        <f>IF($C298="","",VLOOKUP($C298,'Tracking List'!$A$5:$AL$883,R$4,FALSE))</f>
        <v/>
      </c>
    </row>
    <row r="299" spans="3:18">
      <c r="C299" s="146"/>
      <c r="D299" s="147" t="str">
        <f>IF($C299="","",VLOOKUP($C299,'Tracking List'!$A$5:$AL$883,D$4,FALSE))</f>
        <v/>
      </c>
      <c r="E299" s="147" t="str">
        <f>IF($C299="","",VLOOKUP($C299,'Tracking List'!$A$5:$AL$883,E$4,FALSE))</f>
        <v/>
      </c>
      <c r="F299" s="147" t="str">
        <f>IF($C299="","",VLOOKUP($C299,'Tracking List'!$A$5:$AL$883,F$4,FALSE))</f>
        <v/>
      </c>
      <c r="G299" s="147" t="str">
        <f>IF($C299="","",VLOOKUP($C299,'Tracking List'!$A$5:$AL$883,G$4,FALSE))</f>
        <v/>
      </c>
      <c r="H299" s="147" t="str">
        <f>IF($C299="","",VLOOKUP($C299,'Tracking List'!$A$5:$AL$883,H$4,FALSE))</f>
        <v/>
      </c>
      <c r="I299" s="147" t="str">
        <f>IF($C299="","",VLOOKUP($C299,'Tracking List'!$A$5:$AL$883,I$4,FALSE))</f>
        <v/>
      </c>
      <c r="J299" s="147" t="str">
        <f>IF($C299="","",VLOOKUP($C299,'Tracking List'!$A$5:$AL$883,J$4,FALSE))</f>
        <v/>
      </c>
      <c r="K299" s="147" t="str">
        <f>IF($C299="","",VLOOKUP($C299,'Tracking List'!$A$5:$AL$883,K$4,FALSE))</f>
        <v/>
      </c>
      <c r="L299" s="168" t="str">
        <f>IF($C299="","",VLOOKUP($C299,'Tracking List'!$A$5:$AL$883,L$4,FALSE))</f>
        <v/>
      </c>
      <c r="M299" s="147" t="str">
        <f>IF($C299="","",VLOOKUP($C299,'Tracking List'!$A$5:$AL$883,M$4,FALSE))</f>
        <v/>
      </c>
      <c r="N299" s="148" t="str">
        <f>IF($C299="","",IF(VLOOKUP($C299,'Tracking List'!$A$5:$AL$883,N$3,FALSE)&gt;0,"Y",VLOOKUP($C299,'Tracking List'!$A$5:$AL$883,N$4,FALSE)))</f>
        <v/>
      </c>
      <c r="O299" s="148" t="str">
        <f>IF($C299="","",IF(VLOOKUP($C299,'Tracking List'!$A$5:$AL$883,O$3,FALSE)&gt;0,"Y",VLOOKUP($C299,'Tracking List'!$A$5:$AL$883,O$4,FALSE)))</f>
        <v/>
      </c>
      <c r="P299" s="147" t="str">
        <f>IF($C299="","",IF(VLOOKUP($C299,'Tracking List'!$A$5:$AL$883,P$4,FALSE)&gt;0,"Y",""))</f>
        <v/>
      </c>
      <c r="Q299" s="149"/>
      <c r="R299" s="166" t="str">
        <f>IF($C299="","",VLOOKUP($C299,'Tracking List'!$A$5:$AL$883,R$4,FALSE))</f>
        <v/>
      </c>
    </row>
    <row r="300" spans="3:18">
      <c r="C300" s="146"/>
      <c r="D300" s="147" t="str">
        <f>IF($C300="","",VLOOKUP($C300,'Tracking List'!$A$5:$AL$883,D$4,FALSE))</f>
        <v/>
      </c>
      <c r="E300" s="147" t="str">
        <f>IF($C300="","",VLOOKUP($C300,'Tracking List'!$A$5:$AL$883,E$4,FALSE))</f>
        <v/>
      </c>
      <c r="F300" s="147" t="str">
        <f>IF($C300="","",VLOOKUP($C300,'Tracking List'!$A$5:$AL$883,F$4,FALSE))</f>
        <v/>
      </c>
      <c r="G300" s="147" t="str">
        <f>IF($C300="","",VLOOKUP($C300,'Tracking List'!$A$5:$AL$883,G$4,FALSE))</f>
        <v/>
      </c>
      <c r="H300" s="147" t="str">
        <f>IF($C300="","",VLOOKUP($C300,'Tracking List'!$A$5:$AL$883,H$4,FALSE))</f>
        <v/>
      </c>
      <c r="I300" s="147" t="str">
        <f>IF($C300="","",VLOOKUP($C300,'Tracking List'!$A$5:$AL$883,I$4,FALSE))</f>
        <v/>
      </c>
      <c r="J300" s="147" t="str">
        <f>IF($C300="","",VLOOKUP($C300,'Tracking List'!$A$5:$AL$883,J$4,FALSE))</f>
        <v/>
      </c>
      <c r="K300" s="147" t="str">
        <f>IF($C300="","",VLOOKUP($C300,'Tracking List'!$A$5:$AL$883,K$4,FALSE))</f>
        <v/>
      </c>
      <c r="L300" s="168" t="str">
        <f>IF($C300="","",VLOOKUP($C300,'Tracking List'!$A$5:$AL$883,L$4,FALSE))</f>
        <v/>
      </c>
      <c r="M300" s="147" t="str">
        <f>IF($C300="","",VLOOKUP($C300,'Tracking List'!$A$5:$AL$883,M$4,FALSE))</f>
        <v/>
      </c>
      <c r="N300" s="148" t="str">
        <f>IF($C300="","",IF(VLOOKUP($C300,'Tracking List'!$A$5:$AL$883,N$3,FALSE)&gt;0,"Y",VLOOKUP($C300,'Tracking List'!$A$5:$AL$883,N$4,FALSE)))</f>
        <v/>
      </c>
      <c r="O300" s="148" t="str">
        <f>IF($C300="","",IF(VLOOKUP($C300,'Tracking List'!$A$5:$AL$883,O$3,FALSE)&gt;0,"Y",VLOOKUP($C300,'Tracking List'!$A$5:$AL$883,O$4,FALSE)))</f>
        <v/>
      </c>
      <c r="P300" s="147" t="str">
        <f>IF($C300="","",IF(VLOOKUP($C300,'Tracking List'!$A$5:$AL$883,P$4,FALSE)&gt;0,"Y",""))</f>
        <v/>
      </c>
      <c r="Q300" s="149"/>
      <c r="R300" s="166" t="str">
        <f>IF($C300="","",VLOOKUP($C300,'Tracking List'!$A$5:$AL$883,R$4,FALSE))</f>
        <v/>
      </c>
    </row>
    <row r="301" spans="3:18">
      <c r="C301" s="146"/>
      <c r="D301" s="147" t="str">
        <f>IF($C301="","",VLOOKUP($C301,'Tracking List'!$A$5:$AL$883,D$4,FALSE))</f>
        <v/>
      </c>
      <c r="E301" s="147" t="str">
        <f>IF($C301="","",VLOOKUP($C301,'Tracking List'!$A$5:$AL$883,E$4,FALSE))</f>
        <v/>
      </c>
      <c r="F301" s="147" t="str">
        <f>IF($C301="","",VLOOKUP($C301,'Tracking List'!$A$5:$AL$883,F$4,FALSE))</f>
        <v/>
      </c>
      <c r="G301" s="147" t="str">
        <f>IF($C301="","",VLOOKUP($C301,'Tracking List'!$A$5:$AL$883,G$4,FALSE))</f>
        <v/>
      </c>
      <c r="H301" s="147" t="str">
        <f>IF($C301="","",VLOOKUP($C301,'Tracking List'!$A$5:$AL$883,H$4,FALSE))</f>
        <v/>
      </c>
      <c r="I301" s="147" t="str">
        <f>IF($C301="","",VLOOKUP($C301,'Tracking List'!$A$5:$AL$883,I$4,FALSE))</f>
        <v/>
      </c>
      <c r="J301" s="147" t="str">
        <f>IF($C301="","",VLOOKUP($C301,'Tracking List'!$A$5:$AL$883,J$4,FALSE))</f>
        <v/>
      </c>
      <c r="K301" s="147" t="str">
        <f>IF($C301="","",VLOOKUP($C301,'Tracking List'!$A$5:$AL$883,K$4,FALSE))</f>
        <v/>
      </c>
      <c r="L301" s="168" t="str">
        <f>IF($C301="","",VLOOKUP($C301,'Tracking List'!$A$5:$AL$883,L$4,FALSE))</f>
        <v/>
      </c>
      <c r="M301" s="147" t="str">
        <f>IF($C301="","",VLOOKUP($C301,'Tracking List'!$A$5:$AL$883,M$4,FALSE))</f>
        <v/>
      </c>
      <c r="N301" s="148" t="str">
        <f>IF($C301="","",IF(VLOOKUP($C301,'Tracking List'!$A$5:$AL$883,N$3,FALSE)&gt;0,"Y",VLOOKUP($C301,'Tracking List'!$A$5:$AL$883,N$4,FALSE)))</f>
        <v/>
      </c>
      <c r="O301" s="148" t="str">
        <f>IF($C301="","",IF(VLOOKUP($C301,'Tracking List'!$A$5:$AL$883,O$3,FALSE)&gt;0,"Y",VLOOKUP($C301,'Tracking List'!$A$5:$AL$883,O$4,FALSE)))</f>
        <v/>
      </c>
      <c r="P301" s="147" t="str">
        <f>IF($C301="","",IF(VLOOKUP($C301,'Tracking List'!$A$5:$AL$883,P$4,FALSE)&gt;0,"Y",""))</f>
        <v/>
      </c>
      <c r="Q301" s="149"/>
      <c r="R301" s="166" t="str">
        <f>IF($C301="","",VLOOKUP($C301,'Tracking List'!$A$5:$AL$883,R$4,FALSE))</f>
        <v/>
      </c>
    </row>
    <row r="302" spans="3:18">
      <c r="C302" s="146"/>
      <c r="D302" s="147" t="str">
        <f>IF($C302="","",VLOOKUP($C302,'Tracking List'!$A$5:$AL$883,D$4,FALSE))</f>
        <v/>
      </c>
      <c r="E302" s="147" t="str">
        <f>IF($C302="","",VLOOKUP($C302,'Tracking List'!$A$5:$AL$883,E$4,FALSE))</f>
        <v/>
      </c>
      <c r="F302" s="147" t="str">
        <f>IF($C302="","",VLOOKUP($C302,'Tracking List'!$A$5:$AL$883,F$4,FALSE))</f>
        <v/>
      </c>
      <c r="G302" s="147" t="str">
        <f>IF($C302="","",VLOOKUP($C302,'Tracking List'!$A$5:$AL$883,G$4,FALSE))</f>
        <v/>
      </c>
      <c r="H302" s="147" t="str">
        <f>IF($C302="","",VLOOKUP($C302,'Tracking List'!$A$5:$AL$883,H$4,FALSE))</f>
        <v/>
      </c>
      <c r="I302" s="147" t="str">
        <f>IF($C302="","",VLOOKUP($C302,'Tracking List'!$A$5:$AL$883,I$4,FALSE))</f>
        <v/>
      </c>
      <c r="J302" s="147" t="str">
        <f>IF($C302="","",VLOOKUP($C302,'Tracking List'!$A$5:$AL$883,J$4,FALSE))</f>
        <v/>
      </c>
      <c r="K302" s="147" t="str">
        <f>IF($C302="","",VLOOKUP($C302,'Tracking List'!$A$5:$AL$883,K$4,FALSE))</f>
        <v/>
      </c>
      <c r="L302" s="168" t="str">
        <f>IF($C302="","",VLOOKUP($C302,'Tracking List'!$A$5:$AL$883,L$4,FALSE))</f>
        <v/>
      </c>
      <c r="M302" s="147" t="str">
        <f>IF($C302="","",VLOOKUP($C302,'Tracking List'!$A$5:$AL$883,M$4,FALSE))</f>
        <v/>
      </c>
      <c r="N302" s="148" t="str">
        <f>IF($C302="","",IF(VLOOKUP($C302,'Tracking List'!$A$5:$AL$883,N$3,FALSE)&gt;0,"Y",VLOOKUP($C302,'Tracking List'!$A$5:$AL$883,N$4,FALSE)))</f>
        <v/>
      </c>
      <c r="O302" s="148" t="str">
        <f>IF($C302="","",IF(VLOOKUP($C302,'Tracking List'!$A$5:$AL$883,O$3,FALSE)&gt;0,"Y",VLOOKUP($C302,'Tracking List'!$A$5:$AL$883,O$4,FALSE)))</f>
        <v/>
      </c>
      <c r="P302" s="147" t="str">
        <f>IF($C302="","",IF(VLOOKUP($C302,'Tracking List'!$A$5:$AL$883,P$4,FALSE)&gt;0,"Y",""))</f>
        <v/>
      </c>
      <c r="Q302" s="149"/>
      <c r="R302" s="166" t="str">
        <f>IF($C302="","",VLOOKUP($C302,'Tracking List'!$A$5:$AL$883,R$4,FALSE))</f>
        <v/>
      </c>
    </row>
    <row r="303" spans="3:18">
      <c r="C303" s="146"/>
      <c r="D303" s="147" t="str">
        <f>IF($C303="","",VLOOKUP($C303,'Tracking List'!$A$5:$AL$883,D$4,FALSE))</f>
        <v/>
      </c>
      <c r="E303" s="147" t="str">
        <f>IF($C303="","",VLOOKUP($C303,'Tracking List'!$A$5:$AL$883,E$4,FALSE))</f>
        <v/>
      </c>
      <c r="F303" s="147" t="str">
        <f>IF($C303="","",VLOOKUP($C303,'Tracking List'!$A$5:$AL$883,F$4,FALSE))</f>
        <v/>
      </c>
      <c r="G303" s="147" t="str">
        <f>IF($C303="","",VLOOKUP($C303,'Tracking List'!$A$5:$AL$883,G$4,FALSE))</f>
        <v/>
      </c>
      <c r="H303" s="147" t="str">
        <f>IF($C303="","",VLOOKUP($C303,'Tracking List'!$A$5:$AL$883,H$4,FALSE))</f>
        <v/>
      </c>
      <c r="I303" s="147" t="str">
        <f>IF($C303="","",VLOOKUP($C303,'Tracking List'!$A$5:$AL$883,I$4,FALSE))</f>
        <v/>
      </c>
      <c r="J303" s="147" t="str">
        <f>IF($C303="","",VLOOKUP($C303,'Tracking List'!$A$5:$AL$883,J$4,FALSE))</f>
        <v/>
      </c>
      <c r="K303" s="147" t="str">
        <f>IF($C303="","",VLOOKUP($C303,'Tracking List'!$A$5:$AL$883,K$4,FALSE))</f>
        <v/>
      </c>
      <c r="L303" s="168" t="str">
        <f>IF($C303="","",VLOOKUP($C303,'Tracking List'!$A$5:$AL$883,L$4,FALSE))</f>
        <v/>
      </c>
      <c r="M303" s="147" t="str">
        <f>IF($C303="","",VLOOKUP($C303,'Tracking List'!$A$5:$AL$883,M$4,FALSE))</f>
        <v/>
      </c>
      <c r="N303" s="148" t="str">
        <f>IF($C303="","",IF(VLOOKUP($C303,'Tracking List'!$A$5:$AL$883,N$3,FALSE)&gt;0,"Y",VLOOKUP($C303,'Tracking List'!$A$5:$AL$883,N$4,FALSE)))</f>
        <v/>
      </c>
      <c r="O303" s="148" t="str">
        <f>IF($C303="","",IF(VLOOKUP($C303,'Tracking List'!$A$5:$AL$883,O$3,FALSE)&gt;0,"Y",VLOOKUP($C303,'Tracking List'!$A$5:$AL$883,O$4,FALSE)))</f>
        <v/>
      </c>
      <c r="P303" s="147" t="str">
        <f>IF($C303="","",IF(VLOOKUP($C303,'Tracking List'!$A$5:$AL$883,P$4,FALSE)&gt;0,"Y",""))</f>
        <v/>
      </c>
      <c r="Q303" s="149"/>
      <c r="R303" s="166" t="str">
        <f>IF($C303="","",VLOOKUP($C303,'Tracking List'!$A$5:$AL$883,R$4,FALSE))</f>
        <v/>
      </c>
    </row>
    <row r="304" spans="3:18">
      <c r="C304" s="146"/>
      <c r="D304" s="147" t="str">
        <f>IF($C304="","",VLOOKUP($C304,'Tracking List'!$A$5:$AL$883,D$4,FALSE))</f>
        <v/>
      </c>
      <c r="E304" s="147" t="str">
        <f>IF($C304="","",VLOOKUP($C304,'Tracking List'!$A$5:$AL$883,E$4,FALSE))</f>
        <v/>
      </c>
      <c r="F304" s="147" t="str">
        <f>IF($C304="","",VLOOKUP($C304,'Tracking List'!$A$5:$AL$883,F$4,FALSE))</f>
        <v/>
      </c>
      <c r="G304" s="147" t="str">
        <f>IF($C304="","",VLOOKUP($C304,'Tracking List'!$A$5:$AL$883,G$4,FALSE))</f>
        <v/>
      </c>
      <c r="H304" s="147" t="str">
        <f>IF($C304="","",VLOOKUP($C304,'Tracking List'!$A$5:$AL$883,H$4,FALSE))</f>
        <v/>
      </c>
      <c r="I304" s="147" t="str">
        <f>IF($C304="","",VLOOKUP($C304,'Tracking List'!$A$5:$AL$883,I$4,FALSE))</f>
        <v/>
      </c>
      <c r="J304" s="147" t="str">
        <f>IF($C304="","",VLOOKUP($C304,'Tracking List'!$A$5:$AL$883,J$4,FALSE))</f>
        <v/>
      </c>
      <c r="K304" s="147" t="str">
        <f>IF($C304="","",VLOOKUP($C304,'Tracking List'!$A$5:$AL$883,K$4,FALSE))</f>
        <v/>
      </c>
      <c r="L304" s="168" t="str">
        <f>IF($C304="","",VLOOKUP($C304,'Tracking List'!$A$5:$AL$883,L$4,FALSE))</f>
        <v/>
      </c>
      <c r="M304" s="147" t="str">
        <f>IF($C304="","",VLOOKUP($C304,'Tracking List'!$A$5:$AL$883,M$4,FALSE))</f>
        <v/>
      </c>
      <c r="N304" s="148" t="str">
        <f>IF($C304="","",IF(VLOOKUP($C304,'Tracking List'!$A$5:$AL$883,N$3,FALSE)&gt;0,"Y",VLOOKUP($C304,'Tracking List'!$A$5:$AL$883,N$4,FALSE)))</f>
        <v/>
      </c>
      <c r="O304" s="148" t="str">
        <f>IF($C304="","",IF(VLOOKUP($C304,'Tracking List'!$A$5:$AL$883,O$3,FALSE)&gt;0,"Y",VLOOKUP($C304,'Tracking List'!$A$5:$AL$883,O$4,FALSE)))</f>
        <v/>
      </c>
      <c r="P304" s="147" t="str">
        <f>IF($C304="","",IF(VLOOKUP($C304,'Tracking List'!$A$5:$AL$883,P$4,FALSE)&gt;0,"Y",""))</f>
        <v/>
      </c>
      <c r="Q304" s="149"/>
      <c r="R304" s="166" t="str">
        <f>IF($C304="","",VLOOKUP($C304,'Tracking List'!$A$5:$AL$883,R$4,FALSE))</f>
        <v/>
      </c>
    </row>
    <row r="305" spans="3:18">
      <c r="C305" s="146"/>
      <c r="D305" s="147" t="str">
        <f>IF($C305="","",VLOOKUP($C305,'Tracking List'!$A$5:$AL$883,D$4,FALSE))</f>
        <v/>
      </c>
      <c r="E305" s="147" t="str">
        <f>IF($C305="","",VLOOKUP($C305,'Tracking List'!$A$5:$AL$883,E$4,FALSE))</f>
        <v/>
      </c>
      <c r="F305" s="147" t="str">
        <f>IF($C305="","",VLOOKUP($C305,'Tracking List'!$A$5:$AL$883,F$4,FALSE))</f>
        <v/>
      </c>
      <c r="G305" s="147" t="str">
        <f>IF($C305="","",VLOOKUP($C305,'Tracking List'!$A$5:$AL$883,G$4,FALSE))</f>
        <v/>
      </c>
      <c r="H305" s="147" t="str">
        <f>IF($C305="","",VLOOKUP($C305,'Tracking List'!$A$5:$AL$883,H$4,FALSE))</f>
        <v/>
      </c>
      <c r="I305" s="147" t="str">
        <f>IF($C305="","",VLOOKUP($C305,'Tracking List'!$A$5:$AL$883,I$4,FALSE))</f>
        <v/>
      </c>
      <c r="J305" s="147" t="str">
        <f>IF($C305="","",VLOOKUP($C305,'Tracking List'!$A$5:$AL$883,J$4,FALSE))</f>
        <v/>
      </c>
      <c r="K305" s="147" t="str">
        <f>IF($C305="","",VLOOKUP($C305,'Tracking List'!$A$5:$AL$883,K$4,FALSE))</f>
        <v/>
      </c>
      <c r="L305" s="168" t="str">
        <f>IF($C305="","",VLOOKUP($C305,'Tracking List'!$A$5:$AL$883,L$4,FALSE))</f>
        <v/>
      </c>
      <c r="M305" s="147" t="str">
        <f>IF($C305="","",VLOOKUP($C305,'Tracking List'!$A$5:$AL$883,M$4,FALSE))</f>
        <v/>
      </c>
      <c r="N305" s="148" t="str">
        <f>IF($C305="","",IF(VLOOKUP($C305,'Tracking List'!$A$5:$AL$883,N$3,FALSE)&gt;0,"Y",VLOOKUP($C305,'Tracking List'!$A$5:$AL$883,N$4,FALSE)))</f>
        <v/>
      </c>
      <c r="O305" s="148" t="str">
        <f>IF($C305="","",IF(VLOOKUP($C305,'Tracking List'!$A$5:$AL$883,O$3,FALSE)&gt;0,"Y",VLOOKUP($C305,'Tracking List'!$A$5:$AL$883,O$4,FALSE)))</f>
        <v/>
      </c>
      <c r="P305" s="147" t="str">
        <f>IF($C305="","",IF(VLOOKUP($C305,'Tracking List'!$A$5:$AL$883,P$4,FALSE)&gt;0,"Y",""))</f>
        <v/>
      </c>
      <c r="Q305" s="149"/>
      <c r="R305" s="166" t="str">
        <f>IF($C305="","",VLOOKUP($C305,'Tracking List'!$A$5:$AL$883,R$4,FALSE))</f>
        <v/>
      </c>
    </row>
    <row r="306" spans="3:18">
      <c r="C306" s="146"/>
      <c r="D306" s="147" t="str">
        <f>IF($C306="","",VLOOKUP($C306,'Tracking List'!$A$5:$AL$883,D$4,FALSE))</f>
        <v/>
      </c>
      <c r="E306" s="147" t="str">
        <f>IF($C306="","",VLOOKUP($C306,'Tracking List'!$A$5:$AL$883,E$4,FALSE))</f>
        <v/>
      </c>
      <c r="F306" s="147" t="str">
        <f>IF($C306="","",VLOOKUP($C306,'Tracking List'!$A$5:$AL$883,F$4,FALSE))</f>
        <v/>
      </c>
      <c r="G306" s="147" t="str">
        <f>IF($C306="","",VLOOKUP($C306,'Tracking List'!$A$5:$AL$883,G$4,FALSE))</f>
        <v/>
      </c>
      <c r="H306" s="147" t="str">
        <f>IF($C306="","",VLOOKUP($C306,'Tracking List'!$A$5:$AL$883,H$4,FALSE))</f>
        <v/>
      </c>
      <c r="I306" s="147" t="str">
        <f>IF($C306="","",VLOOKUP($C306,'Tracking List'!$A$5:$AL$883,I$4,FALSE))</f>
        <v/>
      </c>
      <c r="J306" s="147" t="str">
        <f>IF($C306="","",VLOOKUP($C306,'Tracking List'!$A$5:$AL$883,J$4,FALSE))</f>
        <v/>
      </c>
      <c r="K306" s="147" t="str">
        <f>IF($C306="","",VLOOKUP($C306,'Tracking List'!$A$5:$AL$883,K$4,FALSE))</f>
        <v/>
      </c>
      <c r="L306" s="168" t="str">
        <f>IF($C306="","",VLOOKUP($C306,'Tracking List'!$A$5:$AL$883,L$4,FALSE))</f>
        <v/>
      </c>
      <c r="M306" s="147" t="str">
        <f>IF($C306="","",VLOOKUP($C306,'Tracking List'!$A$5:$AL$883,M$4,FALSE))</f>
        <v/>
      </c>
      <c r="N306" s="148" t="str">
        <f>IF($C306="","",IF(VLOOKUP($C306,'Tracking List'!$A$5:$AL$883,N$3,FALSE)&gt;0,"Y",VLOOKUP($C306,'Tracking List'!$A$5:$AL$883,N$4,FALSE)))</f>
        <v/>
      </c>
      <c r="O306" s="148" t="str">
        <f>IF($C306="","",IF(VLOOKUP($C306,'Tracking List'!$A$5:$AL$883,O$3,FALSE)&gt;0,"Y",VLOOKUP($C306,'Tracking List'!$A$5:$AL$883,O$4,FALSE)))</f>
        <v/>
      </c>
      <c r="P306" s="147" t="str">
        <f>IF($C306="","",IF(VLOOKUP($C306,'Tracking List'!$A$5:$AL$883,P$4,FALSE)&gt;0,"Y",""))</f>
        <v/>
      </c>
      <c r="Q306" s="149"/>
      <c r="R306" s="166" t="str">
        <f>IF($C306="","",VLOOKUP($C306,'Tracking List'!$A$5:$AL$883,R$4,FALSE))</f>
        <v/>
      </c>
    </row>
    <row r="307" spans="3:18">
      <c r="C307" s="146"/>
      <c r="D307" s="147" t="str">
        <f>IF($C307="","",VLOOKUP($C307,'Tracking List'!$A$5:$AL$883,D$4,FALSE))</f>
        <v/>
      </c>
      <c r="E307" s="147" t="str">
        <f>IF($C307="","",VLOOKUP($C307,'Tracking List'!$A$5:$AL$883,E$4,FALSE))</f>
        <v/>
      </c>
      <c r="F307" s="147" t="str">
        <f>IF($C307="","",VLOOKUP($C307,'Tracking List'!$A$5:$AL$883,F$4,FALSE))</f>
        <v/>
      </c>
      <c r="G307" s="147" t="str">
        <f>IF($C307="","",VLOOKUP($C307,'Tracking List'!$A$5:$AL$883,G$4,FALSE))</f>
        <v/>
      </c>
      <c r="H307" s="147" t="str">
        <f>IF($C307="","",VLOOKUP($C307,'Tracking List'!$A$5:$AL$883,H$4,FALSE))</f>
        <v/>
      </c>
      <c r="I307" s="147" t="str">
        <f>IF($C307="","",VLOOKUP($C307,'Tracking List'!$A$5:$AL$883,I$4,FALSE))</f>
        <v/>
      </c>
      <c r="J307" s="147" t="str">
        <f>IF($C307="","",VLOOKUP($C307,'Tracking List'!$A$5:$AL$883,J$4,FALSE))</f>
        <v/>
      </c>
      <c r="K307" s="147" t="str">
        <f>IF($C307="","",VLOOKUP($C307,'Tracking List'!$A$5:$AL$883,K$4,FALSE))</f>
        <v/>
      </c>
      <c r="L307" s="168" t="str">
        <f>IF($C307="","",VLOOKUP($C307,'Tracking List'!$A$5:$AL$883,L$4,FALSE))</f>
        <v/>
      </c>
      <c r="M307" s="147" t="str">
        <f>IF($C307="","",VLOOKUP($C307,'Tracking List'!$A$5:$AL$883,M$4,FALSE))</f>
        <v/>
      </c>
      <c r="N307" s="148" t="str">
        <f>IF($C307="","",IF(VLOOKUP($C307,'Tracking List'!$A$5:$AL$883,N$3,FALSE)&gt;0,"Y",VLOOKUP($C307,'Tracking List'!$A$5:$AL$883,N$4,FALSE)))</f>
        <v/>
      </c>
      <c r="O307" s="148" t="str">
        <f>IF($C307="","",IF(VLOOKUP($C307,'Tracking List'!$A$5:$AL$883,O$3,FALSE)&gt;0,"Y",VLOOKUP($C307,'Tracking List'!$A$5:$AL$883,O$4,FALSE)))</f>
        <v/>
      </c>
      <c r="P307" s="147" t="str">
        <f>IF($C307="","",IF(VLOOKUP($C307,'Tracking List'!$A$5:$AL$883,P$4,FALSE)&gt;0,"Y",""))</f>
        <v/>
      </c>
      <c r="Q307" s="149"/>
      <c r="R307" s="166" t="str">
        <f>IF($C307="","",VLOOKUP($C307,'Tracking List'!$A$5:$AL$883,R$4,FALSE))</f>
        <v/>
      </c>
    </row>
    <row r="308" spans="3:18">
      <c r="C308" s="146"/>
      <c r="D308" s="147" t="str">
        <f>IF($C308="","",VLOOKUP($C308,'Tracking List'!$A$5:$AL$883,D$4,FALSE))</f>
        <v/>
      </c>
      <c r="E308" s="147" t="str">
        <f>IF($C308="","",VLOOKUP($C308,'Tracking List'!$A$5:$AL$883,E$4,FALSE))</f>
        <v/>
      </c>
      <c r="F308" s="147" t="str">
        <f>IF($C308="","",VLOOKUP($C308,'Tracking List'!$A$5:$AL$883,F$4,FALSE))</f>
        <v/>
      </c>
      <c r="G308" s="147" t="str">
        <f>IF($C308="","",VLOOKUP($C308,'Tracking List'!$A$5:$AL$883,G$4,FALSE))</f>
        <v/>
      </c>
      <c r="H308" s="147" t="str">
        <f>IF($C308="","",VLOOKUP($C308,'Tracking List'!$A$5:$AL$883,H$4,FALSE))</f>
        <v/>
      </c>
      <c r="I308" s="147" t="str">
        <f>IF($C308="","",VLOOKUP($C308,'Tracking List'!$A$5:$AL$883,I$4,FALSE))</f>
        <v/>
      </c>
      <c r="J308" s="147" t="str">
        <f>IF($C308="","",VLOOKUP($C308,'Tracking List'!$A$5:$AL$883,J$4,FALSE))</f>
        <v/>
      </c>
      <c r="K308" s="147" t="str">
        <f>IF($C308="","",VLOOKUP($C308,'Tracking List'!$A$5:$AL$883,K$4,FALSE))</f>
        <v/>
      </c>
      <c r="L308" s="168" t="str">
        <f>IF($C308="","",VLOOKUP($C308,'Tracking List'!$A$5:$AL$883,L$4,FALSE))</f>
        <v/>
      </c>
      <c r="M308" s="147" t="str">
        <f>IF($C308="","",VLOOKUP($C308,'Tracking List'!$A$5:$AL$883,M$4,FALSE))</f>
        <v/>
      </c>
      <c r="N308" s="148" t="str">
        <f>IF($C308="","",IF(VLOOKUP($C308,'Tracking List'!$A$5:$AL$883,N$3,FALSE)&gt;0,"Y",VLOOKUP($C308,'Tracking List'!$A$5:$AL$883,N$4,FALSE)))</f>
        <v/>
      </c>
      <c r="O308" s="148" t="str">
        <f>IF($C308="","",IF(VLOOKUP($C308,'Tracking List'!$A$5:$AL$883,O$3,FALSE)&gt;0,"Y",VLOOKUP($C308,'Tracking List'!$A$5:$AL$883,O$4,FALSE)))</f>
        <v/>
      </c>
      <c r="P308" s="147" t="str">
        <f>IF($C308="","",IF(VLOOKUP($C308,'Tracking List'!$A$5:$AL$883,P$4,FALSE)&gt;0,"Y",""))</f>
        <v/>
      </c>
      <c r="Q308" s="149"/>
      <c r="R308" s="166" t="str">
        <f>IF($C308="","",VLOOKUP($C308,'Tracking List'!$A$5:$AL$883,R$4,FALSE))</f>
        <v/>
      </c>
    </row>
    <row r="309" spans="3:18">
      <c r="C309" s="146"/>
      <c r="D309" s="147" t="str">
        <f>IF($C309="","",VLOOKUP($C309,'Tracking List'!$A$5:$AL$883,D$4,FALSE))</f>
        <v/>
      </c>
      <c r="E309" s="147" t="str">
        <f>IF($C309="","",VLOOKUP($C309,'Tracking List'!$A$5:$AL$883,E$4,FALSE))</f>
        <v/>
      </c>
      <c r="F309" s="147" t="str">
        <f>IF($C309="","",VLOOKUP($C309,'Tracking List'!$A$5:$AL$883,F$4,FALSE))</f>
        <v/>
      </c>
      <c r="G309" s="147" t="str">
        <f>IF($C309="","",VLOOKUP($C309,'Tracking List'!$A$5:$AL$883,G$4,FALSE))</f>
        <v/>
      </c>
      <c r="H309" s="147" t="str">
        <f>IF($C309="","",VLOOKUP($C309,'Tracking List'!$A$5:$AL$883,H$4,FALSE))</f>
        <v/>
      </c>
      <c r="I309" s="147" t="str">
        <f>IF($C309="","",VLOOKUP($C309,'Tracking List'!$A$5:$AL$883,I$4,FALSE))</f>
        <v/>
      </c>
      <c r="J309" s="147" t="str">
        <f>IF($C309="","",VLOOKUP($C309,'Tracking List'!$A$5:$AL$883,J$4,FALSE))</f>
        <v/>
      </c>
      <c r="K309" s="147" t="str">
        <f>IF($C309="","",VLOOKUP($C309,'Tracking List'!$A$5:$AL$883,K$4,FALSE))</f>
        <v/>
      </c>
      <c r="L309" s="168" t="str">
        <f>IF($C309="","",VLOOKUP($C309,'Tracking List'!$A$5:$AL$883,L$4,FALSE))</f>
        <v/>
      </c>
      <c r="M309" s="147" t="str">
        <f>IF($C309="","",VLOOKUP($C309,'Tracking List'!$A$5:$AL$883,M$4,FALSE))</f>
        <v/>
      </c>
      <c r="N309" s="148" t="str">
        <f>IF($C309="","",IF(VLOOKUP($C309,'Tracking List'!$A$5:$AL$883,N$3,FALSE)&gt;0,"Y",VLOOKUP($C309,'Tracking List'!$A$5:$AL$883,N$4,FALSE)))</f>
        <v/>
      </c>
      <c r="O309" s="148" t="str">
        <f>IF($C309="","",IF(VLOOKUP($C309,'Tracking List'!$A$5:$AL$883,O$3,FALSE)&gt;0,"Y",VLOOKUP($C309,'Tracking List'!$A$5:$AL$883,O$4,FALSE)))</f>
        <v/>
      </c>
      <c r="P309" s="147" t="str">
        <f>IF($C309="","",IF(VLOOKUP($C309,'Tracking List'!$A$5:$AL$883,P$4,FALSE)&gt;0,"Y",""))</f>
        <v/>
      </c>
      <c r="Q309" s="149"/>
      <c r="R309" s="166" t="str">
        <f>IF($C309="","",VLOOKUP($C309,'Tracking List'!$A$5:$AL$883,R$4,FALSE))</f>
        <v/>
      </c>
    </row>
    <row r="310" spans="3:18">
      <c r="C310" s="146"/>
      <c r="D310" s="147" t="str">
        <f>IF($C310="","",VLOOKUP($C310,'Tracking List'!$A$5:$AL$883,D$4,FALSE))</f>
        <v/>
      </c>
      <c r="E310" s="147" t="str">
        <f>IF($C310="","",VLOOKUP($C310,'Tracking List'!$A$5:$AL$883,E$4,FALSE))</f>
        <v/>
      </c>
      <c r="F310" s="147" t="str">
        <f>IF($C310="","",VLOOKUP($C310,'Tracking List'!$A$5:$AL$883,F$4,FALSE))</f>
        <v/>
      </c>
      <c r="G310" s="147" t="str">
        <f>IF($C310="","",VLOOKUP($C310,'Tracking List'!$A$5:$AL$883,G$4,FALSE))</f>
        <v/>
      </c>
      <c r="H310" s="147" t="str">
        <f>IF($C310="","",VLOOKUP($C310,'Tracking List'!$A$5:$AL$883,H$4,FALSE))</f>
        <v/>
      </c>
      <c r="I310" s="147" t="str">
        <f>IF($C310="","",VLOOKUP($C310,'Tracking List'!$A$5:$AL$883,I$4,FALSE))</f>
        <v/>
      </c>
      <c r="J310" s="147" t="str">
        <f>IF($C310="","",VLOOKUP($C310,'Tracking List'!$A$5:$AL$883,J$4,FALSE))</f>
        <v/>
      </c>
      <c r="K310" s="147" t="str">
        <f>IF($C310="","",VLOOKUP($C310,'Tracking List'!$A$5:$AL$883,K$4,FALSE))</f>
        <v/>
      </c>
      <c r="L310" s="168" t="str">
        <f>IF($C310="","",VLOOKUP($C310,'Tracking List'!$A$5:$AL$883,L$4,FALSE))</f>
        <v/>
      </c>
      <c r="M310" s="147" t="str">
        <f>IF($C310="","",VLOOKUP($C310,'Tracking List'!$A$5:$AL$883,M$4,FALSE))</f>
        <v/>
      </c>
      <c r="N310" s="148" t="str">
        <f>IF($C310="","",IF(VLOOKUP($C310,'Tracking List'!$A$5:$AL$883,N$3,FALSE)&gt;0,"Y",VLOOKUP($C310,'Tracking List'!$A$5:$AL$883,N$4,FALSE)))</f>
        <v/>
      </c>
      <c r="O310" s="148" t="str">
        <f>IF($C310="","",IF(VLOOKUP($C310,'Tracking List'!$A$5:$AL$883,O$3,FALSE)&gt;0,"Y",VLOOKUP($C310,'Tracking List'!$A$5:$AL$883,O$4,FALSE)))</f>
        <v/>
      </c>
      <c r="P310" s="147" t="str">
        <f>IF($C310="","",IF(VLOOKUP($C310,'Tracking List'!$A$5:$AL$883,P$4,FALSE)&gt;0,"Y",""))</f>
        <v/>
      </c>
      <c r="Q310" s="149"/>
      <c r="R310" s="166" t="str">
        <f>IF($C310="","",VLOOKUP($C310,'Tracking List'!$A$5:$AL$883,R$4,FALSE))</f>
        <v/>
      </c>
    </row>
    <row r="311" spans="3:18">
      <c r="C311" s="146"/>
      <c r="D311" s="147" t="str">
        <f>IF($C311="","",VLOOKUP($C311,'Tracking List'!$A$5:$AL$883,D$4,FALSE))</f>
        <v/>
      </c>
      <c r="E311" s="147" t="str">
        <f>IF($C311="","",VLOOKUP($C311,'Tracking List'!$A$5:$AL$883,E$4,FALSE))</f>
        <v/>
      </c>
      <c r="F311" s="147" t="str">
        <f>IF($C311="","",VLOOKUP($C311,'Tracking List'!$A$5:$AL$883,F$4,FALSE))</f>
        <v/>
      </c>
      <c r="G311" s="147" t="str">
        <f>IF($C311="","",VLOOKUP($C311,'Tracking List'!$A$5:$AL$883,G$4,FALSE))</f>
        <v/>
      </c>
      <c r="H311" s="147" t="str">
        <f>IF($C311="","",VLOOKUP($C311,'Tracking List'!$A$5:$AL$883,H$4,FALSE))</f>
        <v/>
      </c>
      <c r="I311" s="147" t="str">
        <f>IF($C311="","",VLOOKUP($C311,'Tracking List'!$A$5:$AL$883,I$4,FALSE))</f>
        <v/>
      </c>
      <c r="J311" s="147" t="str">
        <f>IF($C311="","",VLOOKUP($C311,'Tracking List'!$A$5:$AL$883,J$4,FALSE))</f>
        <v/>
      </c>
      <c r="K311" s="147" t="str">
        <f>IF($C311="","",VLOOKUP($C311,'Tracking List'!$A$5:$AL$883,K$4,FALSE))</f>
        <v/>
      </c>
      <c r="L311" s="168" t="str">
        <f>IF($C311="","",VLOOKUP($C311,'Tracking List'!$A$5:$AL$883,L$4,FALSE))</f>
        <v/>
      </c>
      <c r="M311" s="147" t="str">
        <f>IF($C311="","",VLOOKUP($C311,'Tracking List'!$A$5:$AL$883,M$4,FALSE))</f>
        <v/>
      </c>
      <c r="N311" s="148" t="str">
        <f>IF($C311="","",IF(VLOOKUP($C311,'Tracking List'!$A$5:$AL$883,N$3,FALSE)&gt;0,"Y",VLOOKUP($C311,'Tracking List'!$A$5:$AL$883,N$4,FALSE)))</f>
        <v/>
      </c>
      <c r="O311" s="148" t="str">
        <f>IF($C311="","",IF(VLOOKUP($C311,'Tracking List'!$A$5:$AL$883,O$3,FALSE)&gt;0,"Y",VLOOKUP($C311,'Tracking List'!$A$5:$AL$883,O$4,FALSE)))</f>
        <v/>
      </c>
      <c r="P311" s="147" t="str">
        <f>IF($C311="","",IF(VLOOKUP($C311,'Tracking List'!$A$5:$AL$883,P$4,FALSE)&gt;0,"Y",""))</f>
        <v/>
      </c>
      <c r="Q311" s="149"/>
      <c r="R311" s="166" t="str">
        <f>IF($C311="","",VLOOKUP($C311,'Tracking List'!$A$5:$AL$883,R$4,FALSE))</f>
        <v/>
      </c>
    </row>
    <row r="312" spans="3:18">
      <c r="C312" s="146"/>
      <c r="D312" s="147" t="str">
        <f>IF($C312="","",VLOOKUP($C312,'Tracking List'!$A$5:$AL$883,D$4,FALSE))</f>
        <v/>
      </c>
      <c r="E312" s="147" t="str">
        <f>IF($C312="","",VLOOKUP($C312,'Tracking List'!$A$5:$AL$883,E$4,FALSE))</f>
        <v/>
      </c>
      <c r="F312" s="147" t="str">
        <f>IF($C312="","",VLOOKUP($C312,'Tracking List'!$A$5:$AL$883,F$4,FALSE))</f>
        <v/>
      </c>
      <c r="G312" s="147" t="str">
        <f>IF($C312="","",VLOOKUP($C312,'Tracking List'!$A$5:$AL$883,G$4,FALSE))</f>
        <v/>
      </c>
      <c r="H312" s="147" t="str">
        <f>IF($C312="","",VLOOKUP($C312,'Tracking List'!$A$5:$AL$883,H$4,FALSE))</f>
        <v/>
      </c>
      <c r="I312" s="147" t="str">
        <f>IF($C312="","",VLOOKUP($C312,'Tracking List'!$A$5:$AL$883,I$4,FALSE))</f>
        <v/>
      </c>
      <c r="J312" s="147" t="str">
        <f>IF($C312="","",VLOOKUP($C312,'Tracking List'!$A$5:$AL$883,J$4,FALSE))</f>
        <v/>
      </c>
      <c r="K312" s="147" t="str">
        <f>IF($C312="","",VLOOKUP($C312,'Tracking List'!$A$5:$AL$883,K$4,FALSE))</f>
        <v/>
      </c>
      <c r="L312" s="168" t="str">
        <f>IF($C312="","",VLOOKUP($C312,'Tracking List'!$A$5:$AL$883,L$4,FALSE))</f>
        <v/>
      </c>
      <c r="M312" s="147" t="str">
        <f>IF($C312="","",VLOOKUP($C312,'Tracking List'!$A$5:$AL$883,M$4,FALSE))</f>
        <v/>
      </c>
      <c r="N312" s="148" t="str">
        <f>IF($C312="","",IF(VLOOKUP($C312,'Tracking List'!$A$5:$AL$883,N$3,FALSE)&gt;0,"Y",VLOOKUP($C312,'Tracking List'!$A$5:$AL$883,N$4,FALSE)))</f>
        <v/>
      </c>
      <c r="O312" s="148" t="str">
        <f>IF($C312="","",IF(VLOOKUP($C312,'Tracking List'!$A$5:$AL$883,O$3,FALSE)&gt;0,"Y",VLOOKUP($C312,'Tracking List'!$A$5:$AL$883,O$4,FALSE)))</f>
        <v/>
      </c>
      <c r="P312" s="147" t="str">
        <f>IF($C312="","",IF(VLOOKUP($C312,'Tracking List'!$A$5:$AL$883,P$4,FALSE)&gt;0,"Y",""))</f>
        <v/>
      </c>
      <c r="Q312" s="149"/>
      <c r="R312" s="166" t="str">
        <f>IF($C312="","",VLOOKUP($C312,'Tracking List'!$A$5:$AL$883,R$4,FALSE))</f>
        <v/>
      </c>
    </row>
    <row r="313" spans="3:18">
      <c r="C313" s="146"/>
      <c r="D313" s="147" t="str">
        <f>IF($C313="","",VLOOKUP($C313,'Tracking List'!$A$5:$AL$883,D$4,FALSE))</f>
        <v/>
      </c>
      <c r="E313" s="147" t="str">
        <f>IF($C313="","",VLOOKUP($C313,'Tracking List'!$A$5:$AL$883,E$4,FALSE))</f>
        <v/>
      </c>
      <c r="F313" s="147" t="str">
        <f>IF($C313="","",VLOOKUP($C313,'Tracking List'!$A$5:$AL$883,F$4,FALSE))</f>
        <v/>
      </c>
      <c r="G313" s="147" t="str">
        <f>IF($C313="","",VLOOKUP($C313,'Tracking List'!$A$5:$AL$883,G$4,FALSE))</f>
        <v/>
      </c>
      <c r="H313" s="147" t="str">
        <f>IF($C313="","",VLOOKUP($C313,'Tracking List'!$A$5:$AL$883,H$4,FALSE))</f>
        <v/>
      </c>
      <c r="I313" s="147" t="str">
        <f>IF($C313="","",VLOOKUP($C313,'Tracking List'!$A$5:$AL$883,I$4,FALSE))</f>
        <v/>
      </c>
      <c r="J313" s="147" t="str">
        <f>IF($C313="","",VLOOKUP($C313,'Tracking List'!$A$5:$AL$883,J$4,FALSE))</f>
        <v/>
      </c>
      <c r="K313" s="147" t="str">
        <f>IF($C313="","",VLOOKUP($C313,'Tracking List'!$A$5:$AL$883,K$4,FALSE))</f>
        <v/>
      </c>
      <c r="L313" s="168" t="str">
        <f>IF($C313="","",VLOOKUP($C313,'Tracking List'!$A$5:$AL$883,L$4,FALSE))</f>
        <v/>
      </c>
      <c r="M313" s="147" t="str">
        <f>IF($C313="","",VLOOKUP($C313,'Tracking List'!$A$5:$AL$883,M$4,FALSE))</f>
        <v/>
      </c>
      <c r="N313" s="148" t="str">
        <f>IF($C313="","",IF(VLOOKUP($C313,'Tracking List'!$A$5:$AL$883,N$3,FALSE)&gt;0,"Y",VLOOKUP($C313,'Tracking List'!$A$5:$AL$883,N$4,FALSE)))</f>
        <v/>
      </c>
      <c r="O313" s="148" t="str">
        <f>IF($C313="","",IF(VLOOKUP($C313,'Tracking List'!$A$5:$AL$883,O$3,FALSE)&gt;0,"Y",VLOOKUP($C313,'Tracking List'!$A$5:$AL$883,O$4,FALSE)))</f>
        <v/>
      </c>
      <c r="P313" s="147" t="str">
        <f>IF($C313="","",IF(VLOOKUP($C313,'Tracking List'!$A$5:$AL$883,P$4,FALSE)&gt;0,"Y",""))</f>
        <v/>
      </c>
      <c r="Q313" s="149"/>
      <c r="R313" s="166" t="str">
        <f>IF($C313="","",VLOOKUP($C313,'Tracking List'!$A$5:$AL$883,R$4,FALSE))</f>
        <v/>
      </c>
    </row>
    <row r="314" spans="3:18">
      <c r="C314" s="146"/>
      <c r="D314" s="147" t="str">
        <f>IF($C314="","",VLOOKUP($C314,'Tracking List'!$A$5:$AL$883,D$4,FALSE))</f>
        <v/>
      </c>
      <c r="E314" s="147" t="str">
        <f>IF($C314="","",VLOOKUP($C314,'Tracking List'!$A$5:$AL$883,E$4,FALSE))</f>
        <v/>
      </c>
      <c r="F314" s="147" t="str">
        <f>IF($C314="","",VLOOKUP($C314,'Tracking List'!$A$5:$AL$883,F$4,FALSE))</f>
        <v/>
      </c>
      <c r="G314" s="147" t="str">
        <f>IF($C314="","",VLOOKUP($C314,'Tracking List'!$A$5:$AL$883,G$4,FALSE))</f>
        <v/>
      </c>
      <c r="H314" s="147" t="str">
        <f>IF($C314="","",VLOOKUP($C314,'Tracking List'!$A$5:$AL$883,H$4,FALSE))</f>
        <v/>
      </c>
      <c r="I314" s="147" t="str">
        <f>IF($C314="","",VLOOKUP($C314,'Tracking List'!$A$5:$AL$883,I$4,FALSE))</f>
        <v/>
      </c>
      <c r="J314" s="147" t="str">
        <f>IF($C314="","",VLOOKUP($C314,'Tracking List'!$A$5:$AL$883,J$4,FALSE))</f>
        <v/>
      </c>
      <c r="K314" s="147" t="str">
        <f>IF($C314="","",VLOOKUP($C314,'Tracking List'!$A$5:$AL$883,K$4,FALSE))</f>
        <v/>
      </c>
      <c r="L314" s="168" t="str">
        <f>IF($C314="","",VLOOKUP($C314,'Tracking List'!$A$5:$AL$883,L$4,FALSE))</f>
        <v/>
      </c>
      <c r="M314" s="147" t="str">
        <f>IF($C314="","",VLOOKUP($C314,'Tracking List'!$A$5:$AL$883,M$4,FALSE))</f>
        <v/>
      </c>
      <c r="N314" s="148" t="str">
        <f>IF($C314="","",IF(VLOOKUP($C314,'Tracking List'!$A$5:$AL$883,N$3,FALSE)&gt;0,"Y",VLOOKUP($C314,'Tracking List'!$A$5:$AL$883,N$4,FALSE)))</f>
        <v/>
      </c>
      <c r="O314" s="148" t="str">
        <f>IF($C314="","",IF(VLOOKUP($C314,'Tracking List'!$A$5:$AL$883,O$3,FALSE)&gt;0,"Y",VLOOKUP($C314,'Tracking List'!$A$5:$AL$883,O$4,FALSE)))</f>
        <v/>
      </c>
      <c r="P314" s="147" t="str">
        <f>IF($C314="","",IF(VLOOKUP($C314,'Tracking List'!$A$5:$AL$883,P$4,FALSE)&gt;0,"Y",""))</f>
        <v/>
      </c>
      <c r="Q314" s="149"/>
      <c r="R314" s="166" t="str">
        <f>IF($C314="","",VLOOKUP($C314,'Tracking List'!$A$5:$AL$883,R$4,FALSE))</f>
        <v/>
      </c>
    </row>
    <row r="315" spans="3:18">
      <c r="C315" s="146"/>
      <c r="D315" s="147" t="str">
        <f>IF($C315="","",VLOOKUP($C315,'Tracking List'!$A$5:$AL$883,D$4,FALSE))</f>
        <v/>
      </c>
      <c r="E315" s="147" t="str">
        <f>IF($C315="","",VLOOKUP($C315,'Tracking List'!$A$5:$AL$883,E$4,FALSE))</f>
        <v/>
      </c>
      <c r="F315" s="147" t="str">
        <f>IF($C315="","",VLOOKUP($C315,'Tracking List'!$A$5:$AL$883,F$4,FALSE))</f>
        <v/>
      </c>
      <c r="G315" s="147" t="str">
        <f>IF($C315="","",VLOOKUP($C315,'Tracking List'!$A$5:$AL$883,G$4,FALSE))</f>
        <v/>
      </c>
      <c r="H315" s="147" t="str">
        <f>IF($C315="","",VLOOKUP($C315,'Tracking List'!$A$5:$AL$883,H$4,FALSE))</f>
        <v/>
      </c>
      <c r="I315" s="147" t="str">
        <f>IF($C315="","",VLOOKUP($C315,'Tracking List'!$A$5:$AL$883,I$4,FALSE))</f>
        <v/>
      </c>
      <c r="J315" s="147" t="str">
        <f>IF($C315="","",VLOOKUP($C315,'Tracking List'!$A$5:$AL$883,J$4,FALSE))</f>
        <v/>
      </c>
      <c r="K315" s="147" t="str">
        <f>IF($C315="","",VLOOKUP($C315,'Tracking List'!$A$5:$AL$883,K$4,FALSE))</f>
        <v/>
      </c>
      <c r="L315" s="168" t="str">
        <f>IF($C315="","",VLOOKUP($C315,'Tracking List'!$A$5:$AL$883,L$4,FALSE))</f>
        <v/>
      </c>
      <c r="M315" s="147" t="str">
        <f>IF($C315="","",VLOOKUP($C315,'Tracking List'!$A$5:$AL$883,M$4,FALSE))</f>
        <v/>
      </c>
      <c r="N315" s="148" t="str">
        <f>IF($C315="","",IF(VLOOKUP($C315,'Tracking List'!$A$5:$AL$883,N$3,FALSE)&gt;0,"Y",VLOOKUP($C315,'Tracking List'!$A$5:$AL$883,N$4,FALSE)))</f>
        <v/>
      </c>
      <c r="O315" s="148" t="str">
        <f>IF($C315="","",IF(VLOOKUP($C315,'Tracking List'!$A$5:$AL$883,O$3,FALSE)&gt;0,"Y",VLOOKUP($C315,'Tracking List'!$A$5:$AL$883,O$4,FALSE)))</f>
        <v/>
      </c>
      <c r="P315" s="147" t="str">
        <f>IF($C315="","",IF(VLOOKUP($C315,'Tracking List'!$A$5:$AL$883,P$4,FALSE)&gt;0,"Y",""))</f>
        <v/>
      </c>
      <c r="Q315" s="149"/>
      <c r="R315" s="166" t="str">
        <f>IF($C315="","",VLOOKUP($C315,'Tracking List'!$A$5:$AL$883,R$4,FALSE))</f>
        <v/>
      </c>
    </row>
    <row r="316" spans="3:18">
      <c r="C316" s="146"/>
      <c r="D316" s="147" t="str">
        <f>IF($C316="","",VLOOKUP($C316,'Tracking List'!$A$5:$AL$883,D$4,FALSE))</f>
        <v/>
      </c>
      <c r="E316" s="147" t="str">
        <f>IF($C316="","",VLOOKUP($C316,'Tracking List'!$A$5:$AL$883,E$4,FALSE))</f>
        <v/>
      </c>
      <c r="F316" s="147" t="str">
        <f>IF($C316="","",VLOOKUP($C316,'Tracking List'!$A$5:$AL$883,F$4,FALSE))</f>
        <v/>
      </c>
      <c r="G316" s="147" t="str">
        <f>IF($C316="","",VLOOKUP($C316,'Tracking List'!$A$5:$AL$883,G$4,FALSE))</f>
        <v/>
      </c>
      <c r="H316" s="147" t="str">
        <f>IF($C316="","",VLOOKUP($C316,'Tracking List'!$A$5:$AL$883,H$4,FALSE))</f>
        <v/>
      </c>
      <c r="I316" s="147" t="str">
        <f>IF($C316="","",VLOOKUP($C316,'Tracking List'!$A$5:$AL$883,I$4,FALSE))</f>
        <v/>
      </c>
      <c r="J316" s="147" t="str">
        <f>IF($C316="","",VLOOKUP($C316,'Tracking List'!$A$5:$AL$883,J$4,FALSE))</f>
        <v/>
      </c>
      <c r="K316" s="147" t="str">
        <f>IF($C316="","",VLOOKUP($C316,'Tracking List'!$A$5:$AL$883,K$4,FALSE))</f>
        <v/>
      </c>
      <c r="L316" s="168" t="str">
        <f>IF($C316="","",VLOOKUP($C316,'Tracking List'!$A$5:$AL$883,L$4,FALSE))</f>
        <v/>
      </c>
      <c r="M316" s="147" t="str">
        <f>IF($C316="","",VLOOKUP($C316,'Tracking List'!$A$5:$AL$883,M$4,FALSE))</f>
        <v/>
      </c>
      <c r="N316" s="148" t="str">
        <f>IF($C316="","",IF(VLOOKUP($C316,'Tracking List'!$A$5:$AL$883,N$3,FALSE)&gt;0,"Y",VLOOKUP($C316,'Tracking List'!$A$5:$AL$883,N$4,FALSE)))</f>
        <v/>
      </c>
      <c r="O316" s="148" t="str">
        <f>IF($C316="","",IF(VLOOKUP($C316,'Tracking List'!$A$5:$AL$883,O$3,FALSE)&gt;0,"Y",VLOOKUP($C316,'Tracking List'!$A$5:$AL$883,O$4,FALSE)))</f>
        <v/>
      </c>
      <c r="P316" s="147" t="str">
        <f>IF($C316="","",IF(VLOOKUP($C316,'Tracking List'!$A$5:$AL$883,P$4,FALSE)&gt;0,"Y",""))</f>
        <v/>
      </c>
      <c r="Q316" s="149"/>
      <c r="R316" s="166" t="str">
        <f>IF($C316="","",VLOOKUP($C316,'Tracking List'!$A$5:$AL$883,R$4,FALSE))</f>
        <v/>
      </c>
    </row>
    <row r="317" spans="3:18">
      <c r="C317" s="146"/>
      <c r="D317" s="147" t="str">
        <f>IF($C317="","",VLOOKUP($C317,'Tracking List'!$A$5:$AL$883,D$4,FALSE))</f>
        <v/>
      </c>
      <c r="E317" s="147" t="str">
        <f>IF($C317="","",VLOOKUP($C317,'Tracking List'!$A$5:$AL$883,E$4,FALSE))</f>
        <v/>
      </c>
      <c r="F317" s="147" t="str">
        <f>IF($C317="","",VLOOKUP($C317,'Tracking List'!$A$5:$AL$883,F$4,FALSE))</f>
        <v/>
      </c>
      <c r="G317" s="147" t="str">
        <f>IF($C317="","",VLOOKUP($C317,'Tracking List'!$A$5:$AL$883,G$4,FALSE))</f>
        <v/>
      </c>
      <c r="H317" s="147" t="str">
        <f>IF($C317="","",VLOOKUP($C317,'Tracking List'!$A$5:$AL$883,H$4,FALSE))</f>
        <v/>
      </c>
      <c r="I317" s="147" t="str">
        <f>IF($C317="","",VLOOKUP($C317,'Tracking List'!$A$5:$AL$883,I$4,FALSE))</f>
        <v/>
      </c>
      <c r="J317" s="147" t="str">
        <f>IF($C317="","",VLOOKUP($C317,'Tracking List'!$A$5:$AL$883,J$4,FALSE))</f>
        <v/>
      </c>
      <c r="K317" s="147" t="str">
        <f>IF($C317="","",VLOOKUP($C317,'Tracking List'!$A$5:$AL$883,K$4,FALSE))</f>
        <v/>
      </c>
      <c r="L317" s="168" t="str">
        <f>IF($C317="","",VLOOKUP($C317,'Tracking List'!$A$5:$AL$883,L$4,FALSE))</f>
        <v/>
      </c>
      <c r="M317" s="147" t="str">
        <f>IF($C317="","",VLOOKUP($C317,'Tracking List'!$A$5:$AL$883,M$4,FALSE))</f>
        <v/>
      </c>
      <c r="N317" s="148" t="str">
        <f>IF($C317="","",IF(VLOOKUP($C317,'Tracking List'!$A$5:$AL$883,N$3,FALSE)&gt;0,"Y",VLOOKUP($C317,'Tracking List'!$A$5:$AL$883,N$4,FALSE)))</f>
        <v/>
      </c>
      <c r="O317" s="148" t="str">
        <f>IF($C317="","",IF(VLOOKUP($C317,'Tracking List'!$A$5:$AL$883,O$3,FALSE)&gt;0,"Y",VLOOKUP($C317,'Tracking List'!$A$5:$AL$883,O$4,FALSE)))</f>
        <v/>
      </c>
      <c r="P317" s="147" t="str">
        <f>IF($C317="","",IF(VLOOKUP($C317,'Tracking List'!$A$5:$AL$883,P$4,FALSE)&gt;0,"Y",""))</f>
        <v/>
      </c>
      <c r="Q317" s="149"/>
      <c r="R317" s="166" t="str">
        <f>IF($C317="","",VLOOKUP($C317,'Tracking List'!$A$5:$AL$883,R$4,FALSE))</f>
        <v/>
      </c>
    </row>
    <row r="318" spans="3:18">
      <c r="C318" s="146"/>
      <c r="D318" s="147" t="str">
        <f>IF($C318="","",VLOOKUP($C318,'Tracking List'!$A$5:$AL$883,D$4,FALSE))</f>
        <v/>
      </c>
      <c r="E318" s="147" t="str">
        <f>IF($C318="","",VLOOKUP($C318,'Tracking List'!$A$5:$AL$883,E$4,FALSE))</f>
        <v/>
      </c>
      <c r="F318" s="147" t="str">
        <f>IF($C318="","",VLOOKUP($C318,'Tracking List'!$A$5:$AL$883,F$4,FALSE))</f>
        <v/>
      </c>
      <c r="G318" s="147" t="str">
        <f>IF($C318="","",VLOOKUP($C318,'Tracking List'!$A$5:$AL$883,G$4,FALSE))</f>
        <v/>
      </c>
      <c r="H318" s="147" t="str">
        <f>IF($C318="","",VLOOKUP($C318,'Tracking List'!$A$5:$AL$883,H$4,FALSE))</f>
        <v/>
      </c>
      <c r="I318" s="147" t="str">
        <f>IF($C318="","",VLOOKUP($C318,'Tracking List'!$A$5:$AL$883,I$4,FALSE))</f>
        <v/>
      </c>
      <c r="J318" s="147" t="str">
        <f>IF($C318="","",VLOOKUP($C318,'Tracking List'!$A$5:$AL$883,J$4,FALSE))</f>
        <v/>
      </c>
      <c r="K318" s="147" t="str">
        <f>IF($C318="","",VLOOKUP($C318,'Tracking List'!$A$5:$AL$883,K$4,FALSE))</f>
        <v/>
      </c>
      <c r="L318" s="168" t="str">
        <f>IF($C318="","",VLOOKUP($C318,'Tracking List'!$A$5:$AL$883,L$4,FALSE))</f>
        <v/>
      </c>
      <c r="M318" s="147" t="str">
        <f>IF($C318="","",VLOOKUP($C318,'Tracking List'!$A$5:$AL$883,M$4,FALSE))</f>
        <v/>
      </c>
      <c r="N318" s="148" t="str">
        <f>IF($C318="","",IF(VLOOKUP($C318,'Tracking List'!$A$5:$AL$883,N$3,FALSE)&gt;0,"Y",VLOOKUP($C318,'Tracking List'!$A$5:$AL$883,N$4,FALSE)))</f>
        <v/>
      </c>
      <c r="O318" s="148" t="str">
        <f>IF($C318="","",IF(VLOOKUP($C318,'Tracking List'!$A$5:$AL$883,O$3,FALSE)&gt;0,"Y",VLOOKUP($C318,'Tracking List'!$A$5:$AL$883,O$4,FALSE)))</f>
        <v/>
      </c>
      <c r="P318" s="147" t="str">
        <f>IF($C318="","",IF(VLOOKUP($C318,'Tracking List'!$A$5:$AL$883,P$4,FALSE)&gt;0,"Y",""))</f>
        <v/>
      </c>
      <c r="Q318" s="149"/>
      <c r="R318" s="166" t="str">
        <f>IF($C318="","",VLOOKUP($C318,'Tracking List'!$A$5:$AL$883,R$4,FALSE))</f>
        <v/>
      </c>
    </row>
    <row r="319" spans="3:18">
      <c r="C319" s="146"/>
      <c r="D319" s="147" t="str">
        <f>IF($C319="","",VLOOKUP($C319,'Tracking List'!$A$5:$AL$883,D$4,FALSE))</f>
        <v/>
      </c>
      <c r="E319" s="147" t="str">
        <f>IF($C319="","",VLOOKUP($C319,'Tracking List'!$A$5:$AL$883,E$4,FALSE))</f>
        <v/>
      </c>
      <c r="F319" s="147" t="str">
        <f>IF($C319="","",VLOOKUP($C319,'Tracking List'!$A$5:$AL$883,F$4,FALSE))</f>
        <v/>
      </c>
      <c r="G319" s="147" t="str">
        <f>IF($C319="","",VLOOKUP($C319,'Tracking List'!$A$5:$AL$883,G$4,FALSE))</f>
        <v/>
      </c>
      <c r="H319" s="147" t="str">
        <f>IF($C319="","",VLOOKUP($C319,'Tracking List'!$A$5:$AL$883,H$4,FALSE))</f>
        <v/>
      </c>
      <c r="I319" s="147" t="str">
        <f>IF($C319="","",VLOOKUP($C319,'Tracking List'!$A$5:$AL$883,I$4,FALSE))</f>
        <v/>
      </c>
      <c r="J319" s="147" t="str">
        <f>IF($C319="","",VLOOKUP($C319,'Tracking List'!$A$5:$AL$883,J$4,FALSE))</f>
        <v/>
      </c>
      <c r="K319" s="147" t="str">
        <f>IF($C319="","",VLOOKUP($C319,'Tracking List'!$A$5:$AL$883,K$4,FALSE))</f>
        <v/>
      </c>
      <c r="L319" s="168" t="str">
        <f>IF($C319="","",VLOOKUP($C319,'Tracking List'!$A$5:$AL$883,L$4,FALSE))</f>
        <v/>
      </c>
      <c r="M319" s="147" t="str">
        <f>IF($C319="","",VLOOKUP($C319,'Tracking List'!$A$5:$AL$883,M$4,FALSE))</f>
        <v/>
      </c>
      <c r="N319" s="148" t="str">
        <f>IF($C319="","",IF(VLOOKUP($C319,'Tracking List'!$A$5:$AL$883,N$3,FALSE)&gt;0,"Y",VLOOKUP($C319,'Tracking List'!$A$5:$AL$883,N$4,FALSE)))</f>
        <v/>
      </c>
      <c r="O319" s="148" t="str">
        <f>IF($C319="","",IF(VLOOKUP($C319,'Tracking List'!$A$5:$AL$883,O$3,FALSE)&gt;0,"Y",VLOOKUP($C319,'Tracking List'!$A$5:$AL$883,O$4,FALSE)))</f>
        <v/>
      </c>
      <c r="P319" s="147" t="str">
        <f>IF($C319="","",IF(VLOOKUP($C319,'Tracking List'!$A$5:$AL$883,P$4,FALSE)&gt;0,"Y",""))</f>
        <v/>
      </c>
      <c r="Q319" s="149"/>
      <c r="R319" s="166" t="str">
        <f>IF($C319="","",VLOOKUP($C319,'Tracking List'!$A$5:$AL$883,R$4,FALSE))</f>
        <v/>
      </c>
    </row>
    <row r="320" spans="3:18">
      <c r="C320" s="146"/>
      <c r="D320" s="147" t="str">
        <f>IF($C320="","",VLOOKUP($C320,'Tracking List'!$A$5:$AL$883,D$4,FALSE))</f>
        <v/>
      </c>
      <c r="E320" s="147" t="str">
        <f>IF($C320="","",VLOOKUP($C320,'Tracking List'!$A$5:$AL$883,E$4,FALSE))</f>
        <v/>
      </c>
      <c r="F320" s="147" t="str">
        <f>IF($C320="","",VLOOKUP($C320,'Tracking List'!$A$5:$AL$883,F$4,FALSE))</f>
        <v/>
      </c>
      <c r="G320" s="147" t="str">
        <f>IF($C320="","",VLOOKUP($C320,'Tracking List'!$A$5:$AL$883,G$4,FALSE))</f>
        <v/>
      </c>
      <c r="H320" s="147" t="str">
        <f>IF($C320="","",VLOOKUP($C320,'Tracking List'!$A$5:$AL$883,H$4,FALSE))</f>
        <v/>
      </c>
      <c r="I320" s="147" t="str">
        <f>IF($C320="","",VLOOKUP($C320,'Tracking List'!$A$5:$AL$883,I$4,FALSE))</f>
        <v/>
      </c>
      <c r="J320" s="147" t="str">
        <f>IF($C320="","",VLOOKUP($C320,'Tracking List'!$A$5:$AL$883,J$4,FALSE))</f>
        <v/>
      </c>
      <c r="K320" s="147" t="str">
        <f>IF($C320="","",VLOOKUP($C320,'Tracking List'!$A$5:$AL$883,K$4,FALSE))</f>
        <v/>
      </c>
      <c r="L320" s="168" t="str">
        <f>IF($C320="","",VLOOKUP($C320,'Tracking List'!$A$5:$AL$883,L$4,FALSE))</f>
        <v/>
      </c>
      <c r="M320" s="147" t="str">
        <f>IF($C320="","",VLOOKUP($C320,'Tracking List'!$A$5:$AL$883,M$4,FALSE))</f>
        <v/>
      </c>
      <c r="N320" s="148" t="str">
        <f>IF($C320="","",IF(VLOOKUP($C320,'Tracking List'!$A$5:$AL$883,N$3,FALSE)&gt;0,"Y",VLOOKUP($C320,'Tracking List'!$A$5:$AL$883,N$4,FALSE)))</f>
        <v/>
      </c>
      <c r="O320" s="148" t="str">
        <f>IF($C320="","",IF(VLOOKUP($C320,'Tracking List'!$A$5:$AL$883,O$3,FALSE)&gt;0,"Y",VLOOKUP($C320,'Tracking List'!$A$5:$AL$883,O$4,FALSE)))</f>
        <v/>
      </c>
      <c r="P320" s="147" t="str">
        <f>IF($C320="","",IF(VLOOKUP($C320,'Tracking List'!$A$5:$AL$883,P$4,FALSE)&gt;0,"Y",""))</f>
        <v/>
      </c>
      <c r="Q320" s="149"/>
      <c r="R320" s="166" t="str">
        <f>IF($C320="","",VLOOKUP($C320,'Tracking List'!$A$5:$AL$883,R$4,FALSE))</f>
        <v/>
      </c>
    </row>
    <row r="321" spans="3:18">
      <c r="C321" s="146"/>
      <c r="D321" s="147" t="str">
        <f>IF($C321="","",VLOOKUP($C321,'Tracking List'!$A$5:$AL$883,D$4,FALSE))</f>
        <v/>
      </c>
      <c r="E321" s="147" t="str">
        <f>IF($C321="","",VLOOKUP($C321,'Tracking List'!$A$5:$AL$883,E$4,FALSE))</f>
        <v/>
      </c>
      <c r="F321" s="147" t="str">
        <f>IF($C321="","",VLOOKUP($C321,'Tracking List'!$A$5:$AL$883,F$4,FALSE))</f>
        <v/>
      </c>
      <c r="G321" s="147" t="str">
        <f>IF($C321="","",VLOOKUP($C321,'Tracking List'!$A$5:$AL$883,G$4,FALSE))</f>
        <v/>
      </c>
      <c r="H321" s="147" t="str">
        <f>IF($C321="","",VLOOKUP($C321,'Tracking List'!$A$5:$AL$883,H$4,FALSE))</f>
        <v/>
      </c>
      <c r="I321" s="147" t="str">
        <f>IF($C321="","",VLOOKUP($C321,'Tracking List'!$A$5:$AL$883,I$4,FALSE))</f>
        <v/>
      </c>
      <c r="J321" s="147" t="str">
        <f>IF($C321="","",VLOOKUP($C321,'Tracking List'!$A$5:$AL$883,J$4,FALSE))</f>
        <v/>
      </c>
      <c r="K321" s="147" t="str">
        <f>IF($C321="","",VLOOKUP($C321,'Tracking List'!$A$5:$AL$883,K$4,FALSE))</f>
        <v/>
      </c>
      <c r="L321" s="168" t="str">
        <f>IF($C321="","",VLOOKUP($C321,'Tracking List'!$A$5:$AL$883,L$4,FALSE))</f>
        <v/>
      </c>
      <c r="M321" s="147" t="str">
        <f>IF($C321="","",VLOOKUP($C321,'Tracking List'!$A$5:$AL$883,M$4,FALSE))</f>
        <v/>
      </c>
      <c r="N321" s="148" t="str">
        <f>IF($C321="","",IF(VLOOKUP($C321,'Tracking List'!$A$5:$AL$883,N$3,FALSE)&gt;0,"Y",VLOOKUP($C321,'Tracking List'!$A$5:$AL$883,N$4,FALSE)))</f>
        <v/>
      </c>
      <c r="O321" s="148" t="str">
        <f>IF($C321="","",IF(VLOOKUP($C321,'Tracking List'!$A$5:$AL$883,O$3,FALSE)&gt;0,"Y",VLOOKUP($C321,'Tracking List'!$A$5:$AL$883,O$4,FALSE)))</f>
        <v/>
      </c>
      <c r="P321" s="147" t="str">
        <f>IF($C321="","",IF(VLOOKUP($C321,'Tracking List'!$A$5:$AL$883,P$4,FALSE)&gt;0,"Y",""))</f>
        <v/>
      </c>
      <c r="Q321" s="149"/>
      <c r="R321" s="166" t="str">
        <f>IF($C321="","",VLOOKUP($C321,'Tracking List'!$A$5:$AL$883,R$4,FALSE))</f>
        <v/>
      </c>
    </row>
    <row r="322" spans="3:18">
      <c r="C322" s="146"/>
      <c r="D322" s="147" t="str">
        <f>IF($C322="","",VLOOKUP($C322,'Tracking List'!$A$5:$AL$883,D$4,FALSE))</f>
        <v/>
      </c>
      <c r="E322" s="147" t="str">
        <f>IF($C322="","",VLOOKUP($C322,'Tracking List'!$A$5:$AL$883,E$4,FALSE))</f>
        <v/>
      </c>
      <c r="F322" s="147" t="str">
        <f>IF($C322="","",VLOOKUP($C322,'Tracking List'!$A$5:$AL$883,F$4,FALSE))</f>
        <v/>
      </c>
      <c r="G322" s="147" t="str">
        <f>IF($C322="","",VLOOKUP($C322,'Tracking List'!$A$5:$AL$883,G$4,FALSE))</f>
        <v/>
      </c>
      <c r="H322" s="147" t="str">
        <f>IF($C322="","",VLOOKUP($C322,'Tracking List'!$A$5:$AL$883,H$4,FALSE))</f>
        <v/>
      </c>
      <c r="I322" s="147" t="str">
        <f>IF($C322="","",VLOOKUP($C322,'Tracking List'!$A$5:$AL$883,I$4,FALSE))</f>
        <v/>
      </c>
      <c r="J322" s="147" t="str">
        <f>IF($C322="","",VLOOKUP($C322,'Tracking List'!$A$5:$AL$883,J$4,FALSE))</f>
        <v/>
      </c>
      <c r="K322" s="147" t="str">
        <f>IF($C322="","",VLOOKUP($C322,'Tracking List'!$A$5:$AL$883,K$4,FALSE))</f>
        <v/>
      </c>
      <c r="L322" s="168" t="str">
        <f>IF($C322="","",VLOOKUP($C322,'Tracking List'!$A$5:$AL$883,L$4,FALSE))</f>
        <v/>
      </c>
      <c r="M322" s="147" t="str">
        <f>IF($C322="","",VLOOKUP($C322,'Tracking List'!$A$5:$AL$883,M$4,FALSE))</f>
        <v/>
      </c>
      <c r="N322" s="148" t="str">
        <f>IF($C322="","",IF(VLOOKUP($C322,'Tracking List'!$A$5:$AL$883,N$3,FALSE)&gt;0,"Y",VLOOKUP($C322,'Tracking List'!$A$5:$AL$883,N$4,FALSE)))</f>
        <v/>
      </c>
      <c r="O322" s="148" t="str">
        <f>IF($C322="","",IF(VLOOKUP($C322,'Tracking List'!$A$5:$AL$883,O$3,FALSE)&gt;0,"Y",VLOOKUP($C322,'Tracking List'!$A$5:$AL$883,O$4,FALSE)))</f>
        <v/>
      </c>
      <c r="P322" s="147" t="str">
        <f>IF($C322="","",IF(VLOOKUP($C322,'Tracking List'!$A$5:$AL$883,P$4,FALSE)&gt;0,"Y",""))</f>
        <v/>
      </c>
      <c r="Q322" s="149"/>
      <c r="R322" s="166" t="str">
        <f>IF($C322="","",VLOOKUP($C322,'Tracking List'!$A$5:$AL$883,R$4,FALSE))</f>
        <v/>
      </c>
    </row>
    <row r="323" spans="3:18">
      <c r="C323" s="146"/>
      <c r="D323" s="147" t="str">
        <f>IF($C323="","",VLOOKUP($C323,'Tracking List'!$A$5:$AL$883,D$4,FALSE))</f>
        <v/>
      </c>
      <c r="E323" s="147" t="str">
        <f>IF($C323="","",VLOOKUP($C323,'Tracking List'!$A$5:$AL$883,E$4,FALSE))</f>
        <v/>
      </c>
      <c r="F323" s="147" t="str">
        <f>IF($C323="","",VLOOKUP($C323,'Tracking List'!$A$5:$AL$883,F$4,FALSE))</f>
        <v/>
      </c>
      <c r="G323" s="147" t="str">
        <f>IF($C323="","",VLOOKUP($C323,'Tracking List'!$A$5:$AL$883,G$4,FALSE))</f>
        <v/>
      </c>
      <c r="H323" s="147" t="str">
        <f>IF($C323="","",VLOOKUP($C323,'Tracking List'!$A$5:$AL$883,H$4,FALSE))</f>
        <v/>
      </c>
      <c r="I323" s="147" t="str">
        <f>IF($C323="","",VLOOKUP($C323,'Tracking List'!$A$5:$AL$883,I$4,FALSE))</f>
        <v/>
      </c>
      <c r="J323" s="147" t="str">
        <f>IF($C323="","",VLOOKUP($C323,'Tracking List'!$A$5:$AL$883,J$4,FALSE))</f>
        <v/>
      </c>
      <c r="K323" s="147" t="str">
        <f>IF($C323="","",VLOOKUP($C323,'Tracking List'!$A$5:$AL$883,K$4,FALSE))</f>
        <v/>
      </c>
      <c r="L323" s="168" t="str">
        <f>IF($C323="","",VLOOKUP($C323,'Tracking List'!$A$5:$AL$883,L$4,FALSE))</f>
        <v/>
      </c>
      <c r="M323" s="147" t="str">
        <f>IF($C323="","",VLOOKUP($C323,'Tracking List'!$A$5:$AL$883,M$4,FALSE))</f>
        <v/>
      </c>
      <c r="N323" s="148" t="str">
        <f>IF($C323="","",IF(VLOOKUP($C323,'Tracking List'!$A$5:$AL$883,N$3,FALSE)&gt;0,"Y",VLOOKUP($C323,'Tracking List'!$A$5:$AL$883,N$4,FALSE)))</f>
        <v/>
      </c>
      <c r="O323" s="148" t="str">
        <f>IF($C323="","",IF(VLOOKUP($C323,'Tracking List'!$A$5:$AL$883,O$3,FALSE)&gt;0,"Y",VLOOKUP($C323,'Tracking List'!$A$5:$AL$883,O$4,FALSE)))</f>
        <v/>
      </c>
      <c r="P323" s="147" t="str">
        <f>IF($C323="","",IF(VLOOKUP($C323,'Tracking List'!$A$5:$AL$883,P$4,FALSE)&gt;0,"Y",""))</f>
        <v/>
      </c>
      <c r="Q323" s="149"/>
      <c r="R323" s="166" t="str">
        <f>IF($C323="","",VLOOKUP($C323,'Tracking List'!$A$5:$AL$883,R$4,FALSE))</f>
        <v/>
      </c>
    </row>
    <row r="324" spans="3:18">
      <c r="C324" s="146"/>
      <c r="D324" s="147" t="str">
        <f>IF($C324="","",VLOOKUP($C324,'Tracking List'!$A$5:$AL$883,D$4,FALSE))</f>
        <v/>
      </c>
      <c r="E324" s="147" t="str">
        <f>IF($C324="","",VLOOKUP($C324,'Tracking List'!$A$5:$AL$883,E$4,FALSE))</f>
        <v/>
      </c>
      <c r="F324" s="147" t="str">
        <f>IF($C324="","",VLOOKUP($C324,'Tracking List'!$A$5:$AL$883,F$4,FALSE))</f>
        <v/>
      </c>
      <c r="G324" s="147" t="str">
        <f>IF($C324="","",VLOOKUP($C324,'Tracking List'!$A$5:$AL$883,G$4,FALSE))</f>
        <v/>
      </c>
      <c r="H324" s="147" t="str">
        <f>IF($C324="","",VLOOKUP($C324,'Tracking List'!$A$5:$AL$883,H$4,FALSE))</f>
        <v/>
      </c>
      <c r="I324" s="147" t="str">
        <f>IF($C324="","",VLOOKUP($C324,'Tracking List'!$A$5:$AL$883,I$4,FALSE))</f>
        <v/>
      </c>
      <c r="J324" s="147" t="str">
        <f>IF($C324="","",VLOOKUP($C324,'Tracking List'!$A$5:$AL$883,J$4,FALSE))</f>
        <v/>
      </c>
      <c r="K324" s="147" t="str">
        <f>IF($C324="","",VLOOKUP($C324,'Tracking List'!$A$5:$AL$883,K$4,FALSE))</f>
        <v/>
      </c>
      <c r="L324" s="168" t="str">
        <f>IF($C324="","",VLOOKUP($C324,'Tracking List'!$A$5:$AL$883,L$4,FALSE))</f>
        <v/>
      </c>
      <c r="M324" s="147" t="str">
        <f>IF($C324="","",VLOOKUP($C324,'Tracking List'!$A$5:$AL$883,M$4,FALSE))</f>
        <v/>
      </c>
      <c r="N324" s="148" t="str">
        <f>IF($C324="","",IF(VLOOKUP($C324,'Tracking List'!$A$5:$AL$883,N$3,FALSE)&gt;0,"Y",VLOOKUP($C324,'Tracking List'!$A$5:$AL$883,N$4,FALSE)))</f>
        <v/>
      </c>
      <c r="O324" s="148" t="str">
        <f>IF($C324="","",IF(VLOOKUP($C324,'Tracking List'!$A$5:$AL$883,O$3,FALSE)&gt;0,"Y",VLOOKUP($C324,'Tracking List'!$A$5:$AL$883,O$4,FALSE)))</f>
        <v/>
      </c>
      <c r="P324" s="147" t="str">
        <f>IF($C324="","",IF(VLOOKUP($C324,'Tracking List'!$A$5:$AL$883,P$4,FALSE)&gt;0,"Y",""))</f>
        <v/>
      </c>
      <c r="Q324" s="149"/>
      <c r="R324" s="166" t="str">
        <f>IF($C324="","",VLOOKUP($C324,'Tracking List'!$A$5:$AL$883,R$4,FALSE))</f>
        <v/>
      </c>
    </row>
    <row r="325" spans="3:18">
      <c r="C325" s="146"/>
      <c r="D325" s="147" t="str">
        <f>IF($C325="","",VLOOKUP($C325,'Tracking List'!$A$5:$AL$883,D$4,FALSE))</f>
        <v/>
      </c>
      <c r="E325" s="147" t="str">
        <f>IF($C325="","",VLOOKUP($C325,'Tracking List'!$A$5:$AL$883,E$4,FALSE))</f>
        <v/>
      </c>
      <c r="F325" s="147" t="str">
        <f>IF($C325="","",VLOOKUP($C325,'Tracking List'!$A$5:$AL$883,F$4,FALSE))</f>
        <v/>
      </c>
      <c r="G325" s="147" t="str">
        <f>IF($C325="","",VLOOKUP($C325,'Tracking List'!$A$5:$AL$883,G$4,FALSE))</f>
        <v/>
      </c>
      <c r="H325" s="147" t="str">
        <f>IF($C325="","",VLOOKUP($C325,'Tracking List'!$A$5:$AL$883,H$4,FALSE))</f>
        <v/>
      </c>
      <c r="I325" s="147" t="str">
        <f>IF($C325="","",VLOOKUP($C325,'Tracking List'!$A$5:$AL$883,I$4,FALSE))</f>
        <v/>
      </c>
      <c r="J325" s="147" t="str">
        <f>IF($C325="","",VLOOKUP($C325,'Tracking List'!$A$5:$AL$883,J$4,FALSE))</f>
        <v/>
      </c>
      <c r="K325" s="147" t="str">
        <f>IF($C325="","",VLOOKUP($C325,'Tracking List'!$A$5:$AL$883,K$4,FALSE))</f>
        <v/>
      </c>
      <c r="L325" s="168" t="str">
        <f>IF($C325="","",VLOOKUP($C325,'Tracking List'!$A$5:$AL$883,L$4,FALSE))</f>
        <v/>
      </c>
      <c r="M325" s="147" t="str">
        <f>IF($C325="","",VLOOKUP($C325,'Tracking List'!$A$5:$AL$883,M$4,FALSE))</f>
        <v/>
      </c>
      <c r="N325" s="148" t="str">
        <f>IF($C325="","",IF(VLOOKUP($C325,'Tracking List'!$A$5:$AL$883,N$3,FALSE)&gt;0,"Y",VLOOKUP($C325,'Tracking List'!$A$5:$AL$883,N$4,FALSE)))</f>
        <v/>
      </c>
      <c r="O325" s="148" t="str">
        <f>IF($C325="","",IF(VLOOKUP($C325,'Tracking List'!$A$5:$AL$883,O$3,FALSE)&gt;0,"Y",VLOOKUP($C325,'Tracking List'!$A$5:$AL$883,O$4,FALSE)))</f>
        <v/>
      </c>
      <c r="P325" s="147" t="str">
        <f>IF($C325="","",IF(VLOOKUP($C325,'Tracking List'!$A$5:$AL$883,P$4,FALSE)&gt;0,"Y",""))</f>
        <v/>
      </c>
      <c r="Q325" s="149"/>
      <c r="R325" s="166" t="str">
        <f>IF($C325="","",VLOOKUP($C325,'Tracking List'!$A$5:$AL$883,R$4,FALSE))</f>
        <v/>
      </c>
    </row>
    <row r="326" spans="3:18">
      <c r="C326" s="146"/>
      <c r="D326" s="147" t="str">
        <f>IF($C326="","",VLOOKUP($C326,'Tracking List'!$A$5:$AL$883,D$4,FALSE))</f>
        <v/>
      </c>
      <c r="E326" s="147" t="str">
        <f>IF($C326="","",VLOOKUP($C326,'Tracking List'!$A$5:$AL$883,E$4,FALSE))</f>
        <v/>
      </c>
      <c r="F326" s="147" t="str">
        <f>IF($C326="","",VLOOKUP($C326,'Tracking List'!$A$5:$AL$883,F$4,FALSE))</f>
        <v/>
      </c>
      <c r="G326" s="147" t="str">
        <f>IF($C326="","",VLOOKUP($C326,'Tracking List'!$A$5:$AL$883,G$4,FALSE))</f>
        <v/>
      </c>
      <c r="H326" s="147" t="str">
        <f>IF($C326="","",VLOOKUP($C326,'Tracking List'!$A$5:$AL$883,H$4,FALSE))</f>
        <v/>
      </c>
      <c r="I326" s="147" t="str">
        <f>IF($C326="","",VLOOKUP($C326,'Tracking List'!$A$5:$AL$883,I$4,FALSE))</f>
        <v/>
      </c>
      <c r="J326" s="147" t="str">
        <f>IF($C326="","",VLOOKUP($C326,'Tracking List'!$A$5:$AL$883,J$4,FALSE))</f>
        <v/>
      </c>
      <c r="K326" s="147" t="str">
        <f>IF($C326="","",VLOOKUP($C326,'Tracking List'!$A$5:$AL$883,K$4,FALSE))</f>
        <v/>
      </c>
      <c r="L326" s="168" t="str">
        <f>IF($C326="","",VLOOKUP($C326,'Tracking List'!$A$5:$AL$883,L$4,FALSE))</f>
        <v/>
      </c>
      <c r="M326" s="147" t="str">
        <f>IF($C326="","",VLOOKUP($C326,'Tracking List'!$A$5:$AL$883,M$4,FALSE))</f>
        <v/>
      </c>
      <c r="N326" s="148" t="str">
        <f>IF($C326="","",IF(VLOOKUP($C326,'Tracking List'!$A$5:$AL$883,N$3,FALSE)&gt;0,"Y",VLOOKUP($C326,'Tracking List'!$A$5:$AL$883,N$4,FALSE)))</f>
        <v/>
      </c>
      <c r="O326" s="148" t="str">
        <f>IF($C326="","",IF(VLOOKUP($C326,'Tracking List'!$A$5:$AL$883,O$3,FALSE)&gt;0,"Y",VLOOKUP($C326,'Tracking List'!$A$5:$AL$883,O$4,FALSE)))</f>
        <v/>
      </c>
      <c r="P326" s="147" t="str">
        <f>IF($C326="","",IF(VLOOKUP($C326,'Tracking List'!$A$5:$AL$883,P$4,FALSE)&gt;0,"Y",""))</f>
        <v/>
      </c>
      <c r="Q326" s="149"/>
      <c r="R326" s="166" t="str">
        <f>IF($C326="","",VLOOKUP($C326,'Tracking List'!$A$5:$AL$883,R$4,FALSE))</f>
        <v/>
      </c>
    </row>
    <row r="327" spans="3:18">
      <c r="C327" s="146"/>
      <c r="D327" s="147" t="str">
        <f>IF($C327="","",VLOOKUP($C327,'Tracking List'!$A$5:$AL$883,D$4,FALSE))</f>
        <v/>
      </c>
      <c r="E327" s="147" t="str">
        <f>IF($C327="","",VLOOKUP($C327,'Tracking List'!$A$5:$AL$883,E$4,FALSE))</f>
        <v/>
      </c>
      <c r="F327" s="147" t="str">
        <f>IF($C327="","",VLOOKUP($C327,'Tracking List'!$A$5:$AL$883,F$4,FALSE))</f>
        <v/>
      </c>
      <c r="G327" s="147" t="str">
        <f>IF($C327="","",VLOOKUP($C327,'Tracking List'!$A$5:$AL$883,G$4,FALSE))</f>
        <v/>
      </c>
      <c r="H327" s="147" t="str">
        <f>IF($C327="","",VLOOKUP($C327,'Tracking List'!$A$5:$AL$883,H$4,FALSE))</f>
        <v/>
      </c>
      <c r="I327" s="147" t="str">
        <f>IF($C327="","",VLOOKUP($C327,'Tracking List'!$A$5:$AL$883,I$4,FALSE))</f>
        <v/>
      </c>
      <c r="J327" s="147" t="str">
        <f>IF($C327="","",VLOOKUP($C327,'Tracking List'!$A$5:$AL$883,J$4,FALSE))</f>
        <v/>
      </c>
      <c r="K327" s="147" t="str">
        <f>IF($C327="","",VLOOKUP($C327,'Tracking List'!$A$5:$AL$883,K$4,FALSE))</f>
        <v/>
      </c>
      <c r="L327" s="168" t="str">
        <f>IF($C327="","",VLOOKUP($C327,'Tracking List'!$A$5:$AL$883,L$4,FALSE))</f>
        <v/>
      </c>
      <c r="M327" s="147" t="str">
        <f>IF($C327="","",VLOOKUP($C327,'Tracking List'!$A$5:$AL$883,M$4,FALSE))</f>
        <v/>
      </c>
      <c r="N327" s="148" t="str">
        <f>IF($C327="","",IF(VLOOKUP($C327,'Tracking List'!$A$5:$AL$883,N$3,FALSE)&gt;0,"Y",VLOOKUP($C327,'Tracking List'!$A$5:$AL$883,N$4,FALSE)))</f>
        <v/>
      </c>
      <c r="O327" s="148" t="str">
        <f>IF($C327="","",IF(VLOOKUP($C327,'Tracking List'!$A$5:$AL$883,O$3,FALSE)&gt;0,"Y",VLOOKUP($C327,'Tracking List'!$A$5:$AL$883,O$4,FALSE)))</f>
        <v/>
      </c>
      <c r="P327" s="147" t="str">
        <f>IF($C327="","",IF(VLOOKUP($C327,'Tracking List'!$A$5:$AL$883,P$4,FALSE)&gt;0,"Y",""))</f>
        <v/>
      </c>
      <c r="Q327" s="149"/>
      <c r="R327" s="166" t="str">
        <f>IF($C327="","",VLOOKUP($C327,'Tracking List'!$A$5:$AL$883,R$4,FALSE))</f>
        <v/>
      </c>
    </row>
    <row r="328" spans="3:18">
      <c r="C328" s="146"/>
      <c r="D328" s="147" t="str">
        <f>IF($C328="","",VLOOKUP($C328,'Tracking List'!$A$5:$AL$883,D$4,FALSE))</f>
        <v/>
      </c>
      <c r="E328" s="147" t="str">
        <f>IF($C328="","",VLOOKUP($C328,'Tracking List'!$A$5:$AL$883,E$4,FALSE))</f>
        <v/>
      </c>
      <c r="F328" s="147" t="str">
        <f>IF($C328="","",VLOOKUP($C328,'Tracking List'!$A$5:$AL$883,F$4,FALSE))</f>
        <v/>
      </c>
      <c r="G328" s="147" t="str">
        <f>IF($C328="","",VLOOKUP($C328,'Tracking List'!$A$5:$AL$883,G$4,FALSE))</f>
        <v/>
      </c>
      <c r="H328" s="147" t="str">
        <f>IF($C328="","",VLOOKUP($C328,'Tracking List'!$A$5:$AL$883,H$4,FALSE))</f>
        <v/>
      </c>
      <c r="I328" s="147" t="str">
        <f>IF($C328="","",VLOOKUP($C328,'Tracking List'!$A$5:$AL$883,I$4,FALSE))</f>
        <v/>
      </c>
      <c r="J328" s="147" t="str">
        <f>IF($C328="","",VLOOKUP($C328,'Tracking List'!$A$5:$AL$883,J$4,FALSE))</f>
        <v/>
      </c>
      <c r="K328" s="147" t="str">
        <f>IF($C328="","",VLOOKUP($C328,'Tracking List'!$A$5:$AL$883,K$4,FALSE))</f>
        <v/>
      </c>
      <c r="L328" s="168" t="str">
        <f>IF($C328="","",VLOOKUP($C328,'Tracking List'!$A$5:$AL$883,L$4,FALSE))</f>
        <v/>
      </c>
      <c r="M328" s="147" t="str">
        <f>IF($C328="","",VLOOKUP($C328,'Tracking List'!$A$5:$AL$883,M$4,FALSE))</f>
        <v/>
      </c>
      <c r="N328" s="148" t="str">
        <f>IF($C328="","",IF(VLOOKUP($C328,'Tracking List'!$A$5:$AL$883,N$3,FALSE)&gt;0,"Y",VLOOKUP($C328,'Tracking List'!$A$5:$AL$883,N$4,FALSE)))</f>
        <v/>
      </c>
      <c r="O328" s="148" t="str">
        <f>IF($C328="","",IF(VLOOKUP($C328,'Tracking List'!$A$5:$AL$883,O$3,FALSE)&gt;0,"Y",VLOOKUP($C328,'Tracking List'!$A$5:$AL$883,O$4,FALSE)))</f>
        <v/>
      </c>
      <c r="P328" s="147" t="str">
        <f>IF($C328="","",IF(VLOOKUP($C328,'Tracking List'!$A$5:$AL$883,P$4,FALSE)&gt;0,"Y",""))</f>
        <v/>
      </c>
      <c r="Q328" s="149"/>
      <c r="R328" s="166" t="str">
        <f>IF($C328="","",VLOOKUP($C328,'Tracking List'!$A$5:$AL$883,R$4,FALSE))</f>
        <v/>
      </c>
    </row>
    <row r="329" spans="3:18">
      <c r="C329" s="146"/>
      <c r="D329" s="147" t="str">
        <f>IF($C329="","",VLOOKUP($C329,'Tracking List'!$A$5:$AL$883,D$4,FALSE))</f>
        <v/>
      </c>
      <c r="E329" s="147" t="str">
        <f>IF($C329="","",VLOOKUP($C329,'Tracking List'!$A$5:$AL$883,E$4,FALSE))</f>
        <v/>
      </c>
      <c r="F329" s="147" t="str">
        <f>IF($C329="","",VLOOKUP($C329,'Tracking List'!$A$5:$AL$883,F$4,FALSE))</f>
        <v/>
      </c>
      <c r="G329" s="147" t="str">
        <f>IF($C329="","",VLOOKUP($C329,'Tracking List'!$A$5:$AL$883,G$4,FALSE))</f>
        <v/>
      </c>
      <c r="H329" s="147" t="str">
        <f>IF($C329="","",VLOOKUP($C329,'Tracking List'!$A$5:$AL$883,H$4,FALSE))</f>
        <v/>
      </c>
      <c r="I329" s="147" t="str">
        <f>IF($C329="","",VLOOKUP($C329,'Tracking List'!$A$5:$AL$883,I$4,FALSE))</f>
        <v/>
      </c>
      <c r="J329" s="147" t="str">
        <f>IF($C329="","",VLOOKUP($C329,'Tracking List'!$A$5:$AL$883,J$4,FALSE))</f>
        <v/>
      </c>
      <c r="K329" s="147" t="str">
        <f>IF($C329="","",VLOOKUP($C329,'Tracking List'!$A$5:$AL$883,K$4,FALSE))</f>
        <v/>
      </c>
      <c r="L329" s="168" t="str">
        <f>IF($C329="","",VLOOKUP($C329,'Tracking List'!$A$5:$AL$883,L$4,FALSE))</f>
        <v/>
      </c>
      <c r="M329" s="147" t="str">
        <f>IF($C329="","",VLOOKUP($C329,'Tracking List'!$A$5:$AL$883,M$4,FALSE))</f>
        <v/>
      </c>
      <c r="N329" s="148" t="str">
        <f>IF($C329="","",IF(VLOOKUP($C329,'Tracking List'!$A$5:$AL$883,N$3,FALSE)&gt;0,"Y",VLOOKUP($C329,'Tracking List'!$A$5:$AL$883,N$4,FALSE)))</f>
        <v/>
      </c>
      <c r="O329" s="148" t="str">
        <f>IF($C329="","",IF(VLOOKUP($C329,'Tracking List'!$A$5:$AL$883,O$3,FALSE)&gt;0,"Y",VLOOKUP($C329,'Tracking List'!$A$5:$AL$883,O$4,FALSE)))</f>
        <v/>
      </c>
      <c r="P329" s="147" t="str">
        <f>IF($C329="","",IF(VLOOKUP($C329,'Tracking List'!$A$5:$AL$883,P$4,FALSE)&gt;0,"Y",""))</f>
        <v/>
      </c>
      <c r="Q329" s="149"/>
      <c r="R329" s="166" t="str">
        <f>IF($C329="","",VLOOKUP($C329,'Tracking List'!$A$5:$AL$883,R$4,FALSE))</f>
        <v/>
      </c>
    </row>
    <row r="330" spans="3:18">
      <c r="C330" s="146"/>
      <c r="D330" s="147" t="str">
        <f>IF($C330="","",VLOOKUP($C330,'Tracking List'!$A$5:$AL$883,D$4,FALSE))</f>
        <v/>
      </c>
      <c r="E330" s="147" t="str">
        <f>IF($C330="","",VLOOKUP($C330,'Tracking List'!$A$5:$AL$883,E$4,FALSE))</f>
        <v/>
      </c>
      <c r="F330" s="147" t="str">
        <f>IF($C330="","",VLOOKUP($C330,'Tracking List'!$A$5:$AL$883,F$4,FALSE))</f>
        <v/>
      </c>
      <c r="G330" s="147" t="str">
        <f>IF($C330="","",VLOOKUP($C330,'Tracking List'!$A$5:$AL$883,G$4,FALSE))</f>
        <v/>
      </c>
      <c r="H330" s="147" t="str">
        <f>IF($C330="","",VLOOKUP($C330,'Tracking List'!$A$5:$AL$883,H$4,FALSE))</f>
        <v/>
      </c>
      <c r="I330" s="147" t="str">
        <f>IF($C330="","",VLOOKUP($C330,'Tracking List'!$A$5:$AL$883,I$4,FALSE))</f>
        <v/>
      </c>
      <c r="J330" s="147" t="str">
        <f>IF($C330="","",VLOOKUP($C330,'Tracking List'!$A$5:$AL$883,J$4,FALSE))</f>
        <v/>
      </c>
      <c r="K330" s="147" t="str">
        <f>IF($C330="","",VLOOKUP($C330,'Tracking List'!$A$5:$AL$883,K$4,FALSE))</f>
        <v/>
      </c>
      <c r="L330" s="168" t="str">
        <f>IF($C330="","",VLOOKUP($C330,'Tracking List'!$A$5:$AL$883,L$4,FALSE))</f>
        <v/>
      </c>
      <c r="M330" s="147" t="str">
        <f>IF($C330="","",VLOOKUP($C330,'Tracking List'!$A$5:$AL$883,M$4,FALSE))</f>
        <v/>
      </c>
      <c r="N330" s="148" t="str">
        <f>IF($C330="","",IF(VLOOKUP($C330,'Tracking List'!$A$5:$AL$883,N$3,FALSE)&gt;0,"Y",VLOOKUP($C330,'Tracking List'!$A$5:$AL$883,N$4,FALSE)))</f>
        <v/>
      </c>
      <c r="O330" s="148" t="str">
        <f>IF($C330="","",IF(VLOOKUP($C330,'Tracking List'!$A$5:$AL$883,O$3,FALSE)&gt;0,"Y",VLOOKUP($C330,'Tracking List'!$A$5:$AL$883,O$4,FALSE)))</f>
        <v/>
      </c>
      <c r="P330" s="147" t="str">
        <f>IF($C330="","",IF(VLOOKUP($C330,'Tracking List'!$A$5:$AL$883,P$4,FALSE)&gt;0,"Y",""))</f>
        <v/>
      </c>
      <c r="Q330" s="149"/>
      <c r="R330" s="166" t="str">
        <f>IF($C330="","",VLOOKUP($C330,'Tracking List'!$A$5:$AL$883,R$4,FALSE))</f>
        <v/>
      </c>
    </row>
    <row r="331" spans="3:18">
      <c r="C331" s="146"/>
      <c r="D331" s="147" t="str">
        <f>IF($C331="","",VLOOKUP($C331,'Tracking List'!$A$5:$AL$883,D$4,FALSE))</f>
        <v/>
      </c>
      <c r="E331" s="147" t="str">
        <f>IF($C331="","",VLOOKUP($C331,'Tracking List'!$A$5:$AL$883,E$4,FALSE))</f>
        <v/>
      </c>
      <c r="F331" s="147" t="str">
        <f>IF($C331="","",VLOOKUP($C331,'Tracking List'!$A$5:$AL$883,F$4,FALSE))</f>
        <v/>
      </c>
      <c r="G331" s="147" t="str">
        <f>IF($C331="","",VLOOKUP($C331,'Tracking List'!$A$5:$AL$883,G$4,FALSE))</f>
        <v/>
      </c>
      <c r="H331" s="147" t="str">
        <f>IF($C331="","",VLOOKUP($C331,'Tracking List'!$A$5:$AL$883,H$4,FALSE))</f>
        <v/>
      </c>
      <c r="I331" s="147" t="str">
        <f>IF($C331="","",VLOOKUP($C331,'Tracking List'!$A$5:$AL$883,I$4,FALSE))</f>
        <v/>
      </c>
      <c r="J331" s="147" t="str">
        <f>IF($C331="","",VLOOKUP($C331,'Tracking List'!$A$5:$AL$883,J$4,FALSE))</f>
        <v/>
      </c>
      <c r="K331" s="147" t="str">
        <f>IF($C331="","",VLOOKUP($C331,'Tracking List'!$A$5:$AL$883,K$4,FALSE))</f>
        <v/>
      </c>
      <c r="L331" s="168" t="str">
        <f>IF($C331="","",VLOOKUP($C331,'Tracking List'!$A$5:$AL$883,L$4,FALSE))</f>
        <v/>
      </c>
      <c r="M331" s="147" t="str">
        <f>IF($C331="","",VLOOKUP($C331,'Tracking List'!$A$5:$AL$883,M$4,FALSE))</f>
        <v/>
      </c>
      <c r="N331" s="148" t="str">
        <f>IF($C331="","",IF(VLOOKUP($C331,'Tracking List'!$A$5:$AL$883,N$3,FALSE)&gt;0,"Y",VLOOKUP($C331,'Tracking List'!$A$5:$AL$883,N$4,FALSE)))</f>
        <v/>
      </c>
      <c r="O331" s="148" t="str">
        <f>IF($C331="","",IF(VLOOKUP($C331,'Tracking List'!$A$5:$AL$883,O$3,FALSE)&gt;0,"Y",VLOOKUP($C331,'Tracking List'!$A$5:$AL$883,O$4,FALSE)))</f>
        <v/>
      </c>
      <c r="P331" s="147" t="str">
        <f>IF($C331="","",IF(VLOOKUP($C331,'Tracking List'!$A$5:$AL$883,P$4,FALSE)&gt;0,"Y",""))</f>
        <v/>
      </c>
      <c r="Q331" s="149"/>
      <c r="R331" s="166" t="str">
        <f>IF($C331="","",VLOOKUP($C331,'Tracking List'!$A$5:$AL$883,R$4,FALSE))</f>
        <v/>
      </c>
    </row>
    <row r="332" spans="3:18">
      <c r="C332" s="146"/>
      <c r="D332" s="147" t="str">
        <f>IF($C332="","",VLOOKUP($C332,'Tracking List'!$A$5:$AL$883,D$4,FALSE))</f>
        <v/>
      </c>
      <c r="E332" s="147" t="str">
        <f>IF($C332="","",VLOOKUP($C332,'Tracking List'!$A$5:$AL$883,E$4,FALSE))</f>
        <v/>
      </c>
      <c r="F332" s="147" t="str">
        <f>IF($C332="","",VLOOKUP($C332,'Tracking List'!$A$5:$AL$883,F$4,FALSE))</f>
        <v/>
      </c>
      <c r="G332" s="147" t="str">
        <f>IF($C332="","",VLOOKUP($C332,'Tracking List'!$A$5:$AL$883,G$4,FALSE))</f>
        <v/>
      </c>
      <c r="H332" s="147" t="str">
        <f>IF($C332="","",VLOOKUP($C332,'Tracking List'!$A$5:$AL$883,H$4,FALSE))</f>
        <v/>
      </c>
      <c r="I332" s="147" t="str">
        <f>IF($C332="","",VLOOKUP($C332,'Tracking List'!$A$5:$AL$883,I$4,FALSE))</f>
        <v/>
      </c>
      <c r="J332" s="147" t="str">
        <f>IF($C332="","",VLOOKUP($C332,'Tracking List'!$A$5:$AL$883,J$4,FALSE))</f>
        <v/>
      </c>
      <c r="K332" s="147" t="str">
        <f>IF($C332="","",VLOOKUP($C332,'Tracking List'!$A$5:$AL$883,K$4,FALSE))</f>
        <v/>
      </c>
      <c r="L332" s="168" t="str">
        <f>IF($C332="","",VLOOKUP($C332,'Tracking List'!$A$5:$AL$883,L$4,FALSE))</f>
        <v/>
      </c>
      <c r="M332" s="147" t="str">
        <f>IF($C332="","",VLOOKUP($C332,'Tracking List'!$A$5:$AL$883,M$4,FALSE))</f>
        <v/>
      </c>
      <c r="N332" s="148" t="str">
        <f>IF($C332="","",IF(VLOOKUP($C332,'Tracking List'!$A$5:$AL$883,N$3,FALSE)&gt;0,"Y",VLOOKUP($C332,'Tracking List'!$A$5:$AL$883,N$4,FALSE)))</f>
        <v/>
      </c>
      <c r="O332" s="148" t="str">
        <f>IF($C332="","",IF(VLOOKUP($C332,'Tracking List'!$A$5:$AL$883,O$3,FALSE)&gt;0,"Y",VLOOKUP($C332,'Tracking List'!$A$5:$AL$883,O$4,FALSE)))</f>
        <v/>
      </c>
      <c r="P332" s="147" t="str">
        <f>IF($C332="","",IF(VLOOKUP($C332,'Tracking List'!$A$5:$AL$883,P$4,FALSE)&gt;0,"Y",""))</f>
        <v/>
      </c>
      <c r="Q332" s="149"/>
      <c r="R332" s="166" t="str">
        <f>IF($C332="","",VLOOKUP($C332,'Tracking List'!$A$5:$AL$883,R$4,FALSE))</f>
        <v/>
      </c>
    </row>
    <row r="333" spans="3:18">
      <c r="C333" s="146"/>
      <c r="D333" s="147" t="str">
        <f>IF($C333="","",VLOOKUP($C333,'Tracking List'!$A$5:$AL$883,D$4,FALSE))</f>
        <v/>
      </c>
      <c r="E333" s="147" t="str">
        <f>IF($C333="","",VLOOKUP($C333,'Tracking List'!$A$5:$AL$883,E$4,FALSE))</f>
        <v/>
      </c>
      <c r="F333" s="147" t="str">
        <f>IF($C333="","",VLOOKUP($C333,'Tracking List'!$A$5:$AL$883,F$4,FALSE))</f>
        <v/>
      </c>
      <c r="G333" s="147" t="str">
        <f>IF($C333="","",VLOOKUP($C333,'Tracking List'!$A$5:$AL$883,G$4,FALSE))</f>
        <v/>
      </c>
      <c r="H333" s="147" t="str">
        <f>IF($C333="","",VLOOKUP($C333,'Tracking List'!$A$5:$AL$883,H$4,FALSE))</f>
        <v/>
      </c>
      <c r="I333" s="147" t="str">
        <f>IF($C333="","",VLOOKUP($C333,'Tracking List'!$A$5:$AL$883,I$4,FALSE))</f>
        <v/>
      </c>
      <c r="J333" s="147" t="str">
        <f>IF($C333="","",VLOOKUP($C333,'Tracking List'!$A$5:$AL$883,J$4,FALSE))</f>
        <v/>
      </c>
      <c r="K333" s="147" t="str">
        <f>IF($C333="","",VLOOKUP($C333,'Tracking List'!$A$5:$AL$883,K$4,FALSE))</f>
        <v/>
      </c>
      <c r="L333" s="168" t="str">
        <f>IF($C333="","",VLOOKUP($C333,'Tracking List'!$A$5:$AL$883,L$4,FALSE))</f>
        <v/>
      </c>
      <c r="M333" s="147" t="str">
        <f>IF($C333="","",VLOOKUP($C333,'Tracking List'!$A$5:$AL$883,M$4,FALSE))</f>
        <v/>
      </c>
      <c r="N333" s="148" t="str">
        <f>IF($C333="","",IF(VLOOKUP($C333,'Tracking List'!$A$5:$AL$883,N$3,FALSE)&gt;0,"Y",VLOOKUP($C333,'Tracking List'!$A$5:$AL$883,N$4,FALSE)))</f>
        <v/>
      </c>
      <c r="O333" s="148" t="str">
        <f>IF($C333="","",IF(VLOOKUP($C333,'Tracking List'!$A$5:$AL$883,O$3,FALSE)&gt;0,"Y",VLOOKUP($C333,'Tracking List'!$A$5:$AL$883,O$4,FALSE)))</f>
        <v/>
      </c>
      <c r="P333" s="147" t="str">
        <f>IF($C333="","",IF(VLOOKUP($C333,'Tracking List'!$A$5:$AL$883,P$4,FALSE)&gt;0,"Y",""))</f>
        <v/>
      </c>
      <c r="Q333" s="149"/>
      <c r="R333" s="166" t="str">
        <f>IF($C333="","",VLOOKUP($C333,'Tracking List'!$A$5:$AL$883,R$4,FALSE))</f>
        <v/>
      </c>
    </row>
    <row r="334" spans="3:18">
      <c r="C334" s="146"/>
      <c r="D334" s="147" t="str">
        <f>IF($C334="","",VLOOKUP($C334,'Tracking List'!$A$5:$AL$883,D$4,FALSE))</f>
        <v/>
      </c>
      <c r="E334" s="147" t="str">
        <f>IF($C334="","",VLOOKUP($C334,'Tracking List'!$A$5:$AL$883,E$4,FALSE))</f>
        <v/>
      </c>
      <c r="F334" s="147" t="str">
        <f>IF($C334="","",VLOOKUP($C334,'Tracking List'!$A$5:$AL$883,F$4,FALSE))</f>
        <v/>
      </c>
      <c r="G334" s="147" t="str">
        <f>IF($C334="","",VLOOKUP($C334,'Tracking List'!$A$5:$AL$883,G$4,FALSE))</f>
        <v/>
      </c>
      <c r="H334" s="147" t="str">
        <f>IF($C334="","",VLOOKUP($C334,'Tracking List'!$A$5:$AL$883,H$4,FALSE))</f>
        <v/>
      </c>
      <c r="I334" s="147" t="str">
        <f>IF($C334="","",VLOOKUP($C334,'Tracking List'!$A$5:$AL$883,I$4,FALSE))</f>
        <v/>
      </c>
      <c r="J334" s="147" t="str">
        <f>IF($C334="","",VLOOKUP($C334,'Tracking List'!$A$5:$AL$883,J$4,FALSE))</f>
        <v/>
      </c>
      <c r="K334" s="147" t="str">
        <f>IF($C334="","",VLOOKUP($C334,'Tracking List'!$A$5:$AL$883,K$4,FALSE))</f>
        <v/>
      </c>
      <c r="L334" s="168" t="str">
        <f>IF($C334="","",VLOOKUP($C334,'Tracking List'!$A$5:$AL$883,L$4,FALSE))</f>
        <v/>
      </c>
      <c r="M334" s="147" t="str">
        <f>IF($C334="","",VLOOKUP($C334,'Tracking List'!$A$5:$AL$883,M$4,FALSE))</f>
        <v/>
      </c>
      <c r="N334" s="148" t="str">
        <f>IF($C334="","",IF(VLOOKUP($C334,'Tracking List'!$A$5:$AL$883,N$3,FALSE)&gt;0,"Y",VLOOKUP($C334,'Tracking List'!$A$5:$AL$883,N$4,FALSE)))</f>
        <v/>
      </c>
      <c r="O334" s="148" t="str">
        <f>IF($C334="","",IF(VLOOKUP($C334,'Tracking List'!$A$5:$AL$883,O$3,FALSE)&gt;0,"Y",VLOOKUP($C334,'Tracking List'!$A$5:$AL$883,O$4,FALSE)))</f>
        <v/>
      </c>
      <c r="P334" s="147" t="str">
        <f>IF($C334="","",IF(VLOOKUP($C334,'Tracking List'!$A$5:$AL$883,P$4,FALSE)&gt;0,"Y",""))</f>
        <v/>
      </c>
      <c r="Q334" s="149"/>
      <c r="R334" s="166" t="str">
        <f>IF($C334="","",VLOOKUP($C334,'Tracking List'!$A$5:$AL$883,R$4,FALSE))</f>
        <v/>
      </c>
    </row>
    <row r="335" spans="3:18">
      <c r="C335" s="146"/>
      <c r="D335" s="147" t="str">
        <f>IF($C335="","",VLOOKUP($C335,'Tracking List'!$A$5:$AL$883,D$4,FALSE))</f>
        <v/>
      </c>
      <c r="E335" s="147" t="str">
        <f>IF($C335="","",VLOOKUP($C335,'Tracking List'!$A$5:$AL$883,E$4,FALSE))</f>
        <v/>
      </c>
      <c r="F335" s="147" t="str">
        <f>IF($C335="","",VLOOKUP($C335,'Tracking List'!$A$5:$AL$883,F$4,FALSE))</f>
        <v/>
      </c>
      <c r="G335" s="147" t="str">
        <f>IF($C335="","",VLOOKUP($C335,'Tracking List'!$A$5:$AL$883,G$4,FALSE))</f>
        <v/>
      </c>
      <c r="H335" s="147" t="str">
        <f>IF($C335="","",VLOOKUP($C335,'Tracking List'!$A$5:$AL$883,H$4,FALSE))</f>
        <v/>
      </c>
      <c r="I335" s="147" t="str">
        <f>IF($C335="","",VLOOKUP($C335,'Tracking List'!$A$5:$AL$883,I$4,FALSE))</f>
        <v/>
      </c>
      <c r="J335" s="147" t="str">
        <f>IF($C335="","",VLOOKUP($C335,'Tracking List'!$A$5:$AL$883,J$4,FALSE))</f>
        <v/>
      </c>
      <c r="K335" s="147" t="str">
        <f>IF($C335="","",VLOOKUP($C335,'Tracking List'!$A$5:$AL$883,K$4,FALSE))</f>
        <v/>
      </c>
      <c r="L335" s="168" t="str">
        <f>IF($C335="","",VLOOKUP($C335,'Tracking List'!$A$5:$AL$883,L$4,FALSE))</f>
        <v/>
      </c>
      <c r="M335" s="147" t="str">
        <f>IF($C335="","",VLOOKUP($C335,'Tracking List'!$A$5:$AL$883,M$4,FALSE))</f>
        <v/>
      </c>
      <c r="N335" s="148" t="str">
        <f>IF($C335="","",IF(VLOOKUP($C335,'Tracking List'!$A$5:$AL$883,N$3,FALSE)&gt;0,"Y",VLOOKUP($C335,'Tracking List'!$A$5:$AL$883,N$4,FALSE)))</f>
        <v/>
      </c>
      <c r="O335" s="148" t="str">
        <f>IF($C335="","",IF(VLOOKUP($C335,'Tracking List'!$A$5:$AL$883,O$3,FALSE)&gt;0,"Y",VLOOKUP($C335,'Tracking List'!$A$5:$AL$883,O$4,FALSE)))</f>
        <v/>
      </c>
      <c r="P335" s="147" t="str">
        <f>IF($C335="","",IF(VLOOKUP($C335,'Tracking List'!$A$5:$AL$883,P$4,FALSE)&gt;0,"Y",""))</f>
        <v/>
      </c>
      <c r="Q335" s="149"/>
      <c r="R335" s="166" t="str">
        <f>IF($C335="","",VLOOKUP($C335,'Tracking List'!$A$5:$AL$883,R$4,FALSE))</f>
        <v/>
      </c>
    </row>
    <row r="336" spans="3:18">
      <c r="C336" s="146"/>
      <c r="D336" s="147" t="str">
        <f>IF($C336="","",VLOOKUP($C336,'Tracking List'!$A$5:$AL$883,D$4,FALSE))</f>
        <v/>
      </c>
      <c r="E336" s="147" t="str">
        <f>IF($C336="","",VLOOKUP($C336,'Tracking List'!$A$5:$AL$883,E$4,FALSE))</f>
        <v/>
      </c>
      <c r="F336" s="147" t="str">
        <f>IF($C336="","",VLOOKUP($C336,'Tracking List'!$A$5:$AL$883,F$4,FALSE))</f>
        <v/>
      </c>
      <c r="G336" s="147" t="str">
        <f>IF($C336="","",VLOOKUP($C336,'Tracking List'!$A$5:$AL$883,G$4,FALSE))</f>
        <v/>
      </c>
      <c r="H336" s="147" t="str">
        <f>IF($C336="","",VLOOKUP($C336,'Tracking List'!$A$5:$AL$883,H$4,FALSE))</f>
        <v/>
      </c>
      <c r="I336" s="147" t="str">
        <f>IF($C336="","",VLOOKUP($C336,'Tracking List'!$A$5:$AL$883,I$4,FALSE))</f>
        <v/>
      </c>
      <c r="J336" s="147" t="str">
        <f>IF($C336="","",VLOOKUP($C336,'Tracking List'!$A$5:$AL$883,J$4,FALSE))</f>
        <v/>
      </c>
      <c r="K336" s="147" t="str">
        <f>IF($C336="","",VLOOKUP($C336,'Tracking List'!$A$5:$AL$883,K$4,FALSE))</f>
        <v/>
      </c>
      <c r="L336" s="168" t="str">
        <f>IF($C336="","",VLOOKUP($C336,'Tracking List'!$A$5:$AL$883,L$4,FALSE))</f>
        <v/>
      </c>
      <c r="M336" s="147" t="str">
        <f>IF($C336="","",VLOOKUP($C336,'Tracking List'!$A$5:$AL$883,M$4,FALSE))</f>
        <v/>
      </c>
      <c r="N336" s="148" t="str">
        <f>IF($C336="","",IF(VLOOKUP($C336,'Tracking List'!$A$5:$AL$883,N$3,FALSE)&gt;0,"Y",VLOOKUP($C336,'Tracking List'!$A$5:$AL$883,N$4,FALSE)))</f>
        <v/>
      </c>
      <c r="O336" s="148" t="str">
        <f>IF($C336="","",IF(VLOOKUP($C336,'Tracking List'!$A$5:$AL$883,O$3,FALSE)&gt;0,"Y",VLOOKUP($C336,'Tracking List'!$A$5:$AL$883,O$4,FALSE)))</f>
        <v/>
      </c>
      <c r="P336" s="147" t="str">
        <f>IF($C336="","",IF(VLOOKUP($C336,'Tracking List'!$A$5:$AL$883,P$4,FALSE)&gt;0,"Y",""))</f>
        <v/>
      </c>
      <c r="Q336" s="149"/>
      <c r="R336" s="166" t="str">
        <f>IF($C336="","",VLOOKUP($C336,'Tracking List'!$A$5:$AL$883,R$4,FALSE))</f>
        <v/>
      </c>
    </row>
    <row r="337" spans="3:18">
      <c r="C337" s="146"/>
      <c r="D337" s="147" t="str">
        <f>IF($C337="","",VLOOKUP($C337,'Tracking List'!$A$5:$AL$883,D$4,FALSE))</f>
        <v/>
      </c>
      <c r="E337" s="147" t="str">
        <f>IF($C337="","",VLOOKUP($C337,'Tracking List'!$A$5:$AL$883,E$4,FALSE))</f>
        <v/>
      </c>
      <c r="F337" s="147" t="str">
        <f>IF($C337="","",VLOOKUP($C337,'Tracking List'!$A$5:$AL$883,F$4,FALSE))</f>
        <v/>
      </c>
      <c r="G337" s="147" t="str">
        <f>IF($C337="","",VLOOKUP($C337,'Tracking List'!$A$5:$AL$883,G$4,FALSE))</f>
        <v/>
      </c>
      <c r="H337" s="147" t="str">
        <f>IF($C337="","",VLOOKUP($C337,'Tracking List'!$A$5:$AL$883,H$4,FALSE))</f>
        <v/>
      </c>
      <c r="I337" s="147" t="str">
        <f>IF($C337="","",VLOOKUP($C337,'Tracking List'!$A$5:$AL$883,I$4,FALSE))</f>
        <v/>
      </c>
      <c r="J337" s="147" t="str">
        <f>IF($C337="","",VLOOKUP($C337,'Tracking List'!$A$5:$AL$883,J$4,FALSE))</f>
        <v/>
      </c>
      <c r="K337" s="147" t="str">
        <f>IF($C337="","",VLOOKUP($C337,'Tracking List'!$A$5:$AL$883,K$4,FALSE))</f>
        <v/>
      </c>
      <c r="L337" s="168" t="str">
        <f>IF($C337="","",VLOOKUP($C337,'Tracking List'!$A$5:$AL$883,L$4,FALSE))</f>
        <v/>
      </c>
      <c r="M337" s="147" t="str">
        <f>IF($C337="","",VLOOKUP($C337,'Tracking List'!$A$5:$AL$883,M$4,FALSE))</f>
        <v/>
      </c>
      <c r="N337" s="148" t="str">
        <f>IF($C337="","",IF(VLOOKUP($C337,'Tracking List'!$A$5:$AL$883,N$3,FALSE)&gt;0,"Y",VLOOKUP($C337,'Tracking List'!$A$5:$AL$883,N$4,FALSE)))</f>
        <v/>
      </c>
      <c r="O337" s="148" t="str">
        <f>IF($C337="","",IF(VLOOKUP($C337,'Tracking List'!$A$5:$AL$883,O$3,FALSE)&gt;0,"Y",VLOOKUP($C337,'Tracking List'!$A$5:$AL$883,O$4,FALSE)))</f>
        <v/>
      </c>
      <c r="P337" s="147" t="str">
        <f>IF($C337="","",IF(VLOOKUP($C337,'Tracking List'!$A$5:$AL$883,P$4,FALSE)&gt;0,"Y",""))</f>
        <v/>
      </c>
      <c r="Q337" s="149"/>
      <c r="R337" s="166" t="str">
        <f>IF($C337="","",VLOOKUP($C337,'Tracking List'!$A$5:$AL$883,R$4,FALSE))</f>
        <v/>
      </c>
    </row>
    <row r="338" spans="3:18">
      <c r="C338" s="146"/>
      <c r="D338" s="147" t="str">
        <f>IF($C338="","",VLOOKUP($C338,'Tracking List'!$A$5:$AL$883,D$4,FALSE))</f>
        <v/>
      </c>
      <c r="E338" s="147" t="str">
        <f>IF($C338="","",VLOOKUP($C338,'Tracking List'!$A$5:$AL$883,E$4,FALSE))</f>
        <v/>
      </c>
      <c r="F338" s="147" t="str">
        <f>IF($C338="","",VLOOKUP($C338,'Tracking List'!$A$5:$AL$883,F$4,FALSE))</f>
        <v/>
      </c>
      <c r="G338" s="147" t="str">
        <f>IF($C338="","",VLOOKUP($C338,'Tracking List'!$A$5:$AL$883,G$4,FALSE))</f>
        <v/>
      </c>
      <c r="H338" s="147" t="str">
        <f>IF($C338="","",VLOOKUP($C338,'Tracking List'!$A$5:$AL$883,H$4,FALSE))</f>
        <v/>
      </c>
      <c r="I338" s="147" t="str">
        <f>IF($C338="","",VLOOKUP($C338,'Tracking List'!$A$5:$AL$883,I$4,FALSE))</f>
        <v/>
      </c>
      <c r="J338" s="147" t="str">
        <f>IF($C338="","",VLOOKUP($C338,'Tracking List'!$A$5:$AL$883,J$4,FALSE))</f>
        <v/>
      </c>
      <c r="K338" s="147" t="str">
        <f>IF($C338="","",VLOOKUP($C338,'Tracking List'!$A$5:$AL$883,K$4,FALSE))</f>
        <v/>
      </c>
      <c r="L338" s="168" t="str">
        <f>IF($C338="","",VLOOKUP($C338,'Tracking List'!$A$5:$AL$883,L$4,FALSE))</f>
        <v/>
      </c>
      <c r="M338" s="147" t="str">
        <f>IF($C338="","",VLOOKUP($C338,'Tracking List'!$A$5:$AL$883,M$4,FALSE))</f>
        <v/>
      </c>
      <c r="N338" s="148" t="str">
        <f>IF($C338="","",IF(VLOOKUP($C338,'Tracking List'!$A$5:$AL$883,N$3,FALSE)&gt;0,"Y",VLOOKUP($C338,'Tracking List'!$A$5:$AL$883,N$4,FALSE)))</f>
        <v/>
      </c>
      <c r="O338" s="148" t="str">
        <f>IF($C338="","",IF(VLOOKUP($C338,'Tracking List'!$A$5:$AL$883,O$3,FALSE)&gt;0,"Y",VLOOKUP($C338,'Tracking List'!$A$5:$AL$883,O$4,FALSE)))</f>
        <v/>
      </c>
      <c r="P338" s="147" t="str">
        <f>IF($C338="","",IF(VLOOKUP($C338,'Tracking List'!$A$5:$AL$883,P$4,FALSE)&gt;0,"Y",""))</f>
        <v/>
      </c>
      <c r="Q338" s="149"/>
      <c r="R338" s="166" t="str">
        <f>IF($C338="","",VLOOKUP($C338,'Tracking List'!$A$5:$AL$883,R$4,FALSE))</f>
        <v/>
      </c>
    </row>
    <row r="339" spans="3:18">
      <c r="C339" s="146"/>
      <c r="D339" s="147" t="str">
        <f>IF($C339="","",VLOOKUP($C339,'Tracking List'!$A$5:$AL$883,D$4,FALSE))</f>
        <v/>
      </c>
      <c r="E339" s="147" t="str">
        <f>IF($C339="","",VLOOKUP($C339,'Tracking List'!$A$5:$AL$883,E$4,FALSE))</f>
        <v/>
      </c>
      <c r="F339" s="147" t="str">
        <f>IF($C339="","",VLOOKUP($C339,'Tracking List'!$A$5:$AL$883,F$4,FALSE))</f>
        <v/>
      </c>
      <c r="G339" s="147" t="str">
        <f>IF($C339="","",VLOOKUP($C339,'Tracking List'!$A$5:$AL$883,G$4,FALSE))</f>
        <v/>
      </c>
      <c r="H339" s="147" t="str">
        <f>IF($C339="","",VLOOKUP($C339,'Tracking List'!$A$5:$AL$883,H$4,FALSE))</f>
        <v/>
      </c>
      <c r="I339" s="147" t="str">
        <f>IF($C339="","",VLOOKUP($C339,'Tracking List'!$A$5:$AL$883,I$4,FALSE))</f>
        <v/>
      </c>
      <c r="J339" s="147" t="str">
        <f>IF($C339="","",VLOOKUP($C339,'Tracking List'!$A$5:$AL$883,J$4,FALSE))</f>
        <v/>
      </c>
      <c r="K339" s="147" t="str">
        <f>IF($C339="","",VLOOKUP($C339,'Tracking List'!$A$5:$AL$883,K$4,FALSE))</f>
        <v/>
      </c>
      <c r="L339" s="168" t="str">
        <f>IF($C339="","",VLOOKUP($C339,'Tracking List'!$A$5:$AL$883,L$4,FALSE))</f>
        <v/>
      </c>
      <c r="M339" s="147" t="str">
        <f>IF($C339="","",VLOOKUP($C339,'Tracking List'!$A$5:$AL$883,M$4,FALSE))</f>
        <v/>
      </c>
      <c r="N339" s="148" t="str">
        <f>IF($C339="","",IF(VLOOKUP($C339,'Tracking List'!$A$5:$AL$883,N$3,FALSE)&gt;0,"Y",VLOOKUP($C339,'Tracking List'!$A$5:$AL$883,N$4,FALSE)))</f>
        <v/>
      </c>
      <c r="O339" s="148" t="str">
        <f>IF($C339="","",IF(VLOOKUP($C339,'Tracking List'!$A$5:$AL$883,O$3,FALSE)&gt;0,"Y",VLOOKUP($C339,'Tracking List'!$A$5:$AL$883,O$4,FALSE)))</f>
        <v/>
      </c>
      <c r="P339" s="147" t="str">
        <f>IF($C339="","",IF(VLOOKUP($C339,'Tracking List'!$A$5:$AL$883,P$4,FALSE)&gt;0,"Y",""))</f>
        <v/>
      </c>
      <c r="Q339" s="149"/>
      <c r="R339" s="166" t="str">
        <f>IF($C339="","",VLOOKUP($C339,'Tracking List'!$A$5:$AL$883,R$4,FALSE))</f>
        <v/>
      </c>
    </row>
    <row r="340" spans="3:18">
      <c r="C340" s="146"/>
      <c r="D340" s="147" t="str">
        <f>IF($C340="","",VLOOKUP($C340,'Tracking List'!$A$5:$AL$883,D$4,FALSE))</f>
        <v/>
      </c>
      <c r="E340" s="147" t="str">
        <f>IF($C340="","",VLOOKUP($C340,'Tracking List'!$A$5:$AL$883,E$4,FALSE))</f>
        <v/>
      </c>
      <c r="F340" s="147" t="str">
        <f>IF($C340="","",VLOOKUP($C340,'Tracking List'!$A$5:$AL$883,F$4,FALSE))</f>
        <v/>
      </c>
      <c r="G340" s="147" t="str">
        <f>IF($C340="","",VLOOKUP($C340,'Tracking List'!$A$5:$AL$883,G$4,FALSE))</f>
        <v/>
      </c>
      <c r="H340" s="147" t="str">
        <f>IF($C340="","",VLOOKUP($C340,'Tracking List'!$A$5:$AL$883,H$4,FALSE))</f>
        <v/>
      </c>
      <c r="I340" s="147" t="str">
        <f>IF($C340="","",VLOOKUP($C340,'Tracking List'!$A$5:$AL$883,I$4,FALSE))</f>
        <v/>
      </c>
      <c r="J340" s="147" t="str">
        <f>IF($C340="","",VLOOKUP($C340,'Tracking List'!$A$5:$AL$883,J$4,FALSE))</f>
        <v/>
      </c>
      <c r="K340" s="147" t="str">
        <f>IF($C340="","",VLOOKUP($C340,'Tracking List'!$A$5:$AL$883,K$4,FALSE))</f>
        <v/>
      </c>
      <c r="L340" s="168" t="str">
        <f>IF($C340="","",VLOOKUP($C340,'Tracking List'!$A$5:$AL$883,L$4,FALSE))</f>
        <v/>
      </c>
      <c r="M340" s="147" t="str">
        <f>IF($C340="","",VLOOKUP($C340,'Tracking List'!$A$5:$AL$883,M$4,FALSE))</f>
        <v/>
      </c>
      <c r="N340" s="148" t="str">
        <f>IF($C340="","",IF(VLOOKUP($C340,'Tracking List'!$A$5:$AL$883,N$3,FALSE)&gt;0,"Y",VLOOKUP($C340,'Tracking List'!$A$5:$AL$883,N$4,FALSE)))</f>
        <v/>
      </c>
      <c r="O340" s="148" t="str">
        <f>IF($C340="","",IF(VLOOKUP($C340,'Tracking List'!$A$5:$AL$883,O$3,FALSE)&gt;0,"Y",VLOOKUP($C340,'Tracking List'!$A$5:$AL$883,O$4,FALSE)))</f>
        <v/>
      </c>
      <c r="P340" s="147" t="str">
        <f>IF($C340="","",IF(VLOOKUP($C340,'Tracking List'!$A$5:$AL$883,P$4,FALSE)&gt;0,"Y",""))</f>
        <v/>
      </c>
      <c r="Q340" s="149"/>
      <c r="R340" s="166" t="str">
        <f>IF($C340="","",VLOOKUP($C340,'Tracking List'!$A$5:$AL$883,R$4,FALSE))</f>
        <v/>
      </c>
    </row>
    <row r="341" spans="3:18">
      <c r="C341" s="146"/>
      <c r="D341" s="147" t="str">
        <f>IF($C341="","",VLOOKUP($C341,'Tracking List'!$A$5:$AL$883,D$4,FALSE))</f>
        <v/>
      </c>
      <c r="E341" s="147" t="str">
        <f>IF($C341="","",VLOOKUP($C341,'Tracking List'!$A$5:$AL$883,E$4,FALSE))</f>
        <v/>
      </c>
      <c r="F341" s="147" t="str">
        <f>IF($C341="","",VLOOKUP($C341,'Tracking List'!$A$5:$AL$883,F$4,FALSE))</f>
        <v/>
      </c>
      <c r="G341" s="147" t="str">
        <f>IF($C341="","",VLOOKUP($C341,'Tracking List'!$A$5:$AL$883,G$4,FALSE))</f>
        <v/>
      </c>
      <c r="H341" s="147" t="str">
        <f>IF($C341="","",VLOOKUP($C341,'Tracking List'!$A$5:$AL$883,H$4,FALSE))</f>
        <v/>
      </c>
      <c r="I341" s="147" t="str">
        <f>IF($C341="","",VLOOKUP($C341,'Tracking List'!$A$5:$AL$883,I$4,FALSE))</f>
        <v/>
      </c>
      <c r="J341" s="147" t="str">
        <f>IF($C341="","",VLOOKUP($C341,'Tracking List'!$A$5:$AL$883,J$4,FALSE))</f>
        <v/>
      </c>
      <c r="K341" s="147" t="str">
        <f>IF($C341="","",VLOOKUP($C341,'Tracking List'!$A$5:$AL$883,K$4,FALSE))</f>
        <v/>
      </c>
      <c r="L341" s="168" t="str">
        <f>IF($C341="","",VLOOKUP($C341,'Tracking List'!$A$5:$AL$883,L$4,FALSE))</f>
        <v/>
      </c>
      <c r="M341" s="147" t="str">
        <f>IF($C341="","",VLOOKUP($C341,'Tracking List'!$A$5:$AL$883,M$4,FALSE))</f>
        <v/>
      </c>
      <c r="N341" s="148" t="str">
        <f>IF($C341="","",IF(VLOOKUP($C341,'Tracking List'!$A$5:$AL$883,N$3,FALSE)&gt;0,"Y",VLOOKUP($C341,'Tracking List'!$A$5:$AL$883,N$4,FALSE)))</f>
        <v/>
      </c>
      <c r="O341" s="148" t="str">
        <f>IF($C341="","",IF(VLOOKUP($C341,'Tracking List'!$A$5:$AL$883,O$3,FALSE)&gt;0,"Y",VLOOKUP($C341,'Tracking List'!$A$5:$AL$883,O$4,FALSE)))</f>
        <v/>
      </c>
      <c r="P341" s="147" t="str">
        <f>IF($C341="","",IF(VLOOKUP($C341,'Tracking List'!$A$5:$AL$883,P$4,FALSE)&gt;0,"Y",""))</f>
        <v/>
      </c>
      <c r="Q341" s="149"/>
      <c r="R341" s="166" t="str">
        <f>IF($C341="","",VLOOKUP($C341,'Tracking List'!$A$5:$AL$883,R$4,FALSE))</f>
        <v/>
      </c>
    </row>
    <row r="342" spans="3:18">
      <c r="C342" s="146"/>
      <c r="D342" s="147" t="str">
        <f>IF($C342="","",VLOOKUP($C342,'Tracking List'!$A$5:$AL$883,D$4,FALSE))</f>
        <v/>
      </c>
      <c r="E342" s="147" t="str">
        <f>IF($C342="","",VLOOKUP($C342,'Tracking List'!$A$5:$AL$883,E$4,FALSE))</f>
        <v/>
      </c>
      <c r="F342" s="147" t="str">
        <f>IF($C342="","",VLOOKUP($C342,'Tracking List'!$A$5:$AL$883,F$4,FALSE))</f>
        <v/>
      </c>
      <c r="G342" s="147" t="str">
        <f>IF($C342="","",VLOOKUP($C342,'Tracking List'!$A$5:$AL$883,G$4,FALSE))</f>
        <v/>
      </c>
      <c r="H342" s="147" t="str">
        <f>IF($C342="","",VLOOKUP($C342,'Tracking List'!$A$5:$AL$883,H$4,FALSE))</f>
        <v/>
      </c>
      <c r="I342" s="147" t="str">
        <f>IF($C342="","",VLOOKUP($C342,'Tracking List'!$A$5:$AL$883,I$4,FALSE))</f>
        <v/>
      </c>
      <c r="J342" s="147" t="str">
        <f>IF($C342="","",VLOOKUP($C342,'Tracking List'!$A$5:$AL$883,J$4,FALSE))</f>
        <v/>
      </c>
      <c r="K342" s="147" t="str">
        <f>IF($C342="","",VLOOKUP($C342,'Tracking List'!$A$5:$AL$883,K$4,FALSE))</f>
        <v/>
      </c>
      <c r="L342" s="168" t="str">
        <f>IF($C342="","",VLOOKUP($C342,'Tracking List'!$A$5:$AL$883,L$4,FALSE))</f>
        <v/>
      </c>
      <c r="M342" s="147" t="str">
        <f>IF($C342="","",VLOOKUP($C342,'Tracking List'!$A$5:$AL$883,M$4,FALSE))</f>
        <v/>
      </c>
      <c r="N342" s="148" t="str">
        <f>IF($C342="","",IF(VLOOKUP($C342,'Tracking List'!$A$5:$AL$883,N$3,FALSE)&gt;0,"Y",VLOOKUP($C342,'Tracking List'!$A$5:$AL$883,N$4,FALSE)))</f>
        <v/>
      </c>
      <c r="O342" s="148" t="str">
        <f>IF($C342="","",IF(VLOOKUP($C342,'Tracking List'!$A$5:$AL$883,O$3,FALSE)&gt;0,"Y",VLOOKUP($C342,'Tracking List'!$A$5:$AL$883,O$4,FALSE)))</f>
        <v/>
      </c>
      <c r="P342" s="147" t="str">
        <f>IF($C342="","",IF(VLOOKUP($C342,'Tracking List'!$A$5:$AL$883,P$4,FALSE)&gt;0,"Y",""))</f>
        <v/>
      </c>
      <c r="Q342" s="149"/>
      <c r="R342" s="166" t="str">
        <f>IF($C342="","",VLOOKUP($C342,'Tracking List'!$A$5:$AL$883,R$4,FALSE))</f>
        <v/>
      </c>
    </row>
    <row r="343" spans="3:18">
      <c r="C343" s="146"/>
      <c r="D343" s="147" t="str">
        <f>IF($C343="","",VLOOKUP($C343,'Tracking List'!$A$5:$AL$883,D$4,FALSE))</f>
        <v/>
      </c>
      <c r="E343" s="147" t="str">
        <f>IF($C343="","",VLOOKUP($C343,'Tracking List'!$A$5:$AL$883,E$4,FALSE))</f>
        <v/>
      </c>
      <c r="F343" s="147" t="str">
        <f>IF($C343="","",VLOOKUP($C343,'Tracking List'!$A$5:$AL$883,F$4,FALSE))</f>
        <v/>
      </c>
      <c r="G343" s="147" t="str">
        <f>IF($C343="","",VLOOKUP($C343,'Tracking List'!$A$5:$AL$883,G$4,FALSE))</f>
        <v/>
      </c>
      <c r="H343" s="147" t="str">
        <f>IF($C343="","",VLOOKUP($C343,'Tracking List'!$A$5:$AL$883,H$4,FALSE))</f>
        <v/>
      </c>
      <c r="I343" s="147" t="str">
        <f>IF($C343="","",VLOOKUP($C343,'Tracking List'!$A$5:$AL$883,I$4,FALSE))</f>
        <v/>
      </c>
      <c r="J343" s="147" t="str">
        <f>IF($C343="","",VLOOKUP($C343,'Tracking List'!$A$5:$AL$883,J$4,FALSE))</f>
        <v/>
      </c>
      <c r="K343" s="147" t="str">
        <f>IF($C343="","",VLOOKUP($C343,'Tracking List'!$A$5:$AL$883,K$4,FALSE))</f>
        <v/>
      </c>
      <c r="L343" s="168" t="str">
        <f>IF($C343="","",VLOOKUP($C343,'Tracking List'!$A$5:$AL$883,L$4,FALSE))</f>
        <v/>
      </c>
      <c r="M343" s="147" t="str">
        <f>IF($C343="","",VLOOKUP($C343,'Tracking List'!$A$5:$AL$883,M$4,FALSE))</f>
        <v/>
      </c>
      <c r="N343" s="148" t="str">
        <f>IF($C343="","",IF(VLOOKUP($C343,'Tracking List'!$A$5:$AL$883,N$3,FALSE)&gt;0,"Y",VLOOKUP($C343,'Tracking List'!$A$5:$AL$883,N$4,FALSE)))</f>
        <v/>
      </c>
      <c r="O343" s="148" t="str">
        <f>IF($C343="","",IF(VLOOKUP($C343,'Tracking List'!$A$5:$AL$883,O$3,FALSE)&gt;0,"Y",VLOOKUP($C343,'Tracking List'!$A$5:$AL$883,O$4,FALSE)))</f>
        <v/>
      </c>
      <c r="P343" s="147" t="str">
        <f>IF($C343="","",IF(VLOOKUP($C343,'Tracking List'!$A$5:$AL$883,P$4,FALSE)&gt;0,"Y",""))</f>
        <v/>
      </c>
      <c r="Q343" s="149"/>
      <c r="R343" s="166" t="str">
        <f>IF($C343="","",VLOOKUP($C343,'Tracking List'!$A$5:$AL$883,R$4,FALSE))</f>
        <v/>
      </c>
    </row>
    <row r="344" spans="3:18">
      <c r="C344" s="146"/>
      <c r="D344" s="147" t="str">
        <f>IF($C344="","",VLOOKUP($C344,'Tracking List'!$A$5:$AL$883,D$4,FALSE))</f>
        <v/>
      </c>
      <c r="E344" s="147" t="str">
        <f>IF($C344="","",VLOOKUP($C344,'Tracking List'!$A$5:$AL$883,E$4,FALSE))</f>
        <v/>
      </c>
      <c r="F344" s="147" t="str">
        <f>IF($C344="","",VLOOKUP($C344,'Tracking List'!$A$5:$AL$883,F$4,FALSE))</f>
        <v/>
      </c>
      <c r="G344" s="147" t="str">
        <f>IF($C344="","",VLOOKUP($C344,'Tracking List'!$A$5:$AL$883,G$4,FALSE))</f>
        <v/>
      </c>
      <c r="H344" s="147" t="str">
        <f>IF($C344="","",VLOOKUP($C344,'Tracking List'!$A$5:$AL$883,H$4,FALSE))</f>
        <v/>
      </c>
      <c r="I344" s="147" t="str">
        <f>IF($C344="","",VLOOKUP($C344,'Tracking List'!$A$5:$AL$883,I$4,FALSE))</f>
        <v/>
      </c>
      <c r="J344" s="147" t="str">
        <f>IF($C344="","",VLOOKUP($C344,'Tracking List'!$A$5:$AL$883,J$4,FALSE))</f>
        <v/>
      </c>
      <c r="K344" s="147" t="str">
        <f>IF($C344="","",VLOOKUP($C344,'Tracking List'!$A$5:$AL$883,K$4,FALSE))</f>
        <v/>
      </c>
      <c r="L344" s="168" t="str">
        <f>IF($C344="","",VLOOKUP($C344,'Tracking List'!$A$5:$AL$883,L$4,FALSE))</f>
        <v/>
      </c>
      <c r="M344" s="147" t="str">
        <f>IF($C344="","",VLOOKUP($C344,'Tracking List'!$A$5:$AL$883,M$4,FALSE))</f>
        <v/>
      </c>
      <c r="N344" s="148" t="str">
        <f>IF($C344="","",IF(VLOOKUP($C344,'Tracking List'!$A$5:$AL$883,N$3,FALSE)&gt;0,"Y",VLOOKUP($C344,'Tracking List'!$A$5:$AL$883,N$4,FALSE)))</f>
        <v/>
      </c>
      <c r="O344" s="148" t="str">
        <f>IF($C344="","",IF(VLOOKUP($C344,'Tracking List'!$A$5:$AL$883,O$3,FALSE)&gt;0,"Y",VLOOKUP($C344,'Tracking List'!$A$5:$AL$883,O$4,FALSE)))</f>
        <v/>
      </c>
      <c r="P344" s="147" t="str">
        <f>IF($C344="","",IF(VLOOKUP($C344,'Tracking List'!$A$5:$AL$883,P$4,FALSE)&gt;0,"Y",""))</f>
        <v/>
      </c>
      <c r="Q344" s="149"/>
      <c r="R344" s="166" t="str">
        <f>IF($C344="","",VLOOKUP($C344,'Tracking List'!$A$5:$AL$883,R$4,FALSE))</f>
        <v/>
      </c>
    </row>
    <row r="345" spans="3:18">
      <c r="C345" s="146"/>
      <c r="D345" s="147" t="str">
        <f>IF($C345="","",VLOOKUP($C345,'Tracking List'!$A$5:$AL$883,D$4,FALSE))</f>
        <v/>
      </c>
      <c r="E345" s="147" t="str">
        <f>IF($C345="","",VLOOKUP($C345,'Tracking List'!$A$5:$AL$883,E$4,FALSE))</f>
        <v/>
      </c>
      <c r="F345" s="147" t="str">
        <f>IF($C345="","",VLOOKUP($C345,'Tracking List'!$A$5:$AL$883,F$4,FALSE))</f>
        <v/>
      </c>
      <c r="G345" s="147" t="str">
        <f>IF($C345="","",VLOOKUP($C345,'Tracking List'!$A$5:$AL$883,G$4,FALSE))</f>
        <v/>
      </c>
      <c r="H345" s="147" t="str">
        <f>IF($C345="","",VLOOKUP($C345,'Tracking List'!$A$5:$AL$883,H$4,FALSE))</f>
        <v/>
      </c>
      <c r="I345" s="147" t="str">
        <f>IF($C345="","",VLOOKUP($C345,'Tracking List'!$A$5:$AL$883,I$4,FALSE))</f>
        <v/>
      </c>
      <c r="J345" s="147" t="str">
        <f>IF($C345="","",VLOOKUP($C345,'Tracking List'!$A$5:$AL$883,J$4,FALSE))</f>
        <v/>
      </c>
      <c r="K345" s="147" t="str">
        <f>IF($C345="","",VLOOKUP($C345,'Tracking List'!$A$5:$AL$883,K$4,FALSE))</f>
        <v/>
      </c>
      <c r="L345" s="168" t="str">
        <f>IF($C345="","",VLOOKUP($C345,'Tracking List'!$A$5:$AL$883,L$4,FALSE))</f>
        <v/>
      </c>
      <c r="M345" s="147" t="str">
        <f>IF($C345="","",VLOOKUP($C345,'Tracking List'!$A$5:$AL$883,M$4,FALSE))</f>
        <v/>
      </c>
      <c r="N345" s="148" t="str">
        <f>IF($C345="","",IF(VLOOKUP($C345,'Tracking List'!$A$5:$AL$883,N$3,FALSE)&gt;0,"Y",VLOOKUP($C345,'Tracking List'!$A$5:$AL$883,N$4,FALSE)))</f>
        <v/>
      </c>
      <c r="O345" s="148" t="str">
        <f>IF($C345="","",IF(VLOOKUP($C345,'Tracking List'!$A$5:$AL$883,O$3,FALSE)&gt;0,"Y",VLOOKUP($C345,'Tracking List'!$A$5:$AL$883,O$4,FALSE)))</f>
        <v/>
      </c>
      <c r="P345" s="147" t="str">
        <f>IF($C345="","",IF(VLOOKUP($C345,'Tracking List'!$A$5:$AL$883,P$4,FALSE)&gt;0,"Y",""))</f>
        <v/>
      </c>
      <c r="Q345" s="149"/>
      <c r="R345" s="166" t="str">
        <f>IF($C345="","",VLOOKUP($C345,'Tracking List'!$A$5:$AL$883,R$4,FALSE))</f>
        <v/>
      </c>
    </row>
    <row r="346" spans="3:18">
      <c r="C346" s="146"/>
      <c r="D346" s="147" t="str">
        <f>IF($C346="","",VLOOKUP($C346,'Tracking List'!$A$5:$AL$883,D$4,FALSE))</f>
        <v/>
      </c>
      <c r="E346" s="147" t="str">
        <f>IF($C346="","",VLOOKUP($C346,'Tracking List'!$A$5:$AL$883,E$4,FALSE))</f>
        <v/>
      </c>
      <c r="F346" s="147" t="str">
        <f>IF($C346="","",VLOOKUP($C346,'Tracking List'!$A$5:$AL$883,F$4,FALSE))</f>
        <v/>
      </c>
      <c r="G346" s="147" t="str">
        <f>IF($C346="","",VLOOKUP($C346,'Tracking List'!$A$5:$AL$883,G$4,FALSE))</f>
        <v/>
      </c>
      <c r="H346" s="147" t="str">
        <f>IF($C346="","",VLOOKUP($C346,'Tracking List'!$A$5:$AL$883,H$4,FALSE))</f>
        <v/>
      </c>
      <c r="I346" s="147" t="str">
        <f>IF($C346="","",VLOOKUP($C346,'Tracking List'!$A$5:$AL$883,I$4,FALSE))</f>
        <v/>
      </c>
      <c r="J346" s="147" t="str">
        <f>IF($C346="","",VLOOKUP($C346,'Tracking List'!$A$5:$AL$883,J$4,FALSE))</f>
        <v/>
      </c>
      <c r="K346" s="147" t="str">
        <f>IF($C346="","",VLOOKUP($C346,'Tracking List'!$A$5:$AL$883,K$4,FALSE))</f>
        <v/>
      </c>
      <c r="L346" s="168" t="str">
        <f>IF($C346="","",VLOOKUP($C346,'Tracking List'!$A$5:$AL$883,L$4,FALSE))</f>
        <v/>
      </c>
      <c r="M346" s="147" t="str">
        <f>IF($C346="","",VLOOKUP($C346,'Tracking List'!$A$5:$AL$883,M$4,FALSE))</f>
        <v/>
      </c>
      <c r="N346" s="148" t="str">
        <f>IF($C346="","",IF(VLOOKUP($C346,'Tracking List'!$A$5:$AL$883,N$3,FALSE)&gt;0,"Y",VLOOKUP($C346,'Tracking List'!$A$5:$AL$883,N$4,FALSE)))</f>
        <v/>
      </c>
      <c r="O346" s="148" t="str">
        <f>IF($C346="","",IF(VLOOKUP($C346,'Tracking List'!$A$5:$AL$883,O$3,FALSE)&gt;0,"Y",VLOOKUP($C346,'Tracking List'!$A$5:$AL$883,O$4,FALSE)))</f>
        <v/>
      </c>
      <c r="P346" s="147" t="str">
        <f>IF($C346="","",IF(VLOOKUP($C346,'Tracking List'!$A$5:$AL$883,P$4,FALSE)&gt;0,"Y",""))</f>
        <v/>
      </c>
      <c r="Q346" s="149"/>
      <c r="R346" s="166" t="str">
        <f>IF($C346="","",VLOOKUP($C346,'Tracking List'!$A$5:$AL$883,R$4,FALSE))</f>
        <v/>
      </c>
    </row>
    <row r="347" spans="3:18">
      <c r="C347" s="146"/>
      <c r="D347" s="147" t="str">
        <f>IF($C347="","",VLOOKUP($C347,'Tracking List'!$A$5:$AL$883,D$4,FALSE))</f>
        <v/>
      </c>
      <c r="E347" s="147" t="str">
        <f>IF($C347="","",VLOOKUP($C347,'Tracking List'!$A$5:$AL$883,E$4,FALSE))</f>
        <v/>
      </c>
      <c r="F347" s="147" t="str">
        <f>IF($C347="","",VLOOKUP($C347,'Tracking List'!$A$5:$AL$883,F$4,FALSE))</f>
        <v/>
      </c>
      <c r="G347" s="147" t="str">
        <f>IF($C347="","",VLOOKUP($C347,'Tracking List'!$A$5:$AL$883,G$4,FALSE))</f>
        <v/>
      </c>
      <c r="H347" s="147" t="str">
        <f>IF($C347="","",VLOOKUP($C347,'Tracking List'!$A$5:$AL$883,H$4,FALSE))</f>
        <v/>
      </c>
      <c r="I347" s="147" t="str">
        <f>IF($C347="","",VLOOKUP($C347,'Tracking List'!$A$5:$AL$883,I$4,FALSE))</f>
        <v/>
      </c>
      <c r="J347" s="147" t="str">
        <f>IF($C347="","",VLOOKUP($C347,'Tracking List'!$A$5:$AL$883,J$4,FALSE))</f>
        <v/>
      </c>
      <c r="K347" s="147" t="str">
        <f>IF($C347="","",VLOOKUP($C347,'Tracking List'!$A$5:$AL$883,K$4,FALSE))</f>
        <v/>
      </c>
      <c r="L347" s="168" t="str">
        <f>IF($C347="","",VLOOKUP($C347,'Tracking List'!$A$5:$AL$883,L$4,FALSE))</f>
        <v/>
      </c>
      <c r="M347" s="147" t="str">
        <f>IF($C347="","",VLOOKUP($C347,'Tracking List'!$A$5:$AL$883,M$4,FALSE))</f>
        <v/>
      </c>
      <c r="N347" s="148" t="str">
        <f>IF($C347="","",IF(VLOOKUP($C347,'Tracking List'!$A$5:$AL$883,N$3,FALSE)&gt;0,"Y",VLOOKUP($C347,'Tracking List'!$A$5:$AL$883,N$4,FALSE)))</f>
        <v/>
      </c>
      <c r="O347" s="148" t="str">
        <f>IF($C347="","",IF(VLOOKUP($C347,'Tracking List'!$A$5:$AL$883,O$3,FALSE)&gt;0,"Y",VLOOKUP($C347,'Tracking List'!$A$5:$AL$883,O$4,FALSE)))</f>
        <v/>
      </c>
      <c r="P347" s="147" t="str">
        <f>IF($C347="","",IF(VLOOKUP($C347,'Tracking List'!$A$5:$AL$883,P$4,FALSE)&gt;0,"Y",""))</f>
        <v/>
      </c>
      <c r="Q347" s="149"/>
      <c r="R347" s="166" t="str">
        <f>IF($C347="","",VLOOKUP($C347,'Tracking List'!$A$5:$AL$883,R$4,FALSE))</f>
        <v/>
      </c>
    </row>
    <row r="348" spans="3:18">
      <c r="C348" s="146"/>
      <c r="D348" s="147" t="str">
        <f>IF($C348="","",VLOOKUP($C348,'Tracking List'!$A$5:$AL$883,D$4,FALSE))</f>
        <v/>
      </c>
      <c r="E348" s="147" t="str">
        <f>IF($C348="","",VLOOKUP($C348,'Tracking List'!$A$5:$AL$883,E$4,FALSE))</f>
        <v/>
      </c>
      <c r="F348" s="147" t="str">
        <f>IF($C348="","",VLOOKUP($C348,'Tracking List'!$A$5:$AL$883,F$4,FALSE))</f>
        <v/>
      </c>
      <c r="G348" s="147" t="str">
        <f>IF($C348="","",VLOOKUP($C348,'Tracking List'!$A$5:$AL$883,G$4,FALSE))</f>
        <v/>
      </c>
      <c r="H348" s="147" t="str">
        <f>IF($C348="","",VLOOKUP($C348,'Tracking List'!$A$5:$AL$883,H$4,FALSE))</f>
        <v/>
      </c>
      <c r="I348" s="147" t="str">
        <f>IF($C348="","",VLOOKUP($C348,'Tracking List'!$A$5:$AL$883,I$4,FALSE))</f>
        <v/>
      </c>
      <c r="J348" s="147" t="str">
        <f>IF($C348="","",VLOOKUP($C348,'Tracking List'!$A$5:$AL$883,J$4,FALSE))</f>
        <v/>
      </c>
      <c r="K348" s="147" t="str">
        <f>IF($C348="","",VLOOKUP($C348,'Tracking List'!$A$5:$AL$883,K$4,FALSE))</f>
        <v/>
      </c>
      <c r="L348" s="168" t="str">
        <f>IF($C348="","",VLOOKUP($C348,'Tracking List'!$A$5:$AL$883,L$4,FALSE))</f>
        <v/>
      </c>
      <c r="M348" s="147" t="str">
        <f>IF($C348="","",VLOOKUP($C348,'Tracking List'!$A$5:$AL$883,M$4,FALSE))</f>
        <v/>
      </c>
      <c r="N348" s="148" t="str">
        <f>IF($C348="","",IF(VLOOKUP($C348,'Tracking List'!$A$5:$AL$883,N$3,FALSE)&gt;0,"Y",VLOOKUP($C348,'Tracking List'!$A$5:$AL$883,N$4,FALSE)))</f>
        <v/>
      </c>
      <c r="O348" s="148" t="str">
        <f>IF($C348="","",IF(VLOOKUP($C348,'Tracking List'!$A$5:$AL$883,O$3,FALSE)&gt;0,"Y",VLOOKUP($C348,'Tracking List'!$A$5:$AL$883,O$4,FALSE)))</f>
        <v/>
      </c>
      <c r="P348" s="147" t="str">
        <f>IF($C348="","",IF(VLOOKUP($C348,'Tracking List'!$A$5:$AL$883,P$4,FALSE)&gt;0,"Y",""))</f>
        <v/>
      </c>
      <c r="Q348" s="149"/>
      <c r="R348" s="166" t="str">
        <f>IF($C348="","",VLOOKUP($C348,'Tracking List'!$A$5:$AL$883,R$4,FALSE))</f>
        <v/>
      </c>
    </row>
    <row r="349" spans="3:18">
      <c r="C349" s="146"/>
      <c r="D349" s="147" t="str">
        <f>IF($C349="","",VLOOKUP($C349,'Tracking List'!$A$5:$AL$883,D$4,FALSE))</f>
        <v/>
      </c>
      <c r="E349" s="147" t="str">
        <f>IF($C349="","",VLOOKUP($C349,'Tracking List'!$A$5:$AL$883,E$4,FALSE))</f>
        <v/>
      </c>
      <c r="F349" s="147" t="str">
        <f>IF($C349="","",VLOOKUP($C349,'Tracking List'!$A$5:$AL$883,F$4,FALSE))</f>
        <v/>
      </c>
      <c r="G349" s="147" t="str">
        <f>IF($C349="","",VLOOKUP($C349,'Tracking List'!$A$5:$AL$883,G$4,FALSE))</f>
        <v/>
      </c>
      <c r="H349" s="147" t="str">
        <f>IF($C349="","",VLOOKUP($C349,'Tracking List'!$A$5:$AL$883,H$4,FALSE))</f>
        <v/>
      </c>
      <c r="I349" s="147" t="str">
        <f>IF($C349="","",VLOOKUP($C349,'Tracking List'!$A$5:$AL$883,I$4,FALSE))</f>
        <v/>
      </c>
      <c r="J349" s="147" t="str">
        <f>IF($C349="","",VLOOKUP($C349,'Tracking List'!$A$5:$AL$883,J$4,FALSE))</f>
        <v/>
      </c>
      <c r="K349" s="147" t="str">
        <f>IF($C349="","",VLOOKUP($C349,'Tracking List'!$A$5:$AL$883,K$4,FALSE))</f>
        <v/>
      </c>
      <c r="L349" s="168" t="str">
        <f>IF($C349="","",VLOOKUP($C349,'Tracking List'!$A$5:$AL$883,L$4,FALSE))</f>
        <v/>
      </c>
      <c r="M349" s="147" t="str">
        <f>IF($C349="","",VLOOKUP($C349,'Tracking List'!$A$5:$AL$883,M$4,FALSE))</f>
        <v/>
      </c>
      <c r="N349" s="148" t="str">
        <f>IF($C349="","",IF(VLOOKUP($C349,'Tracking List'!$A$5:$AL$883,N$3,FALSE)&gt;0,"Y",VLOOKUP($C349,'Tracking List'!$A$5:$AL$883,N$4,FALSE)))</f>
        <v/>
      </c>
      <c r="O349" s="148" t="str">
        <f>IF($C349="","",IF(VLOOKUP($C349,'Tracking List'!$A$5:$AL$883,O$3,FALSE)&gt;0,"Y",VLOOKUP($C349,'Tracking List'!$A$5:$AL$883,O$4,FALSE)))</f>
        <v/>
      </c>
      <c r="P349" s="147" t="str">
        <f>IF($C349="","",IF(VLOOKUP($C349,'Tracking List'!$A$5:$AL$883,P$4,FALSE)&gt;0,"Y",""))</f>
        <v/>
      </c>
      <c r="Q349" s="149"/>
      <c r="R349" s="166" t="str">
        <f>IF($C349="","",VLOOKUP($C349,'Tracking List'!$A$5:$AL$883,R$4,FALSE))</f>
        <v/>
      </c>
    </row>
    <row r="350" spans="3:18">
      <c r="C350" s="146"/>
      <c r="D350" s="147" t="str">
        <f>IF($C350="","",VLOOKUP($C350,'Tracking List'!$A$5:$AL$883,D$4,FALSE))</f>
        <v/>
      </c>
      <c r="E350" s="147" t="str">
        <f>IF($C350="","",VLOOKUP($C350,'Tracking List'!$A$5:$AL$883,E$4,FALSE))</f>
        <v/>
      </c>
      <c r="F350" s="147" t="str">
        <f>IF($C350="","",VLOOKUP($C350,'Tracking List'!$A$5:$AL$883,F$4,FALSE))</f>
        <v/>
      </c>
      <c r="G350" s="147" t="str">
        <f>IF($C350="","",VLOOKUP($C350,'Tracking List'!$A$5:$AL$883,G$4,FALSE))</f>
        <v/>
      </c>
      <c r="H350" s="147" t="str">
        <f>IF($C350="","",VLOOKUP($C350,'Tracking List'!$A$5:$AL$883,H$4,FALSE))</f>
        <v/>
      </c>
      <c r="I350" s="147" t="str">
        <f>IF($C350="","",VLOOKUP($C350,'Tracking List'!$A$5:$AL$883,I$4,FALSE))</f>
        <v/>
      </c>
      <c r="J350" s="147" t="str">
        <f>IF($C350="","",VLOOKUP($C350,'Tracking List'!$A$5:$AL$883,J$4,FALSE))</f>
        <v/>
      </c>
      <c r="K350" s="147" t="str">
        <f>IF($C350="","",VLOOKUP($C350,'Tracking List'!$A$5:$AL$883,K$4,FALSE))</f>
        <v/>
      </c>
      <c r="L350" s="168" t="str">
        <f>IF($C350="","",VLOOKUP($C350,'Tracking List'!$A$5:$AL$883,L$4,FALSE))</f>
        <v/>
      </c>
      <c r="M350" s="147" t="str">
        <f>IF($C350="","",VLOOKUP($C350,'Tracking List'!$A$5:$AL$883,M$4,FALSE))</f>
        <v/>
      </c>
      <c r="N350" s="148" t="str">
        <f>IF($C350="","",IF(VLOOKUP($C350,'Tracking List'!$A$5:$AL$883,N$3,FALSE)&gt;0,"Y",VLOOKUP($C350,'Tracking List'!$A$5:$AL$883,N$4,FALSE)))</f>
        <v/>
      </c>
      <c r="O350" s="148" t="str">
        <f>IF($C350="","",IF(VLOOKUP($C350,'Tracking List'!$A$5:$AL$883,O$3,FALSE)&gt;0,"Y",VLOOKUP($C350,'Tracking List'!$A$5:$AL$883,O$4,FALSE)))</f>
        <v/>
      </c>
      <c r="P350" s="147" t="str">
        <f>IF($C350="","",IF(VLOOKUP($C350,'Tracking List'!$A$5:$AL$883,P$4,FALSE)&gt;0,"Y",""))</f>
        <v/>
      </c>
      <c r="Q350" s="149"/>
      <c r="R350" s="166" t="str">
        <f>IF($C350="","",VLOOKUP($C350,'Tracking List'!$A$5:$AL$883,R$4,FALSE))</f>
        <v/>
      </c>
    </row>
    <row r="351" spans="3:18">
      <c r="C351" s="146"/>
      <c r="D351" s="147" t="str">
        <f>IF($C351="","",VLOOKUP($C351,'Tracking List'!$A$5:$AL$883,D$4,FALSE))</f>
        <v/>
      </c>
      <c r="E351" s="147" t="str">
        <f>IF($C351="","",VLOOKUP($C351,'Tracking List'!$A$5:$AL$883,E$4,FALSE))</f>
        <v/>
      </c>
      <c r="F351" s="147" t="str">
        <f>IF($C351="","",VLOOKUP($C351,'Tracking List'!$A$5:$AL$883,F$4,FALSE))</f>
        <v/>
      </c>
      <c r="G351" s="147" t="str">
        <f>IF($C351="","",VLOOKUP($C351,'Tracking List'!$A$5:$AL$883,G$4,FALSE))</f>
        <v/>
      </c>
      <c r="H351" s="147" t="str">
        <f>IF($C351="","",VLOOKUP($C351,'Tracking List'!$A$5:$AL$883,H$4,FALSE))</f>
        <v/>
      </c>
      <c r="I351" s="147" t="str">
        <f>IF($C351="","",VLOOKUP($C351,'Tracking List'!$A$5:$AL$883,I$4,FALSE))</f>
        <v/>
      </c>
      <c r="J351" s="147" t="str">
        <f>IF($C351="","",VLOOKUP($C351,'Tracking List'!$A$5:$AL$883,J$4,FALSE))</f>
        <v/>
      </c>
      <c r="K351" s="147" t="str">
        <f>IF($C351="","",VLOOKUP($C351,'Tracking List'!$A$5:$AL$883,K$4,FALSE))</f>
        <v/>
      </c>
      <c r="L351" s="168" t="str">
        <f>IF($C351="","",VLOOKUP($C351,'Tracking List'!$A$5:$AL$883,L$4,FALSE))</f>
        <v/>
      </c>
      <c r="M351" s="147" t="str">
        <f>IF($C351="","",VLOOKUP($C351,'Tracking List'!$A$5:$AL$883,M$4,FALSE))</f>
        <v/>
      </c>
      <c r="N351" s="148" t="str">
        <f>IF($C351="","",IF(VLOOKUP($C351,'Tracking List'!$A$5:$AL$883,N$3,FALSE)&gt;0,"Y",VLOOKUP($C351,'Tracking List'!$A$5:$AL$883,N$4,FALSE)))</f>
        <v/>
      </c>
      <c r="O351" s="148" t="str">
        <f>IF($C351="","",IF(VLOOKUP($C351,'Tracking List'!$A$5:$AL$883,O$3,FALSE)&gt;0,"Y",VLOOKUP($C351,'Tracking List'!$A$5:$AL$883,O$4,FALSE)))</f>
        <v/>
      </c>
      <c r="P351" s="147" t="str">
        <f>IF($C351="","",IF(VLOOKUP($C351,'Tracking List'!$A$5:$AL$883,P$4,FALSE)&gt;0,"Y",""))</f>
        <v/>
      </c>
      <c r="Q351" s="149"/>
      <c r="R351" s="166" t="str">
        <f>IF($C351="","",VLOOKUP($C351,'Tracking List'!$A$5:$AL$883,R$4,FALSE))</f>
        <v/>
      </c>
    </row>
    <row r="352" spans="3:18">
      <c r="C352" s="146"/>
      <c r="D352" s="147" t="str">
        <f>IF($C352="","",VLOOKUP($C352,'Tracking List'!$A$5:$AL$883,D$4,FALSE))</f>
        <v/>
      </c>
      <c r="E352" s="147" t="str">
        <f>IF($C352="","",VLOOKUP($C352,'Tracking List'!$A$5:$AL$883,E$4,FALSE))</f>
        <v/>
      </c>
      <c r="F352" s="147" t="str">
        <f>IF($C352="","",VLOOKUP($C352,'Tracking List'!$A$5:$AL$883,F$4,FALSE))</f>
        <v/>
      </c>
      <c r="G352" s="147" t="str">
        <f>IF($C352="","",VLOOKUP($C352,'Tracking List'!$A$5:$AL$883,G$4,FALSE))</f>
        <v/>
      </c>
      <c r="H352" s="147" t="str">
        <f>IF($C352="","",VLOOKUP($C352,'Tracking List'!$A$5:$AL$883,H$4,FALSE))</f>
        <v/>
      </c>
      <c r="I352" s="147" t="str">
        <f>IF($C352="","",VLOOKUP($C352,'Tracking List'!$A$5:$AL$883,I$4,FALSE))</f>
        <v/>
      </c>
      <c r="J352" s="147" t="str">
        <f>IF($C352="","",VLOOKUP($C352,'Tracking List'!$A$5:$AL$883,J$4,FALSE))</f>
        <v/>
      </c>
      <c r="K352" s="147" t="str">
        <f>IF($C352="","",VLOOKUP($C352,'Tracking List'!$A$5:$AL$883,K$4,FALSE))</f>
        <v/>
      </c>
      <c r="L352" s="168" t="str">
        <f>IF($C352="","",VLOOKUP($C352,'Tracking List'!$A$5:$AL$883,L$4,FALSE))</f>
        <v/>
      </c>
      <c r="M352" s="147" t="str">
        <f>IF($C352="","",VLOOKUP($C352,'Tracking List'!$A$5:$AL$883,M$4,FALSE))</f>
        <v/>
      </c>
      <c r="N352" s="148" t="str">
        <f>IF($C352="","",IF(VLOOKUP($C352,'Tracking List'!$A$5:$AL$883,N$3,FALSE)&gt;0,"Y",VLOOKUP($C352,'Tracking List'!$A$5:$AL$883,N$4,FALSE)))</f>
        <v/>
      </c>
      <c r="O352" s="148" t="str">
        <f>IF($C352="","",IF(VLOOKUP($C352,'Tracking List'!$A$5:$AL$883,O$3,FALSE)&gt;0,"Y",VLOOKUP($C352,'Tracking List'!$A$5:$AL$883,O$4,FALSE)))</f>
        <v/>
      </c>
      <c r="P352" s="147" t="str">
        <f>IF($C352="","",IF(VLOOKUP($C352,'Tracking List'!$A$5:$AL$883,P$4,FALSE)&gt;0,"Y",""))</f>
        <v/>
      </c>
      <c r="Q352" s="149"/>
      <c r="R352" s="166" t="str">
        <f>IF($C352="","",VLOOKUP($C352,'Tracking List'!$A$5:$AL$883,R$4,FALSE))</f>
        <v/>
      </c>
    </row>
    <row r="353" spans="3:18">
      <c r="C353" s="146"/>
      <c r="D353" s="147" t="str">
        <f>IF($C353="","",VLOOKUP($C353,'Tracking List'!$A$5:$AL$883,D$4,FALSE))</f>
        <v/>
      </c>
      <c r="E353" s="147" t="str">
        <f>IF($C353="","",VLOOKUP($C353,'Tracking List'!$A$5:$AL$883,E$4,FALSE))</f>
        <v/>
      </c>
      <c r="F353" s="147" t="str">
        <f>IF($C353="","",VLOOKUP($C353,'Tracking List'!$A$5:$AL$883,F$4,FALSE))</f>
        <v/>
      </c>
      <c r="G353" s="147" t="str">
        <f>IF($C353="","",VLOOKUP($C353,'Tracking List'!$A$5:$AL$883,G$4,FALSE))</f>
        <v/>
      </c>
      <c r="H353" s="147" t="str">
        <f>IF($C353="","",VLOOKUP($C353,'Tracking List'!$A$5:$AL$883,H$4,FALSE))</f>
        <v/>
      </c>
      <c r="I353" s="147" t="str">
        <f>IF($C353="","",VLOOKUP($C353,'Tracking List'!$A$5:$AL$883,I$4,FALSE))</f>
        <v/>
      </c>
      <c r="J353" s="147" t="str">
        <f>IF($C353="","",VLOOKUP($C353,'Tracking List'!$A$5:$AL$883,J$4,FALSE))</f>
        <v/>
      </c>
      <c r="K353" s="147" t="str">
        <f>IF($C353="","",VLOOKUP($C353,'Tracking List'!$A$5:$AL$883,K$4,FALSE))</f>
        <v/>
      </c>
      <c r="L353" s="168" t="str">
        <f>IF($C353="","",VLOOKUP($C353,'Tracking List'!$A$5:$AL$883,L$4,FALSE))</f>
        <v/>
      </c>
      <c r="M353" s="147" t="str">
        <f>IF($C353="","",VLOOKUP($C353,'Tracking List'!$A$5:$AL$883,M$4,FALSE))</f>
        <v/>
      </c>
      <c r="N353" s="148" t="str">
        <f>IF($C353="","",IF(VLOOKUP($C353,'Tracking List'!$A$5:$AL$883,N$3,FALSE)&gt;0,"Y",VLOOKUP($C353,'Tracking List'!$A$5:$AL$883,N$4,FALSE)))</f>
        <v/>
      </c>
      <c r="O353" s="148" t="str">
        <f>IF($C353="","",IF(VLOOKUP($C353,'Tracking List'!$A$5:$AL$883,O$3,FALSE)&gt;0,"Y",VLOOKUP($C353,'Tracking List'!$A$5:$AL$883,O$4,FALSE)))</f>
        <v/>
      </c>
      <c r="P353" s="147" t="str">
        <f>IF($C353="","",IF(VLOOKUP($C353,'Tracking List'!$A$5:$AL$883,P$4,FALSE)&gt;0,"Y",""))</f>
        <v/>
      </c>
      <c r="Q353" s="149"/>
      <c r="R353" s="166" t="str">
        <f>IF($C353="","",VLOOKUP($C353,'Tracking List'!$A$5:$AL$883,R$4,FALSE))</f>
        <v/>
      </c>
    </row>
    <row r="354" spans="3:18">
      <c r="C354" s="146"/>
      <c r="D354" s="147" t="str">
        <f>IF($C354="","",VLOOKUP($C354,'Tracking List'!$A$5:$AL$883,D$4,FALSE))</f>
        <v/>
      </c>
      <c r="E354" s="147" t="str">
        <f>IF($C354="","",VLOOKUP($C354,'Tracking List'!$A$5:$AL$883,E$4,FALSE))</f>
        <v/>
      </c>
      <c r="F354" s="147" t="str">
        <f>IF($C354="","",VLOOKUP($C354,'Tracking List'!$A$5:$AL$883,F$4,FALSE))</f>
        <v/>
      </c>
      <c r="G354" s="147" t="str">
        <f>IF($C354="","",VLOOKUP($C354,'Tracking List'!$A$5:$AL$883,G$4,FALSE))</f>
        <v/>
      </c>
      <c r="H354" s="147" t="str">
        <f>IF($C354="","",VLOOKUP($C354,'Tracking List'!$A$5:$AL$883,H$4,FALSE))</f>
        <v/>
      </c>
      <c r="I354" s="147" t="str">
        <f>IF($C354="","",VLOOKUP($C354,'Tracking List'!$A$5:$AL$883,I$4,FALSE))</f>
        <v/>
      </c>
      <c r="J354" s="147" t="str">
        <f>IF($C354="","",VLOOKUP($C354,'Tracking List'!$A$5:$AL$883,J$4,FALSE))</f>
        <v/>
      </c>
      <c r="K354" s="147" t="str">
        <f>IF($C354="","",VLOOKUP($C354,'Tracking List'!$A$5:$AL$883,K$4,FALSE))</f>
        <v/>
      </c>
      <c r="L354" s="168" t="str">
        <f>IF($C354="","",VLOOKUP($C354,'Tracking List'!$A$5:$AL$883,L$4,FALSE))</f>
        <v/>
      </c>
      <c r="M354" s="147" t="str">
        <f>IF($C354="","",VLOOKUP($C354,'Tracking List'!$A$5:$AL$883,M$4,FALSE))</f>
        <v/>
      </c>
      <c r="N354" s="148" t="str">
        <f>IF($C354="","",IF(VLOOKUP($C354,'Tracking List'!$A$5:$AL$883,N$3,FALSE)&gt;0,"Y",VLOOKUP($C354,'Tracking List'!$A$5:$AL$883,N$4,FALSE)))</f>
        <v/>
      </c>
      <c r="O354" s="148" t="str">
        <f>IF($C354="","",IF(VLOOKUP($C354,'Tracking List'!$A$5:$AL$883,O$3,FALSE)&gt;0,"Y",VLOOKUP($C354,'Tracking List'!$A$5:$AL$883,O$4,FALSE)))</f>
        <v/>
      </c>
      <c r="P354" s="147" t="str">
        <f>IF($C354="","",IF(VLOOKUP($C354,'Tracking List'!$A$5:$AL$883,P$4,FALSE)&gt;0,"Y",""))</f>
        <v/>
      </c>
      <c r="Q354" s="149"/>
      <c r="R354" s="166" t="str">
        <f>IF($C354="","",VLOOKUP($C354,'Tracking List'!$A$5:$AL$883,R$4,FALSE))</f>
        <v/>
      </c>
    </row>
    <row r="355" spans="3:18">
      <c r="C355" s="146"/>
      <c r="D355" s="147" t="str">
        <f>IF($C355="","",VLOOKUP($C355,'Tracking List'!$A$5:$AL$883,D$4,FALSE))</f>
        <v/>
      </c>
      <c r="E355" s="147" t="str">
        <f>IF($C355="","",VLOOKUP($C355,'Tracking List'!$A$5:$AL$883,E$4,FALSE))</f>
        <v/>
      </c>
      <c r="F355" s="147" t="str">
        <f>IF($C355="","",VLOOKUP($C355,'Tracking List'!$A$5:$AL$883,F$4,FALSE))</f>
        <v/>
      </c>
      <c r="G355" s="147" t="str">
        <f>IF($C355="","",VLOOKUP($C355,'Tracking List'!$A$5:$AL$883,G$4,FALSE))</f>
        <v/>
      </c>
      <c r="H355" s="147" t="str">
        <f>IF($C355="","",VLOOKUP($C355,'Tracking List'!$A$5:$AL$883,H$4,FALSE))</f>
        <v/>
      </c>
      <c r="I355" s="147" t="str">
        <f>IF($C355="","",VLOOKUP($C355,'Tracking List'!$A$5:$AL$883,I$4,FALSE))</f>
        <v/>
      </c>
      <c r="J355" s="147" t="str">
        <f>IF($C355="","",VLOOKUP($C355,'Tracking List'!$A$5:$AL$883,J$4,FALSE))</f>
        <v/>
      </c>
      <c r="K355" s="147" t="str">
        <f>IF($C355="","",VLOOKUP($C355,'Tracking List'!$A$5:$AL$883,K$4,FALSE))</f>
        <v/>
      </c>
      <c r="L355" s="168" t="str">
        <f>IF($C355="","",VLOOKUP($C355,'Tracking List'!$A$5:$AL$883,L$4,FALSE))</f>
        <v/>
      </c>
      <c r="M355" s="147" t="str">
        <f>IF($C355="","",VLOOKUP($C355,'Tracking List'!$A$5:$AL$883,M$4,FALSE))</f>
        <v/>
      </c>
      <c r="N355" s="148" t="str">
        <f>IF($C355="","",IF(VLOOKUP($C355,'Tracking List'!$A$5:$AL$883,N$3,FALSE)&gt;0,"Y",VLOOKUP($C355,'Tracking List'!$A$5:$AL$883,N$4,FALSE)))</f>
        <v/>
      </c>
      <c r="O355" s="148" t="str">
        <f>IF($C355="","",IF(VLOOKUP($C355,'Tracking List'!$A$5:$AL$883,O$3,FALSE)&gt;0,"Y",VLOOKUP($C355,'Tracking List'!$A$5:$AL$883,O$4,FALSE)))</f>
        <v/>
      </c>
      <c r="P355" s="147" t="str">
        <f>IF($C355="","",IF(VLOOKUP($C355,'Tracking List'!$A$5:$AL$883,P$4,FALSE)&gt;0,"Y",""))</f>
        <v/>
      </c>
      <c r="Q355" s="149"/>
      <c r="R355" s="166" t="str">
        <f>IF($C355="","",VLOOKUP($C355,'Tracking List'!$A$5:$AL$883,R$4,FALSE))</f>
        <v/>
      </c>
    </row>
    <row r="356" spans="3:18">
      <c r="C356" s="146"/>
      <c r="D356" s="147" t="str">
        <f>IF($C356="","",VLOOKUP($C356,'Tracking List'!$A$5:$AL$883,D$4,FALSE))</f>
        <v/>
      </c>
      <c r="E356" s="147" t="str">
        <f>IF($C356="","",VLOOKUP($C356,'Tracking List'!$A$5:$AL$883,E$4,FALSE))</f>
        <v/>
      </c>
      <c r="F356" s="147" t="str">
        <f>IF($C356="","",VLOOKUP($C356,'Tracking List'!$A$5:$AL$883,F$4,FALSE))</f>
        <v/>
      </c>
      <c r="G356" s="147" t="str">
        <f>IF($C356="","",VLOOKUP($C356,'Tracking List'!$A$5:$AL$883,G$4,FALSE))</f>
        <v/>
      </c>
      <c r="H356" s="147" t="str">
        <f>IF($C356="","",VLOOKUP($C356,'Tracking List'!$A$5:$AL$883,H$4,FALSE))</f>
        <v/>
      </c>
      <c r="I356" s="147" t="str">
        <f>IF($C356="","",VLOOKUP($C356,'Tracking List'!$A$5:$AL$883,I$4,FALSE))</f>
        <v/>
      </c>
      <c r="J356" s="147" t="str">
        <f>IF($C356="","",VLOOKUP($C356,'Tracking List'!$A$5:$AL$883,J$4,FALSE))</f>
        <v/>
      </c>
      <c r="K356" s="147" t="str">
        <f>IF($C356="","",VLOOKUP($C356,'Tracking List'!$A$5:$AL$883,K$4,FALSE))</f>
        <v/>
      </c>
      <c r="L356" s="168" t="str">
        <f>IF($C356="","",VLOOKUP($C356,'Tracking List'!$A$5:$AL$883,L$4,FALSE))</f>
        <v/>
      </c>
      <c r="M356" s="147" t="str">
        <f>IF($C356="","",VLOOKUP($C356,'Tracking List'!$A$5:$AL$883,M$4,FALSE))</f>
        <v/>
      </c>
      <c r="N356" s="148" t="str">
        <f>IF($C356="","",IF(VLOOKUP($C356,'Tracking List'!$A$5:$AL$883,N$3,FALSE)&gt;0,"Y",VLOOKUP($C356,'Tracking List'!$A$5:$AL$883,N$4,FALSE)))</f>
        <v/>
      </c>
      <c r="O356" s="148" t="str">
        <f>IF($C356="","",IF(VLOOKUP($C356,'Tracking List'!$A$5:$AL$883,O$3,FALSE)&gt;0,"Y",VLOOKUP($C356,'Tracking List'!$A$5:$AL$883,O$4,FALSE)))</f>
        <v/>
      </c>
      <c r="P356" s="147" t="str">
        <f>IF($C356="","",IF(VLOOKUP($C356,'Tracking List'!$A$5:$AL$883,P$4,FALSE)&gt;0,"Y",""))</f>
        <v/>
      </c>
      <c r="Q356" s="149"/>
      <c r="R356" s="166" t="str">
        <f>IF($C356="","",VLOOKUP($C356,'Tracking List'!$A$5:$AL$883,R$4,FALSE))</f>
        <v/>
      </c>
    </row>
    <row r="357" spans="3:18">
      <c r="C357" s="146"/>
      <c r="D357" s="147" t="str">
        <f>IF($C357="","",VLOOKUP($C357,'Tracking List'!$A$5:$AL$883,D$4,FALSE))</f>
        <v/>
      </c>
      <c r="E357" s="147" t="str">
        <f>IF($C357="","",VLOOKUP($C357,'Tracking List'!$A$5:$AL$883,E$4,FALSE))</f>
        <v/>
      </c>
      <c r="F357" s="147" t="str">
        <f>IF($C357="","",VLOOKUP($C357,'Tracking List'!$A$5:$AL$883,F$4,FALSE))</f>
        <v/>
      </c>
      <c r="G357" s="147" t="str">
        <f>IF($C357="","",VLOOKUP($C357,'Tracking List'!$A$5:$AL$883,G$4,FALSE))</f>
        <v/>
      </c>
      <c r="H357" s="147" t="str">
        <f>IF($C357="","",VLOOKUP($C357,'Tracking List'!$A$5:$AL$883,H$4,FALSE))</f>
        <v/>
      </c>
      <c r="I357" s="147" t="str">
        <f>IF($C357="","",VLOOKUP($C357,'Tracking List'!$A$5:$AL$883,I$4,FALSE))</f>
        <v/>
      </c>
      <c r="J357" s="147" t="str">
        <f>IF($C357="","",VLOOKUP($C357,'Tracking List'!$A$5:$AL$883,J$4,FALSE))</f>
        <v/>
      </c>
      <c r="K357" s="147" t="str">
        <f>IF($C357="","",VLOOKUP($C357,'Tracking List'!$A$5:$AL$883,K$4,FALSE))</f>
        <v/>
      </c>
      <c r="L357" s="168" t="str">
        <f>IF($C357="","",VLOOKUP($C357,'Tracking List'!$A$5:$AL$883,L$4,FALSE))</f>
        <v/>
      </c>
      <c r="M357" s="147" t="str">
        <f>IF($C357="","",VLOOKUP($C357,'Tracking List'!$A$5:$AL$883,M$4,FALSE))</f>
        <v/>
      </c>
      <c r="N357" s="148" t="str">
        <f>IF($C357="","",IF(VLOOKUP($C357,'Tracking List'!$A$5:$AL$883,N$3,FALSE)&gt;0,"Y",VLOOKUP($C357,'Tracking List'!$A$5:$AL$883,N$4,FALSE)))</f>
        <v/>
      </c>
      <c r="O357" s="148" t="str">
        <f>IF($C357="","",IF(VLOOKUP($C357,'Tracking List'!$A$5:$AL$883,O$3,FALSE)&gt;0,"Y",VLOOKUP($C357,'Tracking List'!$A$5:$AL$883,O$4,FALSE)))</f>
        <v/>
      </c>
      <c r="P357" s="147" t="str">
        <f>IF($C357="","",IF(VLOOKUP($C357,'Tracking List'!$A$5:$AL$883,P$4,FALSE)&gt;0,"Y",""))</f>
        <v/>
      </c>
      <c r="Q357" s="149"/>
      <c r="R357" s="166" t="str">
        <f>IF($C357="","",VLOOKUP($C357,'Tracking List'!$A$5:$AL$883,R$4,FALSE))</f>
        <v/>
      </c>
    </row>
    <row r="358" spans="3:18">
      <c r="C358" s="146"/>
      <c r="D358" s="147" t="str">
        <f>IF($C358="","",VLOOKUP($C358,'Tracking List'!$A$5:$AL$883,D$4,FALSE))</f>
        <v/>
      </c>
      <c r="E358" s="147" t="str">
        <f>IF($C358="","",VLOOKUP($C358,'Tracking List'!$A$5:$AL$883,E$4,FALSE))</f>
        <v/>
      </c>
      <c r="F358" s="147" t="str">
        <f>IF($C358="","",VLOOKUP($C358,'Tracking List'!$A$5:$AL$883,F$4,FALSE))</f>
        <v/>
      </c>
      <c r="G358" s="147" t="str">
        <f>IF($C358="","",VLOOKUP($C358,'Tracking List'!$A$5:$AL$883,G$4,FALSE))</f>
        <v/>
      </c>
      <c r="H358" s="147" t="str">
        <f>IF($C358="","",VLOOKUP($C358,'Tracking List'!$A$5:$AL$883,H$4,FALSE))</f>
        <v/>
      </c>
      <c r="I358" s="147" t="str">
        <f>IF($C358="","",VLOOKUP($C358,'Tracking List'!$A$5:$AL$883,I$4,FALSE))</f>
        <v/>
      </c>
      <c r="J358" s="147" t="str">
        <f>IF($C358="","",VLOOKUP($C358,'Tracking List'!$A$5:$AL$883,J$4,FALSE))</f>
        <v/>
      </c>
      <c r="K358" s="147" t="str">
        <f>IF($C358="","",VLOOKUP($C358,'Tracking List'!$A$5:$AL$883,K$4,FALSE))</f>
        <v/>
      </c>
      <c r="L358" s="168" t="str">
        <f>IF($C358="","",VLOOKUP($C358,'Tracking List'!$A$5:$AL$883,L$4,FALSE))</f>
        <v/>
      </c>
      <c r="M358" s="147" t="str">
        <f>IF($C358="","",VLOOKUP($C358,'Tracking List'!$A$5:$AL$883,M$4,FALSE))</f>
        <v/>
      </c>
      <c r="N358" s="148" t="str">
        <f>IF($C358="","",IF(VLOOKUP($C358,'Tracking List'!$A$5:$AL$883,N$3,FALSE)&gt;0,"Y",VLOOKUP($C358,'Tracking List'!$A$5:$AL$883,N$4,FALSE)))</f>
        <v/>
      </c>
      <c r="O358" s="148" t="str">
        <f>IF($C358="","",IF(VLOOKUP($C358,'Tracking List'!$A$5:$AL$883,O$3,FALSE)&gt;0,"Y",VLOOKUP($C358,'Tracking List'!$A$5:$AL$883,O$4,FALSE)))</f>
        <v/>
      </c>
      <c r="P358" s="147" t="str">
        <f>IF($C358="","",IF(VLOOKUP($C358,'Tracking List'!$A$5:$AL$883,P$4,FALSE)&gt;0,"Y",""))</f>
        <v/>
      </c>
      <c r="Q358" s="149"/>
      <c r="R358" s="166" t="str">
        <f>IF($C358="","",VLOOKUP($C358,'Tracking List'!$A$5:$AL$883,R$4,FALSE))</f>
        <v/>
      </c>
    </row>
    <row r="359" spans="3:18">
      <c r="C359" s="146"/>
      <c r="D359" s="147" t="str">
        <f>IF($C359="","",VLOOKUP($C359,'Tracking List'!$A$5:$AL$883,D$4,FALSE))</f>
        <v/>
      </c>
      <c r="E359" s="147" t="str">
        <f>IF($C359="","",VLOOKUP($C359,'Tracking List'!$A$5:$AL$883,E$4,FALSE))</f>
        <v/>
      </c>
      <c r="F359" s="147" t="str">
        <f>IF($C359="","",VLOOKUP($C359,'Tracking List'!$A$5:$AL$883,F$4,FALSE))</f>
        <v/>
      </c>
      <c r="G359" s="147" t="str">
        <f>IF($C359="","",VLOOKUP($C359,'Tracking List'!$A$5:$AL$883,G$4,FALSE))</f>
        <v/>
      </c>
      <c r="H359" s="147" t="str">
        <f>IF($C359="","",VLOOKUP($C359,'Tracking List'!$A$5:$AL$883,H$4,FALSE))</f>
        <v/>
      </c>
      <c r="I359" s="147" t="str">
        <f>IF($C359="","",VLOOKUP($C359,'Tracking List'!$A$5:$AL$883,I$4,FALSE))</f>
        <v/>
      </c>
      <c r="J359" s="147" t="str">
        <f>IF($C359="","",VLOOKUP($C359,'Tracking List'!$A$5:$AL$883,J$4,FALSE))</f>
        <v/>
      </c>
      <c r="K359" s="147" t="str">
        <f>IF($C359="","",VLOOKUP($C359,'Tracking List'!$A$5:$AL$883,K$4,FALSE))</f>
        <v/>
      </c>
      <c r="L359" s="168" t="str">
        <f>IF($C359="","",VLOOKUP($C359,'Tracking List'!$A$5:$AL$883,L$4,FALSE))</f>
        <v/>
      </c>
      <c r="M359" s="147" t="str">
        <f>IF($C359="","",VLOOKUP($C359,'Tracking List'!$A$5:$AL$883,M$4,FALSE))</f>
        <v/>
      </c>
      <c r="N359" s="148" t="str">
        <f>IF($C359="","",IF(VLOOKUP($C359,'Tracking List'!$A$5:$AL$883,N$3,FALSE)&gt;0,"Y",VLOOKUP($C359,'Tracking List'!$A$5:$AL$883,N$4,FALSE)))</f>
        <v/>
      </c>
      <c r="O359" s="148" t="str">
        <f>IF($C359="","",IF(VLOOKUP($C359,'Tracking List'!$A$5:$AL$883,O$3,FALSE)&gt;0,"Y",VLOOKUP($C359,'Tracking List'!$A$5:$AL$883,O$4,FALSE)))</f>
        <v/>
      </c>
      <c r="P359" s="147" t="str">
        <f>IF($C359="","",IF(VLOOKUP($C359,'Tracking List'!$A$5:$AL$883,P$4,FALSE)&gt;0,"Y",""))</f>
        <v/>
      </c>
      <c r="Q359" s="149"/>
      <c r="R359" s="166" t="str">
        <f>IF($C359="","",VLOOKUP($C359,'Tracking List'!$A$5:$AL$883,R$4,FALSE))</f>
        <v/>
      </c>
    </row>
    <row r="360" spans="3:18">
      <c r="C360" s="146"/>
      <c r="D360" s="147" t="str">
        <f>IF($C360="","",VLOOKUP($C360,'Tracking List'!$A$5:$AL$883,D$4,FALSE))</f>
        <v/>
      </c>
      <c r="E360" s="147" t="str">
        <f>IF($C360="","",VLOOKUP($C360,'Tracking List'!$A$5:$AL$883,E$4,FALSE))</f>
        <v/>
      </c>
      <c r="F360" s="147" t="str">
        <f>IF($C360="","",VLOOKUP($C360,'Tracking List'!$A$5:$AL$883,F$4,FALSE))</f>
        <v/>
      </c>
      <c r="G360" s="147" t="str">
        <f>IF($C360="","",VLOOKUP($C360,'Tracking List'!$A$5:$AL$883,G$4,FALSE))</f>
        <v/>
      </c>
      <c r="H360" s="147" t="str">
        <f>IF($C360="","",VLOOKUP($C360,'Tracking List'!$A$5:$AL$883,H$4,FALSE))</f>
        <v/>
      </c>
      <c r="I360" s="147" t="str">
        <f>IF($C360="","",VLOOKUP($C360,'Tracking List'!$A$5:$AL$883,I$4,FALSE))</f>
        <v/>
      </c>
      <c r="J360" s="147" t="str">
        <f>IF($C360="","",VLOOKUP($C360,'Tracking List'!$A$5:$AL$883,J$4,FALSE))</f>
        <v/>
      </c>
      <c r="K360" s="147" t="str">
        <f>IF($C360="","",VLOOKUP($C360,'Tracking List'!$A$5:$AL$883,K$4,FALSE))</f>
        <v/>
      </c>
      <c r="L360" s="168" t="str">
        <f>IF($C360="","",VLOOKUP($C360,'Tracking List'!$A$5:$AL$883,L$4,FALSE))</f>
        <v/>
      </c>
      <c r="M360" s="147" t="str">
        <f>IF($C360="","",VLOOKUP($C360,'Tracking List'!$A$5:$AL$883,M$4,FALSE))</f>
        <v/>
      </c>
      <c r="N360" s="148" t="str">
        <f>IF($C360="","",IF(VLOOKUP($C360,'Tracking List'!$A$5:$AL$883,N$3,FALSE)&gt;0,"Y",VLOOKUP($C360,'Tracking List'!$A$5:$AL$883,N$4,FALSE)))</f>
        <v/>
      </c>
      <c r="O360" s="148" t="str">
        <f>IF($C360="","",IF(VLOOKUP($C360,'Tracking List'!$A$5:$AL$883,O$3,FALSE)&gt;0,"Y",VLOOKUP($C360,'Tracking List'!$A$5:$AL$883,O$4,FALSE)))</f>
        <v/>
      </c>
      <c r="P360" s="147" t="str">
        <f>IF($C360="","",IF(VLOOKUP($C360,'Tracking List'!$A$5:$AL$883,P$4,FALSE)&gt;0,"Y",""))</f>
        <v/>
      </c>
      <c r="Q360" s="149"/>
      <c r="R360" s="166" t="str">
        <f>IF($C360="","",VLOOKUP($C360,'Tracking List'!$A$5:$AL$883,R$4,FALSE))</f>
        <v/>
      </c>
    </row>
    <row r="361" spans="3:18">
      <c r="C361" s="146"/>
      <c r="D361" s="147" t="str">
        <f>IF($C361="","",VLOOKUP($C361,'Tracking List'!$A$5:$AL$883,D$4,FALSE))</f>
        <v/>
      </c>
      <c r="E361" s="147" t="str">
        <f>IF($C361="","",VLOOKUP($C361,'Tracking List'!$A$5:$AL$883,E$4,FALSE))</f>
        <v/>
      </c>
      <c r="F361" s="147" t="str">
        <f>IF($C361="","",VLOOKUP($C361,'Tracking List'!$A$5:$AL$883,F$4,FALSE))</f>
        <v/>
      </c>
      <c r="G361" s="147" t="str">
        <f>IF($C361="","",VLOOKUP($C361,'Tracking List'!$A$5:$AL$883,G$4,FALSE))</f>
        <v/>
      </c>
      <c r="H361" s="147" t="str">
        <f>IF($C361="","",VLOOKUP($C361,'Tracking List'!$A$5:$AL$883,H$4,FALSE))</f>
        <v/>
      </c>
      <c r="I361" s="147" t="str">
        <f>IF($C361="","",VLOOKUP($C361,'Tracking List'!$A$5:$AL$883,I$4,FALSE))</f>
        <v/>
      </c>
      <c r="J361" s="147" t="str">
        <f>IF($C361="","",VLOOKUP($C361,'Tracking List'!$A$5:$AL$883,J$4,FALSE))</f>
        <v/>
      </c>
      <c r="K361" s="147" t="str">
        <f>IF($C361="","",VLOOKUP($C361,'Tracking List'!$A$5:$AL$883,K$4,FALSE))</f>
        <v/>
      </c>
      <c r="L361" s="168" t="str">
        <f>IF($C361="","",VLOOKUP($C361,'Tracking List'!$A$5:$AL$883,L$4,FALSE))</f>
        <v/>
      </c>
      <c r="M361" s="147" t="str">
        <f>IF($C361="","",VLOOKUP($C361,'Tracking List'!$A$5:$AL$883,M$4,FALSE))</f>
        <v/>
      </c>
      <c r="N361" s="148" t="str">
        <f>IF($C361="","",IF(VLOOKUP($C361,'Tracking List'!$A$5:$AL$883,N$3,FALSE)&gt;0,"Y",VLOOKUP($C361,'Tracking List'!$A$5:$AL$883,N$4,FALSE)))</f>
        <v/>
      </c>
      <c r="O361" s="148" t="str">
        <f>IF($C361="","",IF(VLOOKUP($C361,'Tracking List'!$A$5:$AL$883,O$3,FALSE)&gt;0,"Y",VLOOKUP($C361,'Tracking List'!$A$5:$AL$883,O$4,FALSE)))</f>
        <v/>
      </c>
      <c r="P361" s="147" t="str">
        <f>IF($C361="","",IF(VLOOKUP($C361,'Tracking List'!$A$5:$AL$883,P$4,FALSE)&gt;0,"Y",""))</f>
        <v/>
      </c>
      <c r="Q361" s="149"/>
      <c r="R361" s="166" t="str">
        <f>IF($C361="","",VLOOKUP($C361,'Tracking List'!$A$5:$AL$883,R$4,FALSE))</f>
        <v/>
      </c>
    </row>
    <row r="362" spans="3:18">
      <c r="C362" s="146"/>
      <c r="D362" s="147" t="str">
        <f>IF($C362="","",VLOOKUP($C362,'Tracking List'!$A$5:$AL$883,D$4,FALSE))</f>
        <v/>
      </c>
      <c r="E362" s="147" t="str">
        <f>IF($C362="","",VLOOKUP($C362,'Tracking List'!$A$5:$AL$883,E$4,FALSE))</f>
        <v/>
      </c>
      <c r="F362" s="147" t="str">
        <f>IF($C362="","",VLOOKUP($C362,'Tracking List'!$A$5:$AL$883,F$4,FALSE))</f>
        <v/>
      </c>
      <c r="G362" s="147" t="str">
        <f>IF($C362="","",VLOOKUP($C362,'Tracking List'!$A$5:$AL$883,G$4,FALSE))</f>
        <v/>
      </c>
      <c r="H362" s="147" t="str">
        <f>IF($C362="","",VLOOKUP($C362,'Tracking List'!$A$5:$AL$883,H$4,FALSE))</f>
        <v/>
      </c>
      <c r="I362" s="147" t="str">
        <f>IF($C362="","",VLOOKUP($C362,'Tracking List'!$A$5:$AL$883,I$4,FALSE))</f>
        <v/>
      </c>
      <c r="J362" s="147" t="str">
        <f>IF($C362="","",VLOOKUP($C362,'Tracking List'!$A$5:$AL$883,J$4,FALSE))</f>
        <v/>
      </c>
      <c r="K362" s="147" t="str">
        <f>IF($C362="","",VLOOKUP($C362,'Tracking List'!$A$5:$AL$883,K$4,FALSE))</f>
        <v/>
      </c>
      <c r="L362" s="168" t="str">
        <f>IF($C362="","",VLOOKUP($C362,'Tracking List'!$A$5:$AL$883,L$4,FALSE))</f>
        <v/>
      </c>
      <c r="M362" s="147" t="str">
        <f>IF($C362="","",VLOOKUP($C362,'Tracking List'!$A$5:$AL$883,M$4,FALSE))</f>
        <v/>
      </c>
      <c r="N362" s="148" t="str">
        <f>IF($C362="","",IF(VLOOKUP($C362,'Tracking List'!$A$5:$AL$883,N$3,FALSE)&gt;0,"Y",VLOOKUP($C362,'Tracking List'!$A$5:$AL$883,N$4,FALSE)))</f>
        <v/>
      </c>
      <c r="O362" s="148" t="str">
        <f>IF($C362="","",IF(VLOOKUP($C362,'Tracking List'!$A$5:$AL$883,O$3,FALSE)&gt;0,"Y",VLOOKUP($C362,'Tracking List'!$A$5:$AL$883,O$4,FALSE)))</f>
        <v/>
      </c>
      <c r="P362" s="147" t="str">
        <f>IF($C362="","",IF(VLOOKUP($C362,'Tracking List'!$A$5:$AL$883,P$4,FALSE)&gt;0,"Y",""))</f>
        <v/>
      </c>
      <c r="Q362" s="149"/>
      <c r="R362" s="166" t="str">
        <f>IF($C362="","",VLOOKUP($C362,'Tracking List'!$A$5:$AL$883,R$4,FALSE))</f>
        <v/>
      </c>
    </row>
    <row r="363" spans="3:18">
      <c r="C363" s="146"/>
      <c r="D363" s="147" t="str">
        <f>IF($C363="","",VLOOKUP($C363,'Tracking List'!$A$5:$AL$883,D$4,FALSE))</f>
        <v/>
      </c>
      <c r="E363" s="147" t="str">
        <f>IF($C363="","",VLOOKUP($C363,'Tracking List'!$A$5:$AL$883,E$4,FALSE))</f>
        <v/>
      </c>
      <c r="F363" s="147" t="str">
        <f>IF($C363="","",VLOOKUP($C363,'Tracking List'!$A$5:$AL$883,F$4,FALSE))</f>
        <v/>
      </c>
      <c r="G363" s="147" t="str">
        <f>IF($C363="","",VLOOKUP($C363,'Tracking List'!$A$5:$AL$883,G$4,FALSE))</f>
        <v/>
      </c>
      <c r="H363" s="147" t="str">
        <f>IF($C363="","",VLOOKUP($C363,'Tracking List'!$A$5:$AL$883,H$4,FALSE))</f>
        <v/>
      </c>
      <c r="I363" s="147" t="str">
        <f>IF($C363="","",VLOOKUP($C363,'Tracking List'!$A$5:$AL$883,I$4,FALSE))</f>
        <v/>
      </c>
      <c r="J363" s="147" t="str">
        <f>IF($C363="","",VLOOKUP($C363,'Tracking List'!$A$5:$AL$883,J$4,FALSE))</f>
        <v/>
      </c>
      <c r="K363" s="147" t="str">
        <f>IF($C363="","",VLOOKUP($C363,'Tracking List'!$A$5:$AL$883,K$4,FALSE))</f>
        <v/>
      </c>
      <c r="L363" s="168" t="str">
        <f>IF($C363="","",VLOOKUP($C363,'Tracking List'!$A$5:$AL$883,L$4,FALSE))</f>
        <v/>
      </c>
      <c r="M363" s="147" t="str">
        <f>IF($C363="","",VLOOKUP($C363,'Tracking List'!$A$5:$AL$883,M$4,FALSE))</f>
        <v/>
      </c>
      <c r="N363" s="148" t="str">
        <f>IF($C363="","",IF(VLOOKUP($C363,'Tracking List'!$A$5:$AL$883,N$3,FALSE)&gt;0,"Y",VLOOKUP($C363,'Tracking List'!$A$5:$AL$883,N$4,FALSE)))</f>
        <v/>
      </c>
      <c r="O363" s="148" t="str">
        <f>IF($C363="","",IF(VLOOKUP($C363,'Tracking List'!$A$5:$AL$883,O$3,FALSE)&gt;0,"Y",VLOOKUP($C363,'Tracking List'!$A$5:$AL$883,O$4,FALSE)))</f>
        <v/>
      </c>
      <c r="P363" s="147" t="str">
        <f>IF($C363="","",IF(VLOOKUP($C363,'Tracking List'!$A$5:$AL$883,P$4,FALSE)&gt;0,"Y",""))</f>
        <v/>
      </c>
      <c r="Q363" s="149"/>
      <c r="R363" s="166" t="str">
        <f>IF($C363="","",VLOOKUP($C363,'Tracking List'!$A$5:$AL$883,R$4,FALSE))</f>
        <v/>
      </c>
    </row>
    <row r="364" spans="3:18">
      <c r="C364" s="146"/>
      <c r="D364" s="147" t="str">
        <f>IF($C364="","",VLOOKUP($C364,'Tracking List'!$A$5:$AL$883,D$4,FALSE))</f>
        <v/>
      </c>
      <c r="E364" s="147" t="str">
        <f>IF($C364="","",VLOOKUP($C364,'Tracking List'!$A$5:$AL$883,E$4,FALSE))</f>
        <v/>
      </c>
      <c r="F364" s="147" t="str">
        <f>IF($C364="","",VLOOKUP($C364,'Tracking List'!$A$5:$AL$883,F$4,FALSE))</f>
        <v/>
      </c>
      <c r="G364" s="147" t="str">
        <f>IF($C364="","",VLOOKUP($C364,'Tracking List'!$A$5:$AL$883,G$4,FALSE))</f>
        <v/>
      </c>
      <c r="H364" s="147" t="str">
        <f>IF($C364="","",VLOOKUP($C364,'Tracking List'!$A$5:$AL$883,H$4,FALSE))</f>
        <v/>
      </c>
      <c r="I364" s="147" t="str">
        <f>IF($C364="","",VLOOKUP($C364,'Tracking List'!$A$5:$AL$883,I$4,FALSE))</f>
        <v/>
      </c>
      <c r="J364" s="147" t="str">
        <f>IF($C364="","",VLOOKUP($C364,'Tracking List'!$A$5:$AL$883,J$4,FALSE))</f>
        <v/>
      </c>
      <c r="K364" s="147" t="str">
        <f>IF($C364="","",VLOOKUP($C364,'Tracking List'!$A$5:$AL$883,K$4,FALSE))</f>
        <v/>
      </c>
      <c r="L364" s="168" t="str">
        <f>IF($C364="","",VLOOKUP($C364,'Tracking List'!$A$5:$AL$883,L$4,FALSE))</f>
        <v/>
      </c>
      <c r="M364" s="147" t="str">
        <f>IF($C364="","",VLOOKUP($C364,'Tracking List'!$A$5:$AL$883,M$4,FALSE))</f>
        <v/>
      </c>
      <c r="N364" s="148" t="str">
        <f>IF($C364="","",IF(VLOOKUP($C364,'Tracking List'!$A$5:$AL$883,N$3,FALSE)&gt;0,"Y",VLOOKUP($C364,'Tracking List'!$A$5:$AL$883,N$4,FALSE)))</f>
        <v/>
      </c>
      <c r="O364" s="148" t="str">
        <f>IF($C364="","",IF(VLOOKUP($C364,'Tracking List'!$A$5:$AL$883,O$3,FALSE)&gt;0,"Y",VLOOKUP($C364,'Tracking List'!$A$5:$AL$883,O$4,FALSE)))</f>
        <v/>
      </c>
      <c r="P364" s="147" t="str">
        <f>IF($C364="","",IF(VLOOKUP($C364,'Tracking List'!$A$5:$AL$883,P$4,FALSE)&gt;0,"Y",""))</f>
        <v/>
      </c>
      <c r="Q364" s="149"/>
      <c r="R364" s="166" t="str">
        <f>IF($C364="","",VLOOKUP($C364,'Tracking List'!$A$5:$AL$883,R$4,FALSE))</f>
        <v/>
      </c>
    </row>
    <row r="365" spans="3:18">
      <c r="C365" s="146"/>
      <c r="D365" s="147" t="str">
        <f>IF($C365="","",VLOOKUP($C365,'Tracking List'!$A$5:$AL$883,D$4,FALSE))</f>
        <v/>
      </c>
      <c r="E365" s="147" t="str">
        <f>IF($C365="","",VLOOKUP($C365,'Tracking List'!$A$5:$AL$883,E$4,FALSE))</f>
        <v/>
      </c>
      <c r="F365" s="147" t="str">
        <f>IF($C365="","",VLOOKUP($C365,'Tracking List'!$A$5:$AL$883,F$4,FALSE))</f>
        <v/>
      </c>
      <c r="G365" s="147" t="str">
        <f>IF($C365="","",VLOOKUP($C365,'Tracking List'!$A$5:$AL$883,G$4,FALSE))</f>
        <v/>
      </c>
      <c r="H365" s="147" t="str">
        <f>IF($C365="","",VLOOKUP($C365,'Tracking List'!$A$5:$AL$883,H$4,FALSE))</f>
        <v/>
      </c>
      <c r="I365" s="147" t="str">
        <f>IF($C365="","",VLOOKUP($C365,'Tracking List'!$A$5:$AL$883,I$4,FALSE))</f>
        <v/>
      </c>
      <c r="J365" s="147" t="str">
        <f>IF($C365="","",VLOOKUP($C365,'Tracking List'!$A$5:$AL$883,J$4,FALSE))</f>
        <v/>
      </c>
      <c r="K365" s="147" t="str">
        <f>IF($C365="","",VLOOKUP($C365,'Tracking List'!$A$5:$AL$883,K$4,FALSE))</f>
        <v/>
      </c>
      <c r="L365" s="168" t="str">
        <f>IF($C365="","",VLOOKUP($C365,'Tracking List'!$A$5:$AL$883,L$4,FALSE))</f>
        <v/>
      </c>
      <c r="M365" s="147" t="str">
        <f>IF($C365="","",VLOOKUP($C365,'Tracking List'!$A$5:$AL$883,M$4,FALSE))</f>
        <v/>
      </c>
      <c r="N365" s="148" t="str">
        <f>IF($C365="","",IF(VLOOKUP($C365,'Tracking List'!$A$5:$AL$883,N$3,FALSE)&gt;0,"Y",VLOOKUP($C365,'Tracking List'!$A$5:$AL$883,N$4,FALSE)))</f>
        <v/>
      </c>
      <c r="O365" s="148" t="str">
        <f>IF($C365="","",IF(VLOOKUP($C365,'Tracking List'!$A$5:$AL$883,O$3,FALSE)&gt;0,"Y",VLOOKUP($C365,'Tracking List'!$A$5:$AL$883,O$4,FALSE)))</f>
        <v/>
      </c>
      <c r="P365" s="147" t="str">
        <f>IF($C365="","",IF(VLOOKUP($C365,'Tracking List'!$A$5:$AL$883,P$4,FALSE)&gt;0,"Y",""))</f>
        <v/>
      </c>
      <c r="Q365" s="149"/>
      <c r="R365" s="166" t="str">
        <f>IF($C365="","",VLOOKUP($C365,'Tracking List'!$A$5:$AL$883,R$4,FALSE))</f>
        <v/>
      </c>
    </row>
    <row r="366" spans="3:18">
      <c r="C366" s="146"/>
      <c r="D366" s="147" t="str">
        <f>IF($C366="","",VLOOKUP($C366,'Tracking List'!$A$5:$AL$883,D$4,FALSE))</f>
        <v/>
      </c>
      <c r="E366" s="147" t="str">
        <f>IF($C366="","",VLOOKUP($C366,'Tracking List'!$A$5:$AL$883,E$4,FALSE))</f>
        <v/>
      </c>
      <c r="F366" s="147" t="str">
        <f>IF($C366="","",VLOOKUP($C366,'Tracking List'!$A$5:$AL$883,F$4,FALSE))</f>
        <v/>
      </c>
      <c r="G366" s="147" t="str">
        <f>IF($C366="","",VLOOKUP($C366,'Tracking List'!$A$5:$AL$883,G$4,FALSE))</f>
        <v/>
      </c>
      <c r="H366" s="147" t="str">
        <f>IF($C366="","",VLOOKUP($C366,'Tracking List'!$A$5:$AL$883,H$4,FALSE))</f>
        <v/>
      </c>
      <c r="I366" s="147" t="str">
        <f>IF($C366="","",VLOOKUP($C366,'Tracking List'!$A$5:$AL$883,I$4,FALSE))</f>
        <v/>
      </c>
      <c r="J366" s="147" t="str">
        <f>IF($C366="","",VLOOKUP($C366,'Tracking List'!$A$5:$AL$883,J$4,FALSE))</f>
        <v/>
      </c>
      <c r="K366" s="147" t="str">
        <f>IF($C366="","",VLOOKUP($C366,'Tracking List'!$A$5:$AL$883,K$4,FALSE))</f>
        <v/>
      </c>
      <c r="L366" s="168" t="str">
        <f>IF($C366="","",VLOOKUP($C366,'Tracking List'!$A$5:$AL$883,L$4,FALSE))</f>
        <v/>
      </c>
      <c r="M366" s="147" t="str">
        <f>IF($C366="","",VLOOKUP($C366,'Tracking List'!$A$5:$AL$883,M$4,FALSE))</f>
        <v/>
      </c>
      <c r="N366" s="148" t="str">
        <f>IF($C366="","",IF(VLOOKUP($C366,'Tracking List'!$A$5:$AL$883,N$3,FALSE)&gt;0,"Y",VLOOKUP($C366,'Tracking List'!$A$5:$AL$883,N$4,FALSE)))</f>
        <v/>
      </c>
      <c r="O366" s="148" t="str">
        <f>IF($C366="","",IF(VLOOKUP($C366,'Tracking List'!$A$5:$AL$883,O$3,FALSE)&gt;0,"Y",VLOOKUP($C366,'Tracking List'!$A$5:$AL$883,O$4,FALSE)))</f>
        <v/>
      </c>
      <c r="P366" s="147" t="str">
        <f>IF($C366="","",IF(VLOOKUP($C366,'Tracking List'!$A$5:$AL$883,P$4,FALSE)&gt;0,"Y",""))</f>
        <v/>
      </c>
      <c r="Q366" s="149"/>
      <c r="R366" s="166" t="str">
        <f>IF($C366="","",VLOOKUP($C366,'Tracking List'!$A$5:$AL$883,R$4,FALSE))</f>
        <v/>
      </c>
    </row>
    <row r="367" spans="3:18">
      <c r="C367" s="146"/>
      <c r="D367" s="147" t="str">
        <f>IF($C367="","",VLOOKUP($C367,'Tracking List'!$A$5:$AL$883,D$4,FALSE))</f>
        <v/>
      </c>
      <c r="E367" s="147" t="str">
        <f>IF($C367="","",VLOOKUP($C367,'Tracking List'!$A$5:$AL$883,E$4,FALSE))</f>
        <v/>
      </c>
      <c r="F367" s="147" t="str">
        <f>IF($C367="","",VLOOKUP($C367,'Tracking List'!$A$5:$AL$883,F$4,FALSE))</f>
        <v/>
      </c>
      <c r="G367" s="147" t="str">
        <f>IF($C367="","",VLOOKUP($C367,'Tracking List'!$A$5:$AL$883,G$4,FALSE))</f>
        <v/>
      </c>
      <c r="H367" s="147" t="str">
        <f>IF($C367="","",VLOOKUP($C367,'Tracking List'!$A$5:$AL$883,H$4,FALSE))</f>
        <v/>
      </c>
      <c r="I367" s="147" t="str">
        <f>IF($C367="","",VLOOKUP($C367,'Tracking List'!$A$5:$AL$883,I$4,FALSE))</f>
        <v/>
      </c>
      <c r="J367" s="147" t="str">
        <f>IF($C367="","",VLOOKUP($C367,'Tracking List'!$A$5:$AL$883,J$4,FALSE))</f>
        <v/>
      </c>
      <c r="K367" s="147" t="str">
        <f>IF($C367="","",VLOOKUP($C367,'Tracking List'!$A$5:$AL$883,K$4,FALSE))</f>
        <v/>
      </c>
      <c r="L367" s="168" t="str">
        <f>IF($C367="","",VLOOKUP($C367,'Tracking List'!$A$5:$AL$883,L$4,FALSE))</f>
        <v/>
      </c>
      <c r="M367" s="147" t="str">
        <f>IF($C367="","",VLOOKUP($C367,'Tracking List'!$A$5:$AL$883,M$4,FALSE))</f>
        <v/>
      </c>
      <c r="N367" s="148" t="str">
        <f>IF($C367="","",IF(VLOOKUP($C367,'Tracking List'!$A$5:$AL$883,N$3,FALSE)&gt;0,"Y",VLOOKUP($C367,'Tracking List'!$A$5:$AL$883,N$4,FALSE)))</f>
        <v/>
      </c>
      <c r="O367" s="148" t="str">
        <f>IF($C367="","",IF(VLOOKUP($C367,'Tracking List'!$A$5:$AL$883,O$3,FALSE)&gt;0,"Y",VLOOKUP($C367,'Tracking List'!$A$5:$AL$883,O$4,FALSE)))</f>
        <v/>
      </c>
      <c r="P367" s="147" t="str">
        <f>IF($C367="","",IF(VLOOKUP($C367,'Tracking List'!$A$5:$AL$883,P$4,FALSE)&gt;0,"Y",""))</f>
        <v/>
      </c>
      <c r="Q367" s="149"/>
      <c r="R367" s="166" t="str">
        <f>IF($C367="","",VLOOKUP($C367,'Tracking List'!$A$5:$AL$883,R$4,FALSE))</f>
        <v/>
      </c>
    </row>
    <row r="368" spans="3:18">
      <c r="C368" s="146"/>
      <c r="D368" s="147" t="str">
        <f>IF($C368="","",VLOOKUP($C368,'Tracking List'!$A$5:$AL$883,D$4,FALSE))</f>
        <v/>
      </c>
      <c r="E368" s="147" t="str">
        <f>IF($C368="","",VLOOKUP($C368,'Tracking List'!$A$5:$AL$883,E$4,FALSE))</f>
        <v/>
      </c>
      <c r="F368" s="147" t="str">
        <f>IF($C368="","",VLOOKUP($C368,'Tracking List'!$A$5:$AL$883,F$4,FALSE))</f>
        <v/>
      </c>
      <c r="G368" s="147" t="str">
        <f>IF($C368="","",VLOOKUP($C368,'Tracking List'!$A$5:$AL$883,G$4,FALSE))</f>
        <v/>
      </c>
      <c r="H368" s="147" t="str">
        <f>IF($C368="","",VLOOKUP($C368,'Tracking List'!$A$5:$AL$883,H$4,FALSE))</f>
        <v/>
      </c>
      <c r="I368" s="147" t="str">
        <f>IF($C368="","",VLOOKUP($C368,'Tracking List'!$A$5:$AL$883,I$4,FALSE))</f>
        <v/>
      </c>
      <c r="J368" s="147" t="str">
        <f>IF($C368="","",VLOOKUP($C368,'Tracking List'!$A$5:$AL$883,J$4,FALSE))</f>
        <v/>
      </c>
      <c r="K368" s="147" t="str">
        <f>IF($C368="","",VLOOKUP($C368,'Tracking List'!$A$5:$AL$883,K$4,FALSE))</f>
        <v/>
      </c>
      <c r="L368" s="168" t="str">
        <f>IF($C368="","",VLOOKUP($C368,'Tracking List'!$A$5:$AL$883,L$4,FALSE))</f>
        <v/>
      </c>
      <c r="M368" s="147" t="str">
        <f>IF($C368="","",VLOOKUP($C368,'Tracking List'!$A$5:$AL$883,M$4,FALSE))</f>
        <v/>
      </c>
      <c r="N368" s="148" t="str">
        <f>IF($C368="","",IF(VLOOKUP($C368,'Tracking List'!$A$5:$AL$883,N$3,FALSE)&gt;0,"Y",VLOOKUP($C368,'Tracking List'!$A$5:$AL$883,N$4,FALSE)))</f>
        <v/>
      </c>
      <c r="O368" s="148" t="str">
        <f>IF($C368="","",IF(VLOOKUP($C368,'Tracking List'!$A$5:$AL$883,O$3,FALSE)&gt;0,"Y",VLOOKUP($C368,'Tracking List'!$A$5:$AL$883,O$4,FALSE)))</f>
        <v/>
      </c>
      <c r="P368" s="147" t="str">
        <f>IF($C368="","",IF(VLOOKUP($C368,'Tracking List'!$A$5:$AL$883,P$4,FALSE)&gt;0,"Y",""))</f>
        <v/>
      </c>
      <c r="Q368" s="149"/>
      <c r="R368" s="166" t="str">
        <f>IF($C368="","",VLOOKUP($C368,'Tracking List'!$A$5:$AL$883,R$4,FALSE))</f>
        <v/>
      </c>
    </row>
    <row r="369" spans="3:18">
      <c r="C369" s="146"/>
      <c r="D369" s="147" t="str">
        <f>IF($C369="","",VLOOKUP($C369,'Tracking List'!$A$5:$AL$883,D$4,FALSE))</f>
        <v/>
      </c>
      <c r="E369" s="147" t="str">
        <f>IF($C369="","",VLOOKUP($C369,'Tracking List'!$A$5:$AL$883,E$4,FALSE))</f>
        <v/>
      </c>
      <c r="F369" s="147" t="str">
        <f>IF($C369="","",VLOOKUP($C369,'Tracking List'!$A$5:$AL$883,F$4,FALSE))</f>
        <v/>
      </c>
      <c r="G369" s="147" t="str">
        <f>IF($C369="","",VLOOKUP($C369,'Tracking List'!$A$5:$AL$883,G$4,FALSE))</f>
        <v/>
      </c>
      <c r="H369" s="147" t="str">
        <f>IF($C369="","",VLOOKUP($C369,'Tracking List'!$A$5:$AL$883,H$4,FALSE))</f>
        <v/>
      </c>
      <c r="I369" s="147" t="str">
        <f>IF($C369="","",VLOOKUP($C369,'Tracking List'!$A$5:$AL$883,I$4,FALSE))</f>
        <v/>
      </c>
      <c r="J369" s="147" t="str">
        <f>IF($C369="","",VLOOKUP($C369,'Tracking List'!$A$5:$AL$883,J$4,FALSE))</f>
        <v/>
      </c>
      <c r="K369" s="147" t="str">
        <f>IF($C369="","",VLOOKUP($C369,'Tracking List'!$A$5:$AL$883,K$4,FALSE))</f>
        <v/>
      </c>
      <c r="L369" s="168" t="str">
        <f>IF($C369="","",VLOOKUP($C369,'Tracking List'!$A$5:$AL$883,L$4,FALSE))</f>
        <v/>
      </c>
      <c r="M369" s="147" t="str">
        <f>IF($C369="","",VLOOKUP($C369,'Tracking List'!$A$5:$AL$883,M$4,FALSE))</f>
        <v/>
      </c>
      <c r="N369" s="148" t="str">
        <f>IF($C369="","",IF(VLOOKUP($C369,'Tracking List'!$A$5:$AL$883,N$3,FALSE)&gt;0,"Y",VLOOKUP($C369,'Tracking List'!$A$5:$AL$883,N$4,FALSE)))</f>
        <v/>
      </c>
      <c r="O369" s="148" t="str">
        <f>IF($C369="","",IF(VLOOKUP($C369,'Tracking List'!$A$5:$AL$883,O$3,FALSE)&gt;0,"Y",VLOOKUP($C369,'Tracking List'!$A$5:$AL$883,O$4,FALSE)))</f>
        <v/>
      </c>
      <c r="P369" s="147" t="str">
        <f>IF($C369="","",IF(VLOOKUP($C369,'Tracking List'!$A$5:$AL$883,P$4,FALSE)&gt;0,"Y",""))</f>
        <v/>
      </c>
      <c r="Q369" s="149"/>
      <c r="R369" s="166" t="str">
        <f>IF($C369="","",VLOOKUP($C369,'Tracking List'!$A$5:$AL$883,R$4,FALSE))</f>
        <v/>
      </c>
    </row>
    <row r="370" spans="3:18">
      <c r="C370" s="146"/>
      <c r="D370" s="147" t="str">
        <f>IF($C370="","",VLOOKUP($C370,'Tracking List'!$A$5:$AL$883,D$4,FALSE))</f>
        <v/>
      </c>
      <c r="E370" s="147" t="str">
        <f>IF($C370="","",VLOOKUP($C370,'Tracking List'!$A$5:$AL$883,E$4,FALSE))</f>
        <v/>
      </c>
      <c r="F370" s="147" t="str">
        <f>IF($C370="","",VLOOKUP($C370,'Tracking List'!$A$5:$AL$883,F$4,FALSE))</f>
        <v/>
      </c>
      <c r="G370" s="147" t="str">
        <f>IF($C370="","",VLOOKUP($C370,'Tracking List'!$A$5:$AL$883,G$4,FALSE))</f>
        <v/>
      </c>
      <c r="H370" s="147" t="str">
        <f>IF($C370="","",VLOOKUP($C370,'Tracking List'!$A$5:$AL$883,H$4,FALSE))</f>
        <v/>
      </c>
      <c r="I370" s="147" t="str">
        <f>IF($C370="","",VLOOKUP($C370,'Tracking List'!$A$5:$AL$883,I$4,FALSE))</f>
        <v/>
      </c>
      <c r="J370" s="147" t="str">
        <f>IF($C370="","",VLOOKUP($C370,'Tracking List'!$A$5:$AL$883,J$4,FALSE))</f>
        <v/>
      </c>
      <c r="K370" s="147" t="str">
        <f>IF($C370="","",VLOOKUP($C370,'Tracking List'!$A$5:$AL$883,K$4,FALSE))</f>
        <v/>
      </c>
      <c r="L370" s="168" t="str">
        <f>IF($C370="","",VLOOKUP($C370,'Tracking List'!$A$5:$AL$883,L$4,FALSE))</f>
        <v/>
      </c>
      <c r="M370" s="147" t="str">
        <f>IF($C370="","",VLOOKUP($C370,'Tracking List'!$A$5:$AL$883,M$4,FALSE))</f>
        <v/>
      </c>
      <c r="N370" s="148" t="str">
        <f>IF($C370="","",IF(VLOOKUP($C370,'Tracking List'!$A$5:$AL$883,N$3,FALSE)&gt;0,"Y",VLOOKUP($C370,'Tracking List'!$A$5:$AL$883,N$4,FALSE)))</f>
        <v/>
      </c>
      <c r="O370" s="148" t="str">
        <f>IF($C370="","",IF(VLOOKUP($C370,'Tracking List'!$A$5:$AL$883,O$3,FALSE)&gt;0,"Y",VLOOKUP($C370,'Tracking List'!$A$5:$AL$883,O$4,FALSE)))</f>
        <v/>
      </c>
      <c r="P370" s="147" t="str">
        <f>IF($C370="","",IF(VLOOKUP($C370,'Tracking List'!$A$5:$AL$883,P$4,FALSE)&gt;0,"Y",""))</f>
        <v/>
      </c>
      <c r="Q370" s="149"/>
      <c r="R370" s="166" t="str">
        <f>IF($C370="","",VLOOKUP($C370,'Tracking List'!$A$5:$AL$883,R$4,FALSE))</f>
        <v/>
      </c>
    </row>
    <row r="371" spans="3:18">
      <c r="C371" s="146"/>
      <c r="D371" s="147" t="str">
        <f>IF($C371="","",VLOOKUP($C371,'Tracking List'!$A$5:$AL$883,D$4,FALSE))</f>
        <v/>
      </c>
      <c r="E371" s="147" t="str">
        <f>IF($C371="","",VLOOKUP($C371,'Tracking List'!$A$5:$AL$883,E$4,FALSE))</f>
        <v/>
      </c>
      <c r="F371" s="147" t="str">
        <f>IF($C371="","",VLOOKUP($C371,'Tracking List'!$A$5:$AL$883,F$4,FALSE))</f>
        <v/>
      </c>
      <c r="G371" s="147" t="str">
        <f>IF($C371="","",VLOOKUP($C371,'Tracking List'!$A$5:$AL$883,G$4,FALSE))</f>
        <v/>
      </c>
      <c r="H371" s="147" t="str">
        <f>IF($C371="","",VLOOKUP($C371,'Tracking List'!$A$5:$AL$883,H$4,FALSE))</f>
        <v/>
      </c>
      <c r="I371" s="147" t="str">
        <f>IF($C371="","",VLOOKUP($C371,'Tracking List'!$A$5:$AL$883,I$4,FALSE))</f>
        <v/>
      </c>
      <c r="J371" s="147" t="str">
        <f>IF($C371="","",VLOOKUP($C371,'Tracking List'!$A$5:$AL$883,J$4,FALSE))</f>
        <v/>
      </c>
      <c r="K371" s="147" t="str">
        <f>IF($C371="","",VLOOKUP($C371,'Tracking List'!$A$5:$AL$883,K$4,FALSE))</f>
        <v/>
      </c>
      <c r="L371" s="168" t="str">
        <f>IF($C371="","",VLOOKUP($C371,'Tracking List'!$A$5:$AL$883,L$4,FALSE))</f>
        <v/>
      </c>
      <c r="M371" s="147" t="str">
        <f>IF($C371="","",VLOOKUP($C371,'Tracking List'!$A$5:$AL$883,M$4,FALSE))</f>
        <v/>
      </c>
      <c r="N371" s="148" t="str">
        <f>IF($C371="","",IF(VLOOKUP($C371,'Tracking List'!$A$5:$AL$883,N$3,FALSE)&gt;0,"Y",VLOOKUP($C371,'Tracking List'!$A$5:$AL$883,N$4,FALSE)))</f>
        <v/>
      </c>
      <c r="O371" s="148" t="str">
        <f>IF($C371="","",IF(VLOOKUP($C371,'Tracking List'!$A$5:$AL$883,O$3,FALSE)&gt;0,"Y",VLOOKUP($C371,'Tracking List'!$A$5:$AL$883,O$4,FALSE)))</f>
        <v/>
      </c>
      <c r="P371" s="147" t="str">
        <f>IF($C371="","",IF(VLOOKUP($C371,'Tracking List'!$A$5:$AL$883,P$4,FALSE)&gt;0,"Y",""))</f>
        <v/>
      </c>
      <c r="Q371" s="149"/>
      <c r="R371" s="166" t="str">
        <f>IF($C371="","",VLOOKUP($C371,'Tracking List'!$A$5:$AL$883,R$4,FALSE))</f>
        <v/>
      </c>
    </row>
    <row r="372" spans="3:18">
      <c r="C372" s="146"/>
      <c r="D372" s="147" t="str">
        <f>IF($C372="","",VLOOKUP($C372,'Tracking List'!$A$5:$AL$883,D$4,FALSE))</f>
        <v/>
      </c>
      <c r="E372" s="147" t="str">
        <f>IF($C372="","",VLOOKUP($C372,'Tracking List'!$A$5:$AL$883,E$4,FALSE))</f>
        <v/>
      </c>
      <c r="F372" s="147" t="str">
        <f>IF($C372="","",VLOOKUP($C372,'Tracking List'!$A$5:$AL$883,F$4,FALSE))</f>
        <v/>
      </c>
      <c r="G372" s="147" t="str">
        <f>IF($C372="","",VLOOKUP($C372,'Tracking List'!$A$5:$AL$883,G$4,FALSE))</f>
        <v/>
      </c>
      <c r="H372" s="147" t="str">
        <f>IF($C372="","",VLOOKUP($C372,'Tracking List'!$A$5:$AL$883,H$4,FALSE))</f>
        <v/>
      </c>
      <c r="I372" s="147" t="str">
        <f>IF($C372="","",VLOOKUP($C372,'Tracking List'!$A$5:$AL$883,I$4,FALSE))</f>
        <v/>
      </c>
      <c r="J372" s="147" t="str">
        <f>IF($C372="","",VLOOKUP($C372,'Tracking List'!$A$5:$AL$883,J$4,FALSE))</f>
        <v/>
      </c>
      <c r="K372" s="147" t="str">
        <f>IF($C372="","",VLOOKUP($C372,'Tracking List'!$A$5:$AL$883,K$4,FALSE))</f>
        <v/>
      </c>
      <c r="L372" s="168" t="str">
        <f>IF($C372="","",VLOOKUP($C372,'Tracking List'!$A$5:$AL$883,L$4,FALSE))</f>
        <v/>
      </c>
      <c r="M372" s="147" t="str">
        <f>IF($C372="","",VLOOKUP($C372,'Tracking List'!$A$5:$AL$883,M$4,FALSE))</f>
        <v/>
      </c>
      <c r="N372" s="148" t="str">
        <f>IF($C372="","",IF(VLOOKUP($C372,'Tracking List'!$A$5:$AL$883,N$3,FALSE)&gt;0,"Y",VLOOKUP($C372,'Tracking List'!$A$5:$AL$883,N$4,FALSE)))</f>
        <v/>
      </c>
      <c r="O372" s="148" t="str">
        <f>IF($C372="","",IF(VLOOKUP($C372,'Tracking List'!$A$5:$AL$883,O$3,FALSE)&gt;0,"Y",VLOOKUP($C372,'Tracking List'!$A$5:$AL$883,O$4,FALSE)))</f>
        <v/>
      </c>
      <c r="P372" s="147" t="str">
        <f>IF($C372="","",IF(VLOOKUP($C372,'Tracking List'!$A$5:$AL$883,P$4,FALSE)&gt;0,"Y",""))</f>
        <v/>
      </c>
      <c r="Q372" s="149"/>
      <c r="R372" s="166" t="str">
        <f>IF($C372="","",VLOOKUP($C372,'Tracking List'!$A$5:$AL$883,R$4,FALSE))</f>
        <v/>
      </c>
    </row>
    <row r="373" spans="3:18">
      <c r="C373" s="146"/>
      <c r="D373" s="147" t="str">
        <f>IF($C373="","",VLOOKUP($C373,'Tracking List'!$A$5:$AL$883,D$4,FALSE))</f>
        <v/>
      </c>
      <c r="E373" s="147" t="str">
        <f>IF($C373="","",VLOOKUP($C373,'Tracking List'!$A$5:$AL$883,E$4,FALSE))</f>
        <v/>
      </c>
      <c r="F373" s="147" t="str">
        <f>IF($C373="","",VLOOKUP($C373,'Tracking List'!$A$5:$AL$883,F$4,FALSE))</f>
        <v/>
      </c>
      <c r="G373" s="147" t="str">
        <f>IF($C373="","",VLOOKUP($C373,'Tracking List'!$A$5:$AL$883,G$4,FALSE))</f>
        <v/>
      </c>
      <c r="H373" s="147" t="str">
        <f>IF($C373="","",VLOOKUP($C373,'Tracking List'!$A$5:$AL$883,H$4,FALSE))</f>
        <v/>
      </c>
      <c r="I373" s="147" t="str">
        <f>IF($C373="","",VLOOKUP($C373,'Tracking List'!$A$5:$AL$883,I$4,FALSE))</f>
        <v/>
      </c>
      <c r="J373" s="147" t="str">
        <f>IF($C373="","",VLOOKUP($C373,'Tracking List'!$A$5:$AL$883,J$4,FALSE))</f>
        <v/>
      </c>
      <c r="K373" s="147" t="str">
        <f>IF($C373="","",VLOOKUP($C373,'Tracking List'!$A$5:$AL$883,K$4,FALSE))</f>
        <v/>
      </c>
      <c r="L373" s="168" t="str">
        <f>IF($C373="","",VLOOKUP($C373,'Tracking List'!$A$5:$AL$883,L$4,FALSE))</f>
        <v/>
      </c>
      <c r="M373" s="147" t="str">
        <f>IF($C373="","",VLOOKUP($C373,'Tracking List'!$A$5:$AL$883,M$4,FALSE))</f>
        <v/>
      </c>
      <c r="N373" s="148" t="str">
        <f>IF($C373="","",IF(VLOOKUP($C373,'Tracking List'!$A$5:$AL$883,N$3,FALSE)&gt;0,"Y",VLOOKUP($C373,'Tracking List'!$A$5:$AL$883,N$4,FALSE)))</f>
        <v/>
      </c>
      <c r="O373" s="148" t="str">
        <f>IF($C373="","",IF(VLOOKUP($C373,'Tracking List'!$A$5:$AL$883,O$3,FALSE)&gt;0,"Y",VLOOKUP($C373,'Tracking List'!$A$5:$AL$883,O$4,FALSE)))</f>
        <v/>
      </c>
      <c r="P373" s="147" t="str">
        <f>IF($C373="","",IF(VLOOKUP($C373,'Tracking List'!$A$5:$AL$883,P$4,FALSE)&gt;0,"Y",""))</f>
        <v/>
      </c>
      <c r="Q373" s="149"/>
      <c r="R373" s="166" t="str">
        <f>IF($C373="","",VLOOKUP($C373,'Tracking List'!$A$5:$AL$883,R$4,FALSE))</f>
        <v/>
      </c>
    </row>
    <row r="374" spans="3:18">
      <c r="C374" s="146"/>
      <c r="D374" s="147" t="str">
        <f>IF($C374="","",VLOOKUP($C374,'Tracking List'!$A$5:$AL$883,D$4,FALSE))</f>
        <v/>
      </c>
      <c r="E374" s="147" t="str">
        <f>IF($C374="","",VLOOKUP($C374,'Tracking List'!$A$5:$AL$883,E$4,FALSE))</f>
        <v/>
      </c>
      <c r="F374" s="147" t="str">
        <f>IF($C374="","",VLOOKUP($C374,'Tracking List'!$A$5:$AL$883,F$4,FALSE))</f>
        <v/>
      </c>
      <c r="G374" s="147" t="str">
        <f>IF($C374="","",VLOOKUP($C374,'Tracking List'!$A$5:$AL$883,G$4,FALSE))</f>
        <v/>
      </c>
      <c r="H374" s="147" t="str">
        <f>IF($C374="","",VLOOKUP($C374,'Tracking List'!$A$5:$AL$883,H$4,FALSE))</f>
        <v/>
      </c>
      <c r="I374" s="147" t="str">
        <f>IF($C374="","",VLOOKUP($C374,'Tracking List'!$A$5:$AL$883,I$4,FALSE))</f>
        <v/>
      </c>
      <c r="J374" s="147" t="str">
        <f>IF($C374="","",VLOOKUP($C374,'Tracking List'!$A$5:$AL$883,J$4,FALSE))</f>
        <v/>
      </c>
      <c r="K374" s="147" t="str">
        <f>IF($C374="","",VLOOKUP($C374,'Tracking List'!$A$5:$AL$883,K$4,FALSE))</f>
        <v/>
      </c>
      <c r="L374" s="168" t="str">
        <f>IF($C374="","",VLOOKUP($C374,'Tracking List'!$A$5:$AL$883,L$4,FALSE))</f>
        <v/>
      </c>
      <c r="M374" s="147" t="str">
        <f>IF($C374="","",VLOOKUP($C374,'Tracking List'!$A$5:$AL$883,M$4,FALSE))</f>
        <v/>
      </c>
      <c r="N374" s="148" t="str">
        <f>IF($C374="","",IF(VLOOKUP($C374,'Tracking List'!$A$5:$AL$883,N$3,FALSE)&gt;0,"Y",VLOOKUP($C374,'Tracking List'!$A$5:$AL$883,N$4,FALSE)))</f>
        <v/>
      </c>
      <c r="O374" s="148" t="str">
        <f>IF($C374="","",IF(VLOOKUP($C374,'Tracking List'!$A$5:$AL$883,O$3,FALSE)&gt;0,"Y",VLOOKUP($C374,'Tracking List'!$A$5:$AL$883,O$4,FALSE)))</f>
        <v/>
      </c>
      <c r="P374" s="147" t="str">
        <f>IF($C374="","",IF(VLOOKUP($C374,'Tracking List'!$A$5:$AL$883,P$4,FALSE)&gt;0,"Y",""))</f>
        <v/>
      </c>
      <c r="Q374" s="149"/>
      <c r="R374" s="166" t="str">
        <f>IF($C374="","",VLOOKUP($C374,'Tracking List'!$A$5:$AL$883,R$4,FALSE))</f>
        <v/>
      </c>
    </row>
    <row r="375" spans="3:18">
      <c r="C375" s="146"/>
      <c r="D375" s="147" t="str">
        <f>IF($C375="","",VLOOKUP($C375,'Tracking List'!$A$5:$AL$883,D$4,FALSE))</f>
        <v/>
      </c>
      <c r="E375" s="147" t="str">
        <f>IF($C375="","",VLOOKUP($C375,'Tracking List'!$A$5:$AL$883,E$4,FALSE))</f>
        <v/>
      </c>
      <c r="F375" s="147" t="str">
        <f>IF($C375="","",VLOOKUP($C375,'Tracking List'!$A$5:$AL$883,F$4,FALSE))</f>
        <v/>
      </c>
      <c r="G375" s="147" t="str">
        <f>IF($C375="","",VLOOKUP($C375,'Tracking List'!$A$5:$AL$883,G$4,FALSE))</f>
        <v/>
      </c>
      <c r="H375" s="147" t="str">
        <f>IF($C375="","",VLOOKUP($C375,'Tracking List'!$A$5:$AL$883,H$4,FALSE))</f>
        <v/>
      </c>
      <c r="I375" s="147" t="str">
        <f>IF($C375="","",VLOOKUP($C375,'Tracking List'!$A$5:$AL$883,I$4,FALSE))</f>
        <v/>
      </c>
      <c r="J375" s="147" t="str">
        <f>IF($C375="","",VLOOKUP($C375,'Tracking List'!$A$5:$AL$883,J$4,FALSE))</f>
        <v/>
      </c>
      <c r="K375" s="147" t="str">
        <f>IF($C375="","",VLOOKUP($C375,'Tracking List'!$A$5:$AL$883,K$4,FALSE))</f>
        <v/>
      </c>
      <c r="L375" s="168" t="str">
        <f>IF($C375="","",VLOOKUP($C375,'Tracking List'!$A$5:$AL$883,L$4,FALSE))</f>
        <v/>
      </c>
      <c r="M375" s="147" t="str">
        <f>IF($C375="","",VLOOKUP($C375,'Tracking List'!$A$5:$AL$883,M$4,FALSE))</f>
        <v/>
      </c>
      <c r="N375" s="148" t="str">
        <f>IF($C375="","",IF(VLOOKUP($C375,'Tracking List'!$A$5:$AL$883,N$3,FALSE)&gt;0,"Y",VLOOKUP($C375,'Tracking List'!$A$5:$AL$883,N$4,FALSE)))</f>
        <v/>
      </c>
      <c r="O375" s="148" t="str">
        <f>IF($C375="","",IF(VLOOKUP($C375,'Tracking List'!$A$5:$AL$883,O$3,FALSE)&gt;0,"Y",VLOOKUP($C375,'Tracking List'!$A$5:$AL$883,O$4,FALSE)))</f>
        <v/>
      </c>
      <c r="P375" s="147" t="str">
        <f>IF($C375="","",IF(VLOOKUP($C375,'Tracking List'!$A$5:$AL$883,P$4,FALSE)&gt;0,"Y",""))</f>
        <v/>
      </c>
      <c r="Q375" s="149"/>
      <c r="R375" s="166" t="str">
        <f>IF($C375="","",VLOOKUP($C375,'Tracking List'!$A$5:$AL$883,R$4,FALSE))</f>
        <v/>
      </c>
    </row>
    <row r="376" spans="3:18">
      <c r="C376" s="146"/>
      <c r="D376" s="147" t="str">
        <f>IF($C376="","",VLOOKUP($C376,'Tracking List'!$A$5:$AL$883,D$4,FALSE))</f>
        <v/>
      </c>
      <c r="E376" s="147" t="str">
        <f>IF($C376="","",VLOOKUP($C376,'Tracking List'!$A$5:$AL$883,E$4,FALSE))</f>
        <v/>
      </c>
      <c r="F376" s="147" t="str">
        <f>IF($C376="","",VLOOKUP($C376,'Tracking List'!$A$5:$AL$883,F$4,FALSE))</f>
        <v/>
      </c>
      <c r="G376" s="147" t="str">
        <f>IF($C376="","",VLOOKUP($C376,'Tracking List'!$A$5:$AL$883,G$4,FALSE))</f>
        <v/>
      </c>
      <c r="H376" s="147" t="str">
        <f>IF($C376="","",VLOOKUP($C376,'Tracking List'!$A$5:$AL$883,H$4,FALSE))</f>
        <v/>
      </c>
      <c r="I376" s="147" t="str">
        <f>IF($C376="","",VLOOKUP($C376,'Tracking List'!$A$5:$AL$883,I$4,FALSE))</f>
        <v/>
      </c>
      <c r="J376" s="147" t="str">
        <f>IF($C376="","",VLOOKUP($C376,'Tracking List'!$A$5:$AL$883,J$4,FALSE))</f>
        <v/>
      </c>
      <c r="K376" s="147" t="str">
        <f>IF($C376="","",VLOOKUP($C376,'Tracking List'!$A$5:$AL$883,K$4,FALSE))</f>
        <v/>
      </c>
      <c r="L376" s="168" t="str">
        <f>IF($C376="","",VLOOKUP($C376,'Tracking List'!$A$5:$AL$883,L$4,FALSE))</f>
        <v/>
      </c>
      <c r="M376" s="147" t="str">
        <f>IF($C376="","",VLOOKUP($C376,'Tracking List'!$A$5:$AL$883,M$4,FALSE))</f>
        <v/>
      </c>
      <c r="N376" s="148" t="str">
        <f>IF($C376="","",IF(VLOOKUP($C376,'Tracking List'!$A$5:$AL$883,N$3,FALSE)&gt;0,"Y",VLOOKUP($C376,'Tracking List'!$A$5:$AL$883,N$4,FALSE)))</f>
        <v/>
      </c>
      <c r="O376" s="148" t="str">
        <f>IF($C376="","",IF(VLOOKUP($C376,'Tracking List'!$A$5:$AL$883,O$3,FALSE)&gt;0,"Y",VLOOKUP($C376,'Tracking List'!$A$5:$AL$883,O$4,FALSE)))</f>
        <v/>
      </c>
      <c r="P376" s="147" t="str">
        <f>IF($C376="","",IF(VLOOKUP($C376,'Tracking List'!$A$5:$AL$883,P$4,FALSE)&gt;0,"Y",""))</f>
        <v/>
      </c>
      <c r="Q376" s="149"/>
      <c r="R376" s="166" t="str">
        <f>IF($C376="","",VLOOKUP($C376,'Tracking List'!$A$5:$AL$883,R$4,FALSE))</f>
        <v/>
      </c>
    </row>
    <row r="377" spans="3:18">
      <c r="C377" s="146"/>
      <c r="D377" s="147" t="str">
        <f>IF($C377="","",VLOOKUP($C377,'Tracking List'!$A$5:$AL$883,D$4,FALSE))</f>
        <v/>
      </c>
      <c r="E377" s="147" t="str">
        <f>IF($C377="","",VLOOKUP($C377,'Tracking List'!$A$5:$AL$883,E$4,FALSE))</f>
        <v/>
      </c>
      <c r="F377" s="147" t="str">
        <f>IF($C377="","",VLOOKUP($C377,'Tracking List'!$A$5:$AL$883,F$4,FALSE))</f>
        <v/>
      </c>
      <c r="G377" s="147" t="str">
        <f>IF($C377="","",VLOOKUP($C377,'Tracking List'!$A$5:$AL$883,G$4,FALSE))</f>
        <v/>
      </c>
      <c r="H377" s="147" t="str">
        <f>IF($C377="","",VLOOKUP($C377,'Tracking List'!$A$5:$AL$883,H$4,FALSE))</f>
        <v/>
      </c>
      <c r="I377" s="147" t="str">
        <f>IF($C377="","",VLOOKUP($C377,'Tracking List'!$A$5:$AL$883,I$4,FALSE))</f>
        <v/>
      </c>
      <c r="J377" s="147" t="str">
        <f>IF($C377="","",VLOOKUP($C377,'Tracking List'!$A$5:$AL$883,J$4,FALSE))</f>
        <v/>
      </c>
      <c r="K377" s="147" t="str">
        <f>IF($C377="","",VLOOKUP($C377,'Tracking List'!$A$5:$AL$883,K$4,FALSE))</f>
        <v/>
      </c>
      <c r="L377" s="168" t="str">
        <f>IF($C377="","",VLOOKUP($C377,'Tracking List'!$A$5:$AL$883,L$4,FALSE))</f>
        <v/>
      </c>
      <c r="M377" s="147" t="str">
        <f>IF($C377="","",VLOOKUP($C377,'Tracking List'!$A$5:$AL$883,M$4,FALSE))</f>
        <v/>
      </c>
      <c r="N377" s="148" t="str">
        <f>IF($C377="","",IF(VLOOKUP($C377,'Tracking List'!$A$5:$AL$883,N$3,FALSE)&gt;0,"Y",VLOOKUP($C377,'Tracking List'!$A$5:$AL$883,N$4,FALSE)))</f>
        <v/>
      </c>
      <c r="O377" s="148" t="str">
        <f>IF($C377="","",IF(VLOOKUP($C377,'Tracking List'!$A$5:$AL$883,O$3,FALSE)&gt;0,"Y",VLOOKUP($C377,'Tracking List'!$A$5:$AL$883,O$4,FALSE)))</f>
        <v/>
      </c>
      <c r="P377" s="147" t="str">
        <f>IF($C377="","",IF(VLOOKUP($C377,'Tracking List'!$A$5:$AL$883,P$4,FALSE)&gt;0,"Y",""))</f>
        <v/>
      </c>
      <c r="Q377" s="149"/>
      <c r="R377" s="166" t="str">
        <f>IF($C377="","",VLOOKUP($C377,'Tracking List'!$A$5:$AL$883,R$4,FALSE))</f>
        <v/>
      </c>
    </row>
    <row r="378" spans="3:18">
      <c r="C378" s="146"/>
      <c r="D378" s="147" t="str">
        <f>IF($C378="","",VLOOKUP($C378,'Tracking List'!$A$5:$AL$883,D$4,FALSE))</f>
        <v/>
      </c>
      <c r="E378" s="147" t="str">
        <f>IF($C378="","",VLOOKUP($C378,'Tracking List'!$A$5:$AL$883,E$4,FALSE))</f>
        <v/>
      </c>
      <c r="F378" s="147" t="str">
        <f>IF($C378="","",VLOOKUP($C378,'Tracking List'!$A$5:$AL$883,F$4,FALSE))</f>
        <v/>
      </c>
      <c r="G378" s="147" t="str">
        <f>IF($C378="","",VLOOKUP($C378,'Tracking List'!$A$5:$AL$883,G$4,FALSE))</f>
        <v/>
      </c>
      <c r="H378" s="147" t="str">
        <f>IF($C378="","",VLOOKUP($C378,'Tracking List'!$A$5:$AL$883,H$4,FALSE))</f>
        <v/>
      </c>
      <c r="I378" s="147" t="str">
        <f>IF($C378="","",VLOOKUP($C378,'Tracking List'!$A$5:$AL$883,I$4,FALSE))</f>
        <v/>
      </c>
      <c r="J378" s="147" t="str">
        <f>IF($C378="","",VLOOKUP($C378,'Tracking List'!$A$5:$AL$883,J$4,FALSE))</f>
        <v/>
      </c>
      <c r="K378" s="147" t="str">
        <f>IF($C378="","",VLOOKUP($C378,'Tracking List'!$A$5:$AL$883,K$4,FALSE))</f>
        <v/>
      </c>
      <c r="L378" s="168" t="str">
        <f>IF($C378="","",VLOOKUP($C378,'Tracking List'!$A$5:$AL$883,L$4,FALSE))</f>
        <v/>
      </c>
      <c r="M378" s="147" t="str">
        <f>IF($C378="","",VLOOKUP($C378,'Tracking List'!$A$5:$AL$883,M$4,FALSE))</f>
        <v/>
      </c>
      <c r="N378" s="148" t="str">
        <f>IF($C378="","",IF(VLOOKUP($C378,'Tracking List'!$A$5:$AL$883,N$3,FALSE)&gt;0,"Y",VLOOKUP($C378,'Tracking List'!$A$5:$AL$883,N$4,FALSE)))</f>
        <v/>
      </c>
      <c r="O378" s="148" t="str">
        <f>IF($C378="","",IF(VLOOKUP($C378,'Tracking List'!$A$5:$AL$883,O$3,FALSE)&gt;0,"Y",VLOOKUP($C378,'Tracking List'!$A$5:$AL$883,O$4,FALSE)))</f>
        <v/>
      </c>
      <c r="P378" s="147" t="str">
        <f>IF($C378="","",IF(VLOOKUP($C378,'Tracking List'!$A$5:$AL$883,P$4,FALSE)&gt;0,"Y",""))</f>
        <v/>
      </c>
      <c r="Q378" s="149"/>
      <c r="R378" s="166" t="str">
        <f>IF($C378="","",VLOOKUP($C378,'Tracking List'!$A$5:$AL$883,R$4,FALSE))</f>
        <v/>
      </c>
    </row>
    <row r="379" spans="3:18">
      <c r="C379" s="146"/>
      <c r="D379" s="147" t="str">
        <f>IF($C379="","",VLOOKUP($C379,'Tracking List'!$A$5:$AL$883,D$4,FALSE))</f>
        <v/>
      </c>
      <c r="E379" s="147" t="str">
        <f>IF($C379="","",VLOOKUP($C379,'Tracking List'!$A$5:$AL$883,E$4,FALSE))</f>
        <v/>
      </c>
      <c r="F379" s="147" t="str">
        <f>IF($C379="","",VLOOKUP($C379,'Tracking List'!$A$5:$AL$883,F$4,FALSE))</f>
        <v/>
      </c>
      <c r="G379" s="147" t="str">
        <f>IF($C379="","",VLOOKUP($C379,'Tracking List'!$A$5:$AL$883,G$4,FALSE))</f>
        <v/>
      </c>
      <c r="H379" s="147" t="str">
        <f>IF($C379="","",VLOOKUP($C379,'Tracking List'!$A$5:$AL$883,H$4,FALSE))</f>
        <v/>
      </c>
      <c r="I379" s="147" t="str">
        <f>IF($C379="","",VLOOKUP($C379,'Tracking List'!$A$5:$AL$883,I$4,FALSE))</f>
        <v/>
      </c>
      <c r="J379" s="147" t="str">
        <f>IF($C379="","",VLOOKUP($C379,'Tracking List'!$A$5:$AL$883,J$4,FALSE))</f>
        <v/>
      </c>
      <c r="K379" s="147" t="str">
        <f>IF($C379="","",VLOOKUP($C379,'Tracking List'!$A$5:$AL$883,K$4,FALSE))</f>
        <v/>
      </c>
      <c r="L379" s="168" t="str">
        <f>IF($C379="","",VLOOKUP($C379,'Tracking List'!$A$5:$AL$883,L$4,FALSE))</f>
        <v/>
      </c>
      <c r="M379" s="147" t="str">
        <f>IF($C379="","",VLOOKUP($C379,'Tracking List'!$A$5:$AL$883,M$4,FALSE))</f>
        <v/>
      </c>
      <c r="N379" s="148" t="str">
        <f>IF($C379="","",IF(VLOOKUP($C379,'Tracking List'!$A$5:$AL$883,N$3,FALSE)&gt;0,"Y",VLOOKUP($C379,'Tracking List'!$A$5:$AL$883,N$4,FALSE)))</f>
        <v/>
      </c>
      <c r="O379" s="148" t="str">
        <f>IF($C379="","",IF(VLOOKUP($C379,'Tracking List'!$A$5:$AL$883,O$3,FALSE)&gt;0,"Y",VLOOKUP($C379,'Tracking List'!$A$5:$AL$883,O$4,FALSE)))</f>
        <v/>
      </c>
      <c r="P379" s="147" t="str">
        <f>IF($C379="","",IF(VLOOKUP($C379,'Tracking List'!$A$5:$AL$883,P$4,FALSE)&gt;0,"Y",""))</f>
        <v/>
      </c>
      <c r="Q379" s="149"/>
      <c r="R379" s="166" t="str">
        <f>IF($C379="","",VLOOKUP($C379,'Tracking List'!$A$5:$AL$883,R$4,FALSE))</f>
        <v/>
      </c>
    </row>
    <row r="380" spans="3:18">
      <c r="C380" s="146"/>
      <c r="D380" s="147" t="str">
        <f>IF($C380="","",VLOOKUP($C380,'Tracking List'!$A$5:$AL$883,D$4,FALSE))</f>
        <v/>
      </c>
      <c r="E380" s="147" t="str">
        <f>IF($C380="","",VLOOKUP($C380,'Tracking List'!$A$5:$AL$883,E$4,FALSE))</f>
        <v/>
      </c>
      <c r="F380" s="147" t="str">
        <f>IF($C380="","",VLOOKUP($C380,'Tracking List'!$A$5:$AL$883,F$4,FALSE))</f>
        <v/>
      </c>
      <c r="G380" s="147" t="str">
        <f>IF($C380="","",VLOOKUP($C380,'Tracking List'!$A$5:$AL$883,G$4,FALSE))</f>
        <v/>
      </c>
      <c r="H380" s="147" t="str">
        <f>IF($C380="","",VLOOKUP($C380,'Tracking List'!$A$5:$AL$883,H$4,FALSE))</f>
        <v/>
      </c>
      <c r="I380" s="147" t="str">
        <f>IF($C380="","",VLOOKUP($C380,'Tracking List'!$A$5:$AL$883,I$4,FALSE))</f>
        <v/>
      </c>
      <c r="J380" s="147" t="str">
        <f>IF($C380="","",VLOOKUP($C380,'Tracking List'!$A$5:$AL$883,J$4,FALSE))</f>
        <v/>
      </c>
      <c r="K380" s="147" t="str">
        <f>IF($C380="","",VLOOKUP($C380,'Tracking List'!$A$5:$AL$883,K$4,FALSE))</f>
        <v/>
      </c>
      <c r="L380" s="168" t="str">
        <f>IF($C380="","",VLOOKUP($C380,'Tracking List'!$A$5:$AL$883,L$4,FALSE))</f>
        <v/>
      </c>
      <c r="M380" s="147" t="str">
        <f>IF($C380="","",VLOOKUP($C380,'Tracking List'!$A$5:$AL$883,M$4,FALSE))</f>
        <v/>
      </c>
      <c r="N380" s="148" t="str">
        <f>IF($C380="","",IF(VLOOKUP($C380,'Tracking List'!$A$5:$AL$883,N$3,FALSE)&gt;0,"Y",VLOOKUP($C380,'Tracking List'!$A$5:$AL$883,N$4,FALSE)))</f>
        <v/>
      </c>
      <c r="O380" s="148" t="str">
        <f>IF($C380="","",IF(VLOOKUP($C380,'Tracking List'!$A$5:$AL$883,O$3,FALSE)&gt;0,"Y",VLOOKUP($C380,'Tracking List'!$A$5:$AL$883,O$4,FALSE)))</f>
        <v/>
      </c>
      <c r="P380" s="147" t="str">
        <f>IF($C380="","",IF(VLOOKUP($C380,'Tracking List'!$A$5:$AL$883,P$4,FALSE)&gt;0,"Y",""))</f>
        <v/>
      </c>
      <c r="Q380" s="149"/>
      <c r="R380" s="166" t="str">
        <f>IF($C380="","",VLOOKUP($C380,'Tracking List'!$A$5:$AL$883,R$4,FALSE))</f>
        <v/>
      </c>
    </row>
    <row r="381" spans="3:18">
      <c r="C381" s="146"/>
      <c r="D381" s="147" t="str">
        <f>IF($C381="","",VLOOKUP($C381,'Tracking List'!$A$5:$AL$883,D$4,FALSE))</f>
        <v/>
      </c>
      <c r="E381" s="147" t="str">
        <f>IF($C381="","",VLOOKUP($C381,'Tracking List'!$A$5:$AL$883,E$4,FALSE))</f>
        <v/>
      </c>
      <c r="F381" s="147" t="str">
        <f>IF($C381="","",VLOOKUP($C381,'Tracking List'!$A$5:$AL$883,F$4,FALSE))</f>
        <v/>
      </c>
      <c r="G381" s="147" t="str">
        <f>IF($C381="","",VLOOKUP($C381,'Tracking List'!$A$5:$AL$883,G$4,FALSE))</f>
        <v/>
      </c>
      <c r="H381" s="147" t="str">
        <f>IF($C381="","",VLOOKUP($C381,'Tracking List'!$A$5:$AL$883,H$4,FALSE))</f>
        <v/>
      </c>
      <c r="I381" s="147" t="str">
        <f>IF($C381="","",VLOOKUP($C381,'Tracking List'!$A$5:$AL$883,I$4,FALSE))</f>
        <v/>
      </c>
      <c r="J381" s="147" t="str">
        <f>IF($C381="","",VLOOKUP($C381,'Tracking List'!$A$5:$AL$883,J$4,FALSE))</f>
        <v/>
      </c>
      <c r="K381" s="147" t="str">
        <f>IF($C381="","",VLOOKUP($C381,'Tracking List'!$A$5:$AL$883,K$4,FALSE))</f>
        <v/>
      </c>
      <c r="L381" s="168" t="str">
        <f>IF($C381="","",VLOOKUP($C381,'Tracking List'!$A$5:$AL$883,L$4,FALSE))</f>
        <v/>
      </c>
      <c r="M381" s="147" t="str">
        <f>IF($C381="","",VLOOKUP($C381,'Tracking List'!$A$5:$AL$883,M$4,FALSE))</f>
        <v/>
      </c>
      <c r="N381" s="148" t="str">
        <f>IF($C381="","",IF(VLOOKUP($C381,'Tracking List'!$A$5:$AL$883,N$3,FALSE)&gt;0,"Y",VLOOKUP($C381,'Tracking List'!$A$5:$AL$883,N$4,FALSE)))</f>
        <v/>
      </c>
      <c r="O381" s="148" t="str">
        <f>IF($C381="","",IF(VLOOKUP($C381,'Tracking List'!$A$5:$AL$883,O$3,FALSE)&gt;0,"Y",VLOOKUP($C381,'Tracking List'!$A$5:$AL$883,O$4,FALSE)))</f>
        <v/>
      </c>
      <c r="P381" s="147" t="str">
        <f>IF($C381="","",IF(VLOOKUP($C381,'Tracking List'!$A$5:$AL$883,P$4,FALSE)&gt;0,"Y",""))</f>
        <v/>
      </c>
      <c r="Q381" s="149"/>
      <c r="R381" s="166" t="str">
        <f>IF($C381="","",VLOOKUP($C381,'Tracking List'!$A$5:$AL$883,R$4,FALSE))</f>
        <v/>
      </c>
    </row>
    <row r="382" spans="3:18">
      <c r="C382" s="146"/>
      <c r="D382" s="147" t="str">
        <f>IF($C382="","",VLOOKUP($C382,'Tracking List'!$A$5:$AL$883,D$4,FALSE))</f>
        <v/>
      </c>
      <c r="E382" s="147" t="str">
        <f>IF($C382="","",VLOOKUP($C382,'Tracking List'!$A$5:$AL$883,E$4,FALSE))</f>
        <v/>
      </c>
      <c r="F382" s="147" t="str">
        <f>IF($C382="","",VLOOKUP($C382,'Tracking List'!$A$5:$AL$883,F$4,FALSE))</f>
        <v/>
      </c>
      <c r="G382" s="147" t="str">
        <f>IF($C382="","",VLOOKUP($C382,'Tracking List'!$A$5:$AL$883,G$4,FALSE))</f>
        <v/>
      </c>
      <c r="H382" s="147" t="str">
        <f>IF($C382="","",VLOOKUP($C382,'Tracking List'!$A$5:$AL$883,H$4,FALSE))</f>
        <v/>
      </c>
      <c r="I382" s="147" t="str">
        <f>IF($C382="","",VLOOKUP($C382,'Tracking List'!$A$5:$AL$883,I$4,FALSE))</f>
        <v/>
      </c>
      <c r="J382" s="147" t="str">
        <f>IF($C382="","",VLOOKUP($C382,'Tracking List'!$A$5:$AL$883,J$4,FALSE))</f>
        <v/>
      </c>
      <c r="K382" s="147" t="str">
        <f>IF($C382="","",VLOOKUP($C382,'Tracking List'!$A$5:$AL$883,K$4,FALSE))</f>
        <v/>
      </c>
      <c r="L382" s="168" t="str">
        <f>IF($C382="","",VLOOKUP($C382,'Tracking List'!$A$5:$AL$883,L$4,FALSE))</f>
        <v/>
      </c>
      <c r="M382" s="147" t="str">
        <f>IF($C382="","",VLOOKUP($C382,'Tracking List'!$A$5:$AL$883,M$4,FALSE))</f>
        <v/>
      </c>
      <c r="N382" s="148" t="str">
        <f>IF($C382="","",IF(VLOOKUP($C382,'Tracking List'!$A$5:$AL$883,N$3,FALSE)&gt;0,"Y",VLOOKUP($C382,'Tracking List'!$A$5:$AL$883,N$4,FALSE)))</f>
        <v/>
      </c>
      <c r="O382" s="148" t="str">
        <f>IF($C382="","",IF(VLOOKUP($C382,'Tracking List'!$A$5:$AL$883,O$3,FALSE)&gt;0,"Y",VLOOKUP($C382,'Tracking List'!$A$5:$AL$883,O$4,FALSE)))</f>
        <v/>
      </c>
      <c r="P382" s="147" t="str">
        <f>IF($C382="","",IF(VLOOKUP($C382,'Tracking List'!$A$5:$AL$883,P$4,FALSE)&gt;0,"Y",""))</f>
        <v/>
      </c>
      <c r="Q382" s="149"/>
      <c r="R382" s="166" t="str">
        <f>IF($C382="","",VLOOKUP($C382,'Tracking List'!$A$5:$AL$883,R$4,FALSE))</f>
        <v/>
      </c>
    </row>
    <row r="383" spans="3:18">
      <c r="C383" s="146"/>
      <c r="D383" s="147" t="str">
        <f>IF($C383="","",VLOOKUP($C383,'Tracking List'!$A$5:$AL$883,D$4,FALSE))</f>
        <v/>
      </c>
      <c r="E383" s="147" t="str">
        <f>IF($C383="","",VLOOKUP($C383,'Tracking List'!$A$5:$AL$883,E$4,FALSE))</f>
        <v/>
      </c>
      <c r="F383" s="147" t="str">
        <f>IF($C383="","",VLOOKUP($C383,'Tracking List'!$A$5:$AL$883,F$4,FALSE))</f>
        <v/>
      </c>
      <c r="G383" s="147" t="str">
        <f>IF($C383="","",VLOOKUP($C383,'Tracking List'!$A$5:$AL$883,G$4,FALSE))</f>
        <v/>
      </c>
      <c r="H383" s="147" t="str">
        <f>IF($C383="","",VLOOKUP($C383,'Tracking List'!$A$5:$AL$883,H$4,FALSE))</f>
        <v/>
      </c>
      <c r="I383" s="147" t="str">
        <f>IF($C383="","",VLOOKUP($C383,'Tracking List'!$A$5:$AL$883,I$4,FALSE))</f>
        <v/>
      </c>
      <c r="J383" s="147" t="str">
        <f>IF($C383="","",VLOOKUP($C383,'Tracking List'!$A$5:$AL$883,J$4,FALSE))</f>
        <v/>
      </c>
      <c r="K383" s="147" t="str">
        <f>IF($C383="","",VLOOKUP($C383,'Tracking List'!$A$5:$AL$883,K$4,FALSE))</f>
        <v/>
      </c>
      <c r="L383" s="168" t="str">
        <f>IF($C383="","",VLOOKUP($C383,'Tracking List'!$A$5:$AL$883,L$4,FALSE))</f>
        <v/>
      </c>
      <c r="M383" s="147" t="str">
        <f>IF($C383="","",VLOOKUP($C383,'Tracking List'!$A$5:$AL$883,M$4,FALSE))</f>
        <v/>
      </c>
      <c r="N383" s="148" t="str">
        <f>IF($C383="","",IF(VLOOKUP($C383,'Tracking List'!$A$5:$AL$883,N$3,FALSE)&gt;0,"Y",VLOOKUP($C383,'Tracking List'!$A$5:$AL$883,N$4,FALSE)))</f>
        <v/>
      </c>
      <c r="O383" s="148" t="str">
        <f>IF($C383="","",IF(VLOOKUP($C383,'Tracking List'!$A$5:$AL$883,O$3,FALSE)&gt;0,"Y",VLOOKUP($C383,'Tracking List'!$A$5:$AL$883,O$4,FALSE)))</f>
        <v/>
      </c>
      <c r="P383" s="147" t="str">
        <f>IF($C383="","",IF(VLOOKUP($C383,'Tracking List'!$A$5:$AL$883,P$4,FALSE)&gt;0,"Y",""))</f>
        <v/>
      </c>
      <c r="Q383" s="149"/>
      <c r="R383" s="166" t="str">
        <f>IF($C383="","",VLOOKUP($C383,'Tracking List'!$A$5:$AL$883,R$4,FALSE))</f>
        <v/>
      </c>
    </row>
    <row r="384" spans="3:18">
      <c r="C384" s="146"/>
      <c r="D384" s="147" t="str">
        <f>IF($C384="","",VLOOKUP($C384,'Tracking List'!$A$5:$AL$883,D$4,FALSE))</f>
        <v/>
      </c>
      <c r="E384" s="147" t="str">
        <f>IF($C384="","",VLOOKUP($C384,'Tracking List'!$A$5:$AL$883,E$4,FALSE))</f>
        <v/>
      </c>
      <c r="F384" s="147" t="str">
        <f>IF($C384="","",VLOOKUP($C384,'Tracking List'!$A$5:$AL$883,F$4,FALSE))</f>
        <v/>
      </c>
      <c r="G384" s="147" t="str">
        <f>IF($C384="","",VLOOKUP($C384,'Tracking List'!$A$5:$AL$883,G$4,FALSE))</f>
        <v/>
      </c>
      <c r="H384" s="147" t="str">
        <f>IF($C384="","",VLOOKUP($C384,'Tracking List'!$A$5:$AL$883,H$4,FALSE))</f>
        <v/>
      </c>
      <c r="I384" s="147" t="str">
        <f>IF($C384="","",VLOOKUP($C384,'Tracking List'!$A$5:$AL$883,I$4,FALSE))</f>
        <v/>
      </c>
      <c r="J384" s="147" t="str">
        <f>IF($C384="","",VLOOKUP($C384,'Tracking List'!$A$5:$AL$883,J$4,FALSE))</f>
        <v/>
      </c>
      <c r="K384" s="147" t="str">
        <f>IF($C384="","",VLOOKUP($C384,'Tracking List'!$A$5:$AL$883,K$4,FALSE))</f>
        <v/>
      </c>
      <c r="L384" s="168" t="str">
        <f>IF($C384="","",VLOOKUP($C384,'Tracking List'!$A$5:$AL$883,L$4,FALSE))</f>
        <v/>
      </c>
      <c r="M384" s="147" t="str">
        <f>IF($C384="","",VLOOKUP($C384,'Tracking List'!$A$5:$AL$883,M$4,FALSE))</f>
        <v/>
      </c>
      <c r="N384" s="148" t="str">
        <f>IF($C384="","",IF(VLOOKUP($C384,'Tracking List'!$A$5:$AL$883,N$3,FALSE)&gt;0,"Y",VLOOKUP($C384,'Tracking List'!$A$5:$AL$883,N$4,FALSE)))</f>
        <v/>
      </c>
      <c r="O384" s="148" t="str">
        <f>IF($C384="","",IF(VLOOKUP($C384,'Tracking List'!$A$5:$AL$883,O$3,FALSE)&gt;0,"Y",VLOOKUP($C384,'Tracking List'!$A$5:$AL$883,O$4,FALSE)))</f>
        <v/>
      </c>
      <c r="P384" s="147" t="str">
        <f>IF($C384="","",IF(VLOOKUP($C384,'Tracking List'!$A$5:$AL$883,P$4,FALSE)&gt;0,"Y",""))</f>
        <v/>
      </c>
      <c r="Q384" s="149"/>
      <c r="R384" s="166" t="str">
        <f>IF($C384="","",VLOOKUP($C384,'Tracking List'!$A$5:$AL$883,R$4,FALSE))</f>
        <v/>
      </c>
    </row>
    <row r="385" spans="3:18">
      <c r="C385" s="146"/>
      <c r="D385" s="147" t="str">
        <f>IF($C385="","",VLOOKUP($C385,'Tracking List'!$A$5:$AL$883,D$4,FALSE))</f>
        <v/>
      </c>
      <c r="E385" s="147" t="str">
        <f>IF($C385="","",VLOOKUP($C385,'Tracking List'!$A$5:$AL$883,E$4,FALSE))</f>
        <v/>
      </c>
      <c r="F385" s="147" t="str">
        <f>IF($C385="","",VLOOKUP($C385,'Tracking List'!$A$5:$AL$883,F$4,FALSE))</f>
        <v/>
      </c>
      <c r="G385" s="147" t="str">
        <f>IF($C385="","",VLOOKUP($C385,'Tracking List'!$A$5:$AL$883,G$4,FALSE))</f>
        <v/>
      </c>
      <c r="H385" s="147" t="str">
        <f>IF($C385="","",VLOOKUP($C385,'Tracking List'!$A$5:$AL$883,H$4,FALSE))</f>
        <v/>
      </c>
      <c r="I385" s="147" t="str">
        <f>IF($C385="","",VLOOKUP($C385,'Tracking List'!$A$5:$AL$883,I$4,FALSE))</f>
        <v/>
      </c>
      <c r="J385" s="147" t="str">
        <f>IF($C385="","",VLOOKUP($C385,'Tracking List'!$A$5:$AL$883,J$4,FALSE))</f>
        <v/>
      </c>
      <c r="K385" s="147" t="str">
        <f>IF($C385="","",VLOOKUP($C385,'Tracking List'!$A$5:$AL$883,K$4,FALSE))</f>
        <v/>
      </c>
      <c r="L385" s="168" t="str">
        <f>IF($C385="","",VLOOKUP($C385,'Tracking List'!$A$5:$AL$883,L$4,FALSE))</f>
        <v/>
      </c>
      <c r="M385" s="147" t="str">
        <f>IF($C385="","",VLOOKUP($C385,'Tracking List'!$A$5:$AL$883,M$4,FALSE))</f>
        <v/>
      </c>
      <c r="N385" s="148" t="str">
        <f>IF($C385="","",IF(VLOOKUP($C385,'Tracking List'!$A$5:$AL$883,N$3,FALSE)&gt;0,"Y",VLOOKUP($C385,'Tracking List'!$A$5:$AL$883,N$4,FALSE)))</f>
        <v/>
      </c>
      <c r="O385" s="148" t="str">
        <f>IF($C385="","",IF(VLOOKUP($C385,'Tracking List'!$A$5:$AL$883,O$3,FALSE)&gt;0,"Y",VLOOKUP($C385,'Tracking List'!$A$5:$AL$883,O$4,FALSE)))</f>
        <v/>
      </c>
      <c r="P385" s="147" t="str">
        <f>IF($C385="","",IF(VLOOKUP($C385,'Tracking List'!$A$5:$AL$883,P$4,FALSE)&gt;0,"Y",""))</f>
        <v/>
      </c>
      <c r="Q385" s="149"/>
      <c r="R385" s="166" t="str">
        <f>IF($C385="","",VLOOKUP($C385,'Tracking List'!$A$5:$AL$883,R$4,FALSE))</f>
        <v/>
      </c>
    </row>
    <row r="386" spans="3:18">
      <c r="C386" s="146"/>
      <c r="D386" s="147" t="str">
        <f>IF($C386="","",VLOOKUP($C386,'Tracking List'!$A$5:$AL$883,D$4,FALSE))</f>
        <v/>
      </c>
      <c r="E386" s="147" t="str">
        <f>IF($C386="","",VLOOKUP($C386,'Tracking List'!$A$5:$AL$883,E$4,FALSE))</f>
        <v/>
      </c>
      <c r="F386" s="147" t="str">
        <f>IF($C386="","",VLOOKUP($C386,'Tracking List'!$A$5:$AL$883,F$4,FALSE))</f>
        <v/>
      </c>
      <c r="G386" s="147" t="str">
        <f>IF($C386="","",VLOOKUP($C386,'Tracking List'!$A$5:$AL$883,G$4,FALSE))</f>
        <v/>
      </c>
      <c r="H386" s="147" t="str">
        <f>IF($C386="","",VLOOKUP($C386,'Tracking List'!$A$5:$AL$883,H$4,FALSE))</f>
        <v/>
      </c>
      <c r="I386" s="147" t="str">
        <f>IF($C386="","",VLOOKUP($C386,'Tracking List'!$A$5:$AL$883,I$4,FALSE))</f>
        <v/>
      </c>
      <c r="J386" s="147" t="str">
        <f>IF($C386="","",VLOOKUP($C386,'Tracking List'!$A$5:$AL$883,J$4,FALSE))</f>
        <v/>
      </c>
      <c r="K386" s="147" t="str">
        <f>IF($C386="","",VLOOKUP($C386,'Tracking List'!$A$5:$AL$883,K$4,FALSE))</f>
        <v/>
      </c>
      <c r="L386" s="168" t="str">
        <f>IF($C386="","",VLOOKUP($C386,'Tracking List'!$A$5:$AL$883,L$4,FALSE))</f>
        <v/>
      </c>
      <c r="M386" s="147" t="str">
        <f>IF($C386="","",VLOOKUP($C386,'Tracking List'!$A$5:$AL$883,M$4,FALSE))</f>
        <v/>
      </c>
      <c r="N386" s="148" t="str">
        <f>IF($C386="","",IF(VLOOKUP($C386,'Tracking List'!$A$5:$AL$883,N$3,FALSE)&gt;0,"Y",VLOOKUP($C386,'Tracking List'!$A$5:$AL$883,N$4,FALSE)))</f>
        <v/>
      </c>
      <c r="O386" s="148" t="str">
        <f>IF($C386="","",IF(VLOOKUP($C386,'Tracking List'!$A$5:$AL$883,O$3,FALSE)&gt;0,"Y",VLOOKUP($C386,'Tracking List'!$A$5:$AL$883,O$4,FALSE)))</f>
        <v/>
      </c>
      <c r="P386" s="147" t="str">
        <f>IF($C386="","",IF(VLOOKUP($C386,'Tracking List'!$A$5:$AL$883,P$4,FALSE)&gt;0,"Y",""))</f>
        <v/>
      </c>
      <c r="Q386" s="149"/>
      <c r="R386" s="166" t="str">
        <f>IF($C386="","",VLOOKUP($C386,'Tracking List'!$A$5:$AL$883,R$4,FALSE))</f>
        <v/>
      </c>
    </row>
    <row r="387" spans="3:18">
      <c r="C387" s="146"/>
      <c r="D387" s="147" t="str">
        <f>IF($C387="","",VLOOKUP($C387,'Tracking List'!$A$5:$AL$883,D$4,FALSE))</f>
        <v/>
      </c>
      <c r="E387" s="147" t="str">
        <f>IF($C387="","",VLOOKUP($C387,'Tracking List'!$A$5:$AL$883,E$4,FALSE))</f>
        <v/>
      </c>
      <c r="F387" s="147" t="str">
        <f>IF($C387="","",VLOOKUP($C387,'Tracking List'!$A$5:$AL$883,F$4,FALSE))</f>
        <v/>
      </c>
      <c r="G387" s="147" t="str">
        <f>IF($C387="","",VLOOKUP($C387,'Tracking List'!$A$5:$AL$883,G$4,FALSE))</f>
        <v/>
      </c>
      <c r="H387" s="147" t="str">
        <f>IF($C387="","",VLOOKUP($C387,'Tracking List'!$A$5:$AL$883,H$4,FALSE))</f>
        <v/>
      </c>
      <c r="I387" s="147" t="str">
        <f>IF($C387="","",VLOOKUP($C387,'Tracking List'!$A$5:$AL$883,I$4,FALSE))</f>
        <v/>
      </c>
      <c r="J387" s="147" t="str">
        <f>IF($C387="","",VLOOKUP($C387,'Tracking List'!$A$5:$AL$883,J$4,FALSE))</f>
        <v/>
      </c>
      <c r="K387" s="147" t="str">
        <f>IF($C387="","",VLOOKUP($C387,'Tracking List'!$A$5:$AL$883,K$4,FALSE))</f>
        <v/>
      </c>
      <c r="L387" s="168" t="str">
        <f>IF($C387="","",VLOOKUP($C387,'Tracking List'!$A$5:$AL$883,L$4,FALSE))</f>
        <v/>
      </c>
      <c r="M387" s="147" t="str">
        <f>IF($C387="","",VLOOKUP($C387,'Tracking List'!$A$5:$AL$883,M$4,FALSE))</f>
        <v/>
      </c>
      <c r="N387" s="148" t="str">
        <f>IF($C387="","",IF(VLOOKUP($C387,'Tracking List'!$A$5:$AL$883,N$3,FALSE)&gt;0,"Y",VLOOKUP($C387,'Tracking List'!$A$5:$AL$883,N$4,FALSE)))</f>
        <v/>
      </c>
      <c r="O387" s="148" t="str">
        <f>IF($C387="","",IF(VLOOKUP($C387,'Tracking List'!$A$5:$AL$883,O$3,FALSE)&gt;0,"Y",VLOOKUP($C387,'Tracking List'!$A$5:$AL$883,O$4,FALSE)))</f>
        <v/>
      </c>
      <c r="P387" s="147" t="str">
        <f>IF($C387="","",IF(VLOOKUP($C387,'Tracking List'!$A$5:$AL$883,P$4,FALSE)&gt;0,"Y",""))</f>
        <v/>
      </c>
      <c r="Q387" s="149"/>
      <c r="R387" s="166" t="str">
        <f>IF($C387="","",VLOOKUP($C387,'Tracking List'!$A$5:$AL$883,R$4,FALSE))</f>
        <v/>
      </c>
    </row>
    <row r="388" spans="3:18">
      <c r="C388" s="146"/>
      <c r="D388" s="147" t="str">
        <f>IF($C388="","",VLOOKUP($C388,'Tracking List'!$A$5:$AL$883,D$4,FALSE))</f>
        <v/>
      </c>
      <c r="E388" s="147" t="str">
        <f>IF($C388="","",VLOOKUP($C388,'Tracking List'!$A$5:$AL$883,E$4,FALSE))</f>
        <v/>
      </c>
      <c r="F388" s="147" t="str">
        <f>IF($C388="","",VLOOKUP($C388,'Tracking List'!$A$5:$AL$883,F$4,FALSE))</f>
        <v/>
      </c>
      <c r="G388" s="147" t="str">
        <f>IF($C388="","",VLOOKUP($C388,'Tracking List'!$A$5:$AL$883,G$4,FALSE))</f>
        <v/>
      </c>
      <c r="H388" s="147" t="str">
        <f>IF($C388="","",VLOOKUP($C388,'Tracking List'!$A$5:$AL$883,H$4,FALSE))</f>
        <v/>
      </c>
      <c r="I388" s="147" t="str">
        <f>IF($C388="","",VLOOKUP($C388,'Tracking List'!$A$5:$AL$883,I$4,FALSE))</f>
        <v/>
      </c>
      <c r="J388" s="147" t="str">
        <f>IF($C388="","",VLOOKUP($C388,'Tracking List'!$A$5:$AL$883,J$4,FALSE))</f>
        <v/>
      </c>
      <c r="K388" s="147" t="str">
        <f>IF($C388="","",VLOOKUP($C388,'Tracking List'!$A$5:$AL$883,K$4,FALSE))</f>
        <v/>
      </c>
      <c r="L388" s="168" t="str">
        <f>IF($C388="","",VLOOKUP($C388,'Tracking List'!$A$5:$AL$883,L$4,FALSE))</f>
        <v/>
      </c>
      <c r="M388" s="147" t="str">
        <f>IF($C388="","",VLOOKUP($C388,'Tracking List'!$A$5:$AL$883,M$4,FALSE))</f>
        <v/>
      </c>
      <c r="N388" s="148" t="str">
        <f>IF($C388="","",IF(VLOOKUP($C388,'Tracking List'!$A$5:$AL$883,N$3,FALSE)&gt;0,"Y",VLOOKUP($C388,'Tracking List'!$A$5:$AL$883,N$4,FALSE)))</f>
        <v/>
      </c>
      <c r="O388" s="148" t="str">
        <f>IF($C388="","",IF(VLOOKUP($C388,'Tracking List'!$A$5:$AL$883,O$3,FALSE)&gt;0,"Y",VLOOKUP($C388,'Tracking List'!$A$5:$AL$883,O$4,FALSE)))</f>
        <v/>
      </c>
      <c r="P388" s="147" t="str">
        <f>IF($C388="","",IF(VLOOKUP($C388,'Tracking List'!$A$5:$AL$883,P$4,FALSE)&gt;0,"Y",""))</f>
        <v/>
      </c>
      <c r="Q388" s="149"/>
      <c r="R388" s="166" t="str">
        <f>IF($C388="","",VLOOKUP($C388,'Tracking List'!$A$5:$AL$883,R$4,FALSE))</f>
        <v/>
      </c>
    </row>
    <row r="389" spans="3:18">
      <c r="C389" s="146"/>
      <c r="D389" s="147" t="str">
        <f>IF($C389="","",VLOOKUP($C389,'Tracking List'!$A$5:$AL$883,D$4,FALSE))</f>
        <v/>
      </c>
      <c r="E389" s="147" t="str">
        <f>IF($C389="","",VLOOKUP($C389,'Tracking List'!$A$5:$AL$883,E$4,FALSE))</f>
        <v/>
      </c>
      <c r="F389" s="147" t="str">
        <f>IF($C389="","",VLOOKUP($C389,'Tracking List'!$A$5:$AL$883,F$4,FALSE))</f>
        <v/>
      </c>
      <c r="G389" s="147" t="str">
        <f>IF($C389="","",VLOOKUP($C389,'Tracking List'!$A$5:$AL$883,G$4,FALSE))</f>
        <v/>
      </c>
      <c r="H389" s="147" t="str">
        <f>IF($C389="","",VLOOKUP($C389,'Tracking List'!$A$5:$AL$883,H$4,FALSE))</f>
        <v/>
      </c>
      <c r="I389" s="147" t="str">
        <f>IF($C389="","",VLOOKUP($C389,'Tracking List'!$A$5:$AL$883,I$4,FALSE))</f>
        <v/>
      </c>
      <c r="J389" s="147" t="str">
        <f>IF($C389="","",VLOOKUP($C389,'Tracking List'!$A$5:$AL$883,J$4,FALSE))</f>
        <v/>
      </c>
      <c r="K389" s="147" t="str">
        <f>IF($C389="","",VLOOKUP($C389,'Tracking List'!$A$5:$AL$883,K$4,FALSE))</f>
        <v/>
      </c>
      <c r="L389" s="168" t="str">
        <f>IF($C389="","",VLOOKUP($C389,'Tracking List'!$A$5:$AL$883,L$4,FALSE))</f>
        <v/>
      </c>
      <c r="M389" s="147" t="str">
        <f>IF($C389="","",VLOOKUP($C389,'Tracking List'!$A$5:$AL$883,M$4,FALSE))</f>
        <v/>
      </c>
      <c r="N389" s="148" t="str">
        <f>IF($C389="","",IF(VLOOKUP($C389,'Tracking List'!$A$5:$AL$883,N$3,FALSE)&gt;0,"Y",VLOOKUP($C389,'Tracking List'!$A$5:$AL$883,N$4,FALSE)))</f>
        <v/>
      </c>
      <c r="O389" s="148" t="str">
        <f>IF($C389="","",IF(VLOOKUP($C389,'Tracking List'!$A$5:$AL$883,O$3,FALSE)&gt;0,"Y",VLOOKUP($C389,'Tracking List'!$A$5:$AL$883,O$4,FALSE)))</f>
        <v/>
      </c>
      <c r="P389" s="147" t="str">
        <f>IF($C389="","",IF(VLOOKUP($C389,'Tracking List'!$A$5:$AL$883,P$4,FALSE)&gt;0,"Y",""))</f>
        <v/>
      </c>
      <c r="Q389" s="149"/>
      <c r="R389" s="166" t="str">
        <f>IF($C389="","",VLOOKUP($C389,'Tracking List'!$A$5:$AL$883,R$4,FALSE))</f>
        <v/>
      </c>
    </row>
    <row r="390" spans="3:18">
      <c r="C390" s="146"/>
      <c r="D390" s="147" t="str">
        <f>IF($C390="","",VLOOKUP($C390,'Tracking List'!$A$5:$AL$883,D$4,FALSE))</f>
        <v/>
      </c>
      <c r="E390" s="147" t="str">
        <f>IF($C390="","",VLOOKUP($C390,'Tracking List'!$A$5:$AL$883,E$4,FALSE))</f>
        <v/>
      </c>
      <c r="F390" s="147" t="str">
        <f>IF($C390="","",VLOOKUP($C390,'Tracking List'!$A$5:$AL$883,F$4,FALSE))</f>
        <v/>
      </c>
      <c r="G390" s="147" t="str">
        <f>IF($C390="","",VLOOKUP($C390,'Tracking List'!$A$5:$AL$883,G$4,FALSE))</f>
        <v/>
      </c>
      <c r="H390" s="147" t="str">
        <f>IF($C390="","",VLOOKUP($C390,'Tracking List'!$A$5:$AL$883,H$4,FALSE))</f>
        <v/>
      </c>
      <c r="I390" s="147" t="str">
        <f>IF($C390="","",VLOOKUP($C390,'Tracking List'!$A$5:$AL$883,I$4,FALSE))</f>
        <v/>
      </c>
      <c r="J390" s="147" t="str">
        <f>IF($C390="","",VLOOKUP($C390,'Tracking List'!$A$5:$AL$883,J$4,FALSE))</f>
        <v/>
      </c>
      <c r="K390" s="147" t="str">
        <f>IF($C390="","",VLOOKUP($C390,'Tracking List'!$A$5:$AL$883,K$4,FALSE))</f>
        <v/>
      </c>
      <c r="L390" s="168" t="str">
        <f>IF($C390="","",VLOOKUP($C390,'Tracking List'!$A$5:$AL$883,L$4,FALSE))</f>
        <v/>
      </c>
      <c r="M390" s="147" t="str">
        <f>IF($C390="","",VLOOKUP($C390,'Tracking List'!$A$5:$AL$883,M$4,FALSE))</f>
        <v/>
      </c>
      <c r="N390" s="148" t="str">
        <f>IF($C390="","",IF(VLOOKUP($C390,'Tracking List'!$A$5:$AL$883,N$3,FALSE)&gt;0,"Y",VLOOKUP($C390,'Tracking List'!$A$5:$AL$883,N$4,FALSE)))</f>
        <v/>
      </c>
      <c r="O390" s="148" t="str">
        <f>IF($C390="","",IF(VLOOKUP($C390,'Tracking List'!$A$5:$AL$883,O$3,FALSE)&gt;0,"Y",VLOOKUP($C390,'Tracking List'!$A$5:$AL$883,O$4,FALSE)))</f>
        <v/>
      </c>
      <c r="P390" s="147" t="str">
        <f>IF($C390="","",IF(VLOOKUP($C390,'Tracking List'!$A$5:$AL$883,P$4,FALSE)&gt;0,"Y",""))</f>
        <v/>
      </c>
      <c r="Q390" s="149"/>
      <c r="R390" s="166" t="str">
        <f>IF($C390="","",VLOOKUP($C390,'Tracking List'!$A$5:$AL$883,R$4,FALSE))</f>
        <v/>
      </c>
    </row>
    <row r="391" spans="3:18">
      <c r="C391" s="146"/>
      <c r="D391" s="147" t="str">
        <f>IF($C391="","",VLOOKUP($C391,'Tracking List'!$A$5:$AL$883,D$4,FALSE))</f>
        <v/>
      </c>
      <c r="E391" s="147" t="str">
        <f>IF($C391="","",VLOOKUP($C391,'Tracking List'!$A$5:$AL$883,E$4,FALSE))</f>
        <v/>
      </c>
      <c r="F391" s="147" t="str">
        <f>IF($C391="","",VLOOKUP($C391,'Tracking List'!$A$5:$AL$883,F$4,FALSE))</f>
        <v/>
      </c>
      <c r="G391" s="147" t="str">
        <f>IF($C391="","",VLOOKUP($C391,'Tracking List'!$A$5:$AL$883,G$4,FALSE))</f>
        <v/>
      </c>
      <c r="H391" s="147" t="str">
        <f>IF($C391="","",VLOOKUP($C391,'Tracking List'!$A$5:$AL$883,H$4,FALSE))</f>
        <v/>
      </c>
      <c r="I391" s="147" t="str">
        <f>IF($C391="","",VLOOKUP($C391,'Tracking List'!$A$5:$AL$883,I$4,FALSE))</f>
        <v/>
      </c>
      <c r="J391" s="147" t="str">
        <f>IF($C391="","",VLOOKUP($C391,'Tracking List'!$A$5:$AL$883,J$4,FALSE))</f>
        <v/>
      </c>
      <c r="K391" s="147" t="str">
        <f>IF($C391="","",VLOOKUP($C391,'Tracking List'!$A$5:$AL$883,K$4,FALSE))</f>
        <v/>
      </c>
      <c r="L391" s="168" t="str">
        <f>IF($C391="","",VLOOKUP($C391,'Tracking List'!$A$5:$AL$883,L$4,FALSE))</f>
        <v/>
      </c>
      <c r="M391" s="147" t="str">
        <f>IF($C391="","",VLOOKUP($C391,'Tracking List'!$A$5:$AL$883,M$4,FALSE))</f>
        <v/>
      </c>
      <c r="N391" s="148" t="str">
        <f>IF($C391="","",IF(VLOOKUP($C391,'Tracking List'!$A$5:$AL$883,N$3,FALSE)&gt;0,"Y",VLOOKUP($C391,'Tracking List'!$A$5:$AL$883,N$4,FALSE)))</f>
        <v/>
      </c>
      <c r="O391" s="148" t="str">
        <f>IF($C391="","",IF(VLOOKUP($C391,'Tracking List'!$A$5:$AL$883,O$3,FALSE)&gt;0,"Y",VLOOKUP($C391,'Tracking List'!$A$5:$AL$883,O$4,FALSE)))</f>
        <v/>
      </c>
      <c r="P391" s="147" t="str">
        <f>IF($C391="","",IF(VLOOKUP($C391,'Tracking List'!$A$5:$AL$883,P$4,FALSE)&gt;0,"Y",""))</f>
        <v/>
      </c>
      <c r="Q391" s="149"/>
      <c r="R391" s="166" t="str">
        <f>IF($C391="","",VLOOKUP($C391,'Tracking List'!$A$5:$AL$883,R$4,FALSE))</f>
        <v/>
      </c>
    </row>
    <row r="392" spans="3:18">
      <c r="C392" s="146"/>
      <c r="D392" s="147" t="str">
        <f>IF($C392="","",VLOOKUP($C392,'Tracking List'!$A$5:$AL$883,D$4,FALSE))</f>
        <v/>
      </c>
      <c r="E392" s="147" t="str">
        <f>IF($C392="","",VLOOKUP($C392,'Tracking List'!$A$5:$AL$883,E$4,FALSE))</f>
        <v/>
      </c>
      <c r="F392" s="147" t="str">
        <f>IF($C392="","",VLOOKUP($C392,'Tracking List'!$A$5:$AL$883,F$4,FALSE))</f>
        <v/>
      </c>
      <c r="G392" s="147" t="str">
        <f>IF($C392="","",VLOOKUP($C392,'Tracking List'!$A$5:$AL$883,G$4,FALSE))</f>
        <v/>
      </c>
      <c r="H392" s="147" t="str">
        <f>IF($C392="","",VLOOKUP($C392,'Tracking List'!$A$5:$AL$883,H$4,FALSE))</f>
        <v/>
      </c>
      <c r="I392" s="147" t="str">
        <f>IF($C392="","",VLOOKUP($C392,'Tracking List'!$A$5:$AL$883,I$4,FALSE))</f>
        <v/>
      </c>
      <c r="J392" s="147" t="str">
        <f>IF($C392="","",VLOOKUP($C392,'Tracking List'!$A$5:$AL$883,J$4,FALSE))</f>
        <v/>
      </c>
      <c r="K392" s="147" t="str">
        <f>IF($C392="","",VLOOKUP($C392,'Tracking List'!$A$5:$AL$883,K$4,FALSE))</f>
        <v/>
      </c>
      <c r="L392" s="168" t="str">
        <f>IF($C392="","",VLOOKUP($C392,'Tracking List'!$A$5:$AL$883,L$4,FALSE))</f>
        <v/>
      </c>
      <c r="M392" s="147" t="str">
        <f>IF($C392="","",VLOOKUP($C392,'Tracking List'!$A$5:$AL$883,M$4,FALSE))</f>
        <v/>
      </c>
      <c r="N392" s="148" t="str">
        <f>IF($C392="","",IF(VLOOKUP($C392,'Tracking List'!$A$5:$AL$883,N$3,FALSE)&gt;0,"Y",VLOOKUP($C392,'Tracking List'!$A$5:$AL$883,N$4,FALSE)))</f>
        <v/>
      </c>
      <c r="O392" s="148" t="str">
        <f>IF($C392="","",IF(VLOOKUP($C392,'Tracking List'!$A$5:$AL$883,O$3,FALSE)&gt;0,"Y",VLOOKUP($C392,'Tracking List'!$A$5:$AL$883,O$4,FALSE)))</f>
        <v/>
      </c>
      <c r="P392" s="147" t="str">
        <f>IF($C392="","",IF(VLOOKUP($C392,'Tracking List'!$A$5:$AL$883,P$4,FALSE)&gt;0,"Y",""))</f>
        <v/>
      </c>
      <c r="Q392" s="149"/>
      <c r="R392" s="166" t="str">
        <f>IF($C392="","",VLOOKUP($C392,'Tracking List'!$A$5:$AL$883,R$4,FALSE))</f>
        <v/>
      </c>
    </row>
    <row r="393" spans="3:18">
      <c r="C393" s="146"/>
      <c r="D393" s="147" t="str">
        <f>IF($C393="","",VLOOKUP($C393,'Tracking List'!$A$5:$AL$883,D$4,FALSE))</f>
        <v/>
      </c>
      <c r="E393" s="147" t="str">
        <f>IF($C393="","",VLOOKUP($C393,'Tracking List'!$A$5:$AL$883,E$4,FALSE))</f>
        <v/>
      </c>
      <c r="F393" s="147" t="str">
        <f>IF($C393="","",VLOOKUP($C393,'Tracking List'!$A$5:$AL$883,F$4,FALSE))</f>
        <v/>
      </c>
      <c r="G393" s="147" t="str">
        <f>IF($C393="","",VLOOKUP($C393,'Tracking List'!$A$5:$AL$883,G$4,FALSE))</f>
        <v/>
      </c>
      <c r="H393" s="147" t="str">
        <f>IF($C393="","",VLOOKUP($C393,'Tracking List'!$A$5:$AL$883,H$4,FALSE))</f>
        <v/>
      </c>
      <c r="I393" s="147" t="str">
        <f>IF($C393="","",VLOOKUP($C393,'Tracking List'!$A$5:$AL$883,I$4,FALSE))</f>
        <v/>
      </c>
      <c r="J393" s="147" t="str">
        <f>IF($C393="","",VLOOKUP($C393,'Tracking List'!$A$5:$AL$883,J$4,FALSE))</f>
        <v/>
      </c>
      <c r="K393" s="147" t="str">
        <f>IF($C393="","",VLOOKUP($C393,'Tracking List'!$A$5:$AL$883,K$4,FALSE))</f>
        <v/>
      </c>
      <c r="L393" s="168" t="str">
        <f>IF($C393="","",VLOOKUP($C393,'Tracking List'!$A$5:$AL$883,L$4,FALSE))</f>
        <v/>
      </c>
      <c r="M393" s="147" t="str">
        <f>IF($C393="","",VLOOKUP($C393,'Tracking List'!$A$5:$AL$883,M$4,FALSE))</f>
        <v/>
      </c>
      <c r="N393" s="148" t="str">
        <f>IF($C393="","",IF(VLOOKUP($C393,'Tracking List'!$A$5:$AL$883,N$3,FALSE)&gt;0,"Y",VLOOKUP($C393,'Tracking List'!$A$5:$AL$883,N$4,FALSE)))</f>
        <v/>
      </c>
      <c r="O393" s="148" t="str">
        <f>IF($C393="","",IF(VLOOKUP($C393,'Tracking List'!$A$5:$AL$883,O$3,FALSE)&gt;0,"Y",VLOOKUP($C393,'Tracking List'!$A$5:$AL$883,O$4,FALSE)))</f>
        <v/>
      </c>
      <c r="P393" s="147" t="str">
        <f>IF($C393="","",IF(VLOOKUP($C393,'Tracking List'!$A$5:$AL$883,P$4,FALSE)&gt;0,"Y",""))</f>
        <v/>
      </c>
      <c r="Q393" s="149"/>
      <c r="R393" s="166" t="str">
        <f>IF($C393="","",VLOOKUP($C393,'Tracking List'!$A$5:$AL$883,R$4,FALSE))</f>
        <v/>
      </c>
    </row>
    <row r="394" spans="3:18">
      <c r="C394" s="146"/>
      <c r="D394" s="147" t="str">
        <f>IF($C394="","",VLOOKUP($C394,'Tracking List'!$A$5:$AL$883,D$4,FALSE))</f>
        <v/>
      </c>
      <c r="E394" s="147" t="str">
        <f>IF($C394="","",VLOOKUP($C394,'Tracking List'!$A$5:$AL$883,E$4,FALSE))</f>
        <v/>
      </c>
      <c r="F394" s="147" t="str">
        <f>IF($C394="","",VLOOKUP($C394,'Tracking List'!$A$5:$AL$883,F$4,FALSE))</f>
        <v/>
      </c>
      <c r="G394" s="147" t="str">
        <f>IF($C394="","",VLOOKUP($C394,'Tracking List'!$A$5:$AL$883,G$4,FALSE))</f>
        <v/>
      </c>
      <c r="H394" s="147" t="str">
        <f>IF($C394="","",VLOOKUP($C394,'Tracking List'!$A$5:$AL$883,H$4,FALSE))</f>
        <v/>
      </c>
      <c r="I394" s="147" t="str">
        <f>IF($C394="","",VLOOKUP($C394,'Tracking List'!$A$5:$AL$883,I$4,FALSE))</f>
        <v/>
      </c>
      <c r="J394" s="147" t="str">
        <f>IF($C394="","",VLOOKUP($C394,'Tracking List'!$A$5:$AL$883,J$4,FALSE))</f>
        <v/>
      </c>
      <c r="K394" s="147" t="str">
        <f>IF($C394="","",VLOOKUP($C394,'Tracking List'!$A$5:$AL$883,K$4,FALSE))</f>
        <v/>
      </c>
      <c r="L394" s="168" t="str">
        <f>IF($C394="","",VLOOKUP($C394,'Tracking List'!$A$5:$AL$883,L$4,FALSE))</f>
        <v/>
      </c>
      <c r="M394" s="147" t="str">
        <f>IF($C394="","",VLOOKUP($C394,'Tracking List'!$A$5:$AL$883,M$4,FALSE))</f>
        <v/>
      </c>
      <c r="N394" s="148" t="str">
        <f>IF($C394="","",IF(VLOOKUP($C394,'Tracking List'!$A$5:$AL$883,N$3,FALSE)&gt;0,"Y",VLOOKUP($C394,'Tracking List'!$A$5:$AL$883,N$4,FALSE)))</f>
        <v/>
      </c>
      <c r="O394" s="148" t="str">
        <f>IF($C394="","",IF(VLOOKUP($C394,'Tracking List'!$A$5:$AL$883,O$3,FALSE)&gt;0,"Y",VLOOKUP($C394,'Tracking List'!$A$5:$AL$883,O$4,FALSE)))</f>
        <v/>
      </c>
      <c r="P394" s="147" t="str">
        <f>IF($C394="","",IF(VLOOKUP($C394,'Tracking List'!$A$5:$AL$883,P$4,FALSE)&gt;0,"Y",""))</f>
        <v/>
      </c>
      <c r="Q394" s="149"/>
      <c r="R394" s="166" t="str">
        <f>IF($C394="","",VLOOKUP($C394,'Tracking List'!$A$5:$AL$883,R$4,FALSE))</f>
        <v/>
      </c>
    </row>
    <row r="395" spans="3:18">
      <c r="C395" s="146"/>
      <c r="D395" s="147" t="str">
        <f>IF($C395="","",VLOOKUP($C395,'Tracking List'!$A$5:$AL$883,D$4,FALSE))</f>
        <v/>
      </c>
      <c r="E395" s="147" t="str">
        <f>IF($C395="","",VLOOKUP($C395,'Tracking List'!$A$5:$AL$883,E$4,FALSE))</f>
        <v/>
      </c>
      <c r="F395" s="147" t="str">
        <f>IF($C395="","",VLOOKUP($C395,'Tracking List'!$A$5:$AL$883,F$4,FALSE))</f>
        <v/>
      </c>
      <c r="G395" s="147" t="str">
        <f>IF($C395="","",VLOOKUP($C395,'Tracking List'!$A$5:$AL$883,G$4,FALSE))</f>
        <v/>
      </c>
      <c r="H395" s="147" t="str">
        <f>IF($C395="","",VLOOKUP($C395,'Tracking List'!$A$5:$AL$883,H$4,FALSE))</f>
        <v/>
      </c>
      <c r="I395" s="147" t="str">
        <f>IF($C395="","",VLOOKUP($C395,'Tracking List'!$A$5:$AL$883,I$4,FALSE))</f>
        <v/>
      </c>
      <c r="J395" s="147" t="str">
        <f>IF($C395="","",VLOOKUP($C395,'Tracking List'!$A$5:$AL$883,J$4,FALSE))</f>
        <v/>
      </c>
      <c r="K395" s="147" t="str">
        <f>IF($C395="","",VLOOKUP($C395,'Tracking List'!$A$5:$AL$883,K$4,FALSE))</f>
        <v/>
      </c>
      <c r="L395" s="168" t="str">
        <f>IF($C395="","",VLOOKUP($C395,'Tracking List'!$A$5:$AL$883,L$4,FALSE))</f>
        <v/>
      </c>
      <c r="M395" s="147" t="str">
        <f>IF($C395="","",VLOOKUP($C395,'Tracking List'!$A$5:$AL$883,M$4,FALSE))</f>
        <v/>
      </c>
      <c r="N395" s="148" t="str">
        <f>IF($C395="","",IF(VLOOKUP($C395,'Tracking List'!$A$5:$AL$883,N$3,FALSE)&gt;0,"Y",VLOOKUP($C395,'Tracking List'!$A$5:$AL$883,N$4,FALSE)))</f>
        <v/>
      </c>
      <c r="O395" s="148" t="str">
        <f>IF($C395="","",IF(VLOOKUP($C395,'Tracking List'!$A$5:$AL$883,O$3,FALSE)&gt;0,"Y",VLOOKUP($C395,'Tracking List'!$A$5:$AL$883,O$4,FALSE)))</f>
        <v/>
      </c>
      <c r="P395" s="147" t="str">
        <f>IF($C395="","",IF(VLOOKUP($C395,'Tracking List'!$A$5:$AL$883,P$4,FALSE)&gt;0,"Y",""))</f>
        <v/>
      </c>
      <c r="Q395" s="149"/>
      <c r="R395" s="166" t="str">
        <f>IF($C395="","",VLOOKUP($C395,'Tracking List'!$A$5:$AL$883,R$4,FALSE))</f>
        <v/>
      </c>
    </row>
    <row r="396" spans="3:18">
      <c r="C396" s="146"/>
      <c r="D396" s="147" t="str">
        <f>IF($C396="","",VLOOKUP($C396,'Tracking List'!$A$5:$AL$883,D$4,FALSE))</f>
        <v/>
      </c>
      <c r="E396" s="147" t="str">
        <f>IF($C396="","",VLOOKUP($C396,'Tracking List'!$A$5:$AL$883,E$4,FALSE))</f>
        <v/>
      </c>
      <c r="F396" s="147" t="str">
        <f>IF($C396="","",VLOOKUP($C396,'Tracking List'!$A$5:$AL$883,F$4,FALSE))</f>
        <v/>
      </c>
      <c r="G396" s="147" t="str">
        <f>IF($C396="","",VLOOKUP($C396,'Tracking List'!$A$5:$AL$883,G$4,FALSE))</f>
        <v/>
      </c>
      <c r="H396" s="147" t="str">
        <f>IF($C396="","",VLOOKUP($C396,'Tracking List'!$A$5:$AL$883,H$4,FALSE))</f>
        <v/>
      </c>
      <c r="I396" s="147" t="str">
        <f>IF($C396="","",VLOOKUP($C396,'Tracking List'!$A$5:$AL$883,I$4,FALSE))</f>
        <v/>
      </c>
      <c r="J396" s="147" t="str">
        <f>IF($C396="","",VLOOKUP($C396,'Tracking List'!$A$5:$AL$883,J$4,FALSE))</f>
        <v/>
      </c>
      <c r="K396" s="147" t="str">
        <f>IF($C396="","",VLOOKUP($C396,'Tracking List'!$A$5:$AL$883,K$4,FALSE))</f>
        <v/>
      </c>
      <c r="L396" s="168" t="str">
        <f>IF($C396="","",VLOOKUP($C396,'Tracking List'!$A$5:$AL$883,L$4,FALSE))</f>
        <v/>
      </c>
      <c r="M396" s="147" t="str">
        <f>IF($C396="","",VLOOKUP($C396,'Tracking List'!$A$5:$AL$883,M$4,FALSE))</f>
        <v/>
      </c>
      <c r="N396" s="148" t="str">
        <f>IF($C396="","",IF(VLOOKUP($C396,'Tracking List'!$A$5:$AL$883,N$3,FALSE)&gt;0,"Y",VLOOKUP($C396,'Tracking List'!$A$5:$AL$883,N$4,FALSE)))</f>
        <v/>
      </c>
      <c r="O396" s="148" t="str">
        <f>IF($C396="","",IF(VLOOKUP($C396,'Tracking List'!$A$5:$AL$883,O$3,FALSE)&gt;0,"Y",VLOOKUP($C396,'Tracking List'!$A$5:$AL$883,O$4,FALSE)))</f>
        <v/>
      </c>
      <c r="P396" s="147" t="str">
        <f>IF($C396="","",IF(VLOOKUP($C396,'Tracking List'!$A$5:$AL$883,P$4,FALSE)&gt;0,"Y",""))</f>
        <v/>
      </c>
      <c r="Q396" s="149"/>
      <c r="R396" s="166" t="str">
        <f>IF($C396="","",VLOOKUP($C396,'Tracking List'!$A$5:$AL$883,R$4,FALSE))</f>
        <v/>
      </c>
    </row>
    <row r="397" spans="3:18">
      <c r="C397" s="146"/>
      <c r="D397" s="147" t="str">
        <f>IF($C397="","",VLOOKUP($C397,'Tracking List'!$A$5:$AL$883,D$4,FALSE))</f>
        <v/>
      </c>
      <c r="E397" s="147" t="str">
        <f>IF($C397="","",VLOOKUP($C397,'Tracking List'!$A$5:$AL$883,E$4,FALSE))</f>
        <v/>
      </c>
      <c r="F397" s="147" t="str">
        <f>IF($C397="","",VLOOKUP($C397,'Tracking List'!$A$5:$AL$883,F$4,FALSE))</f>
        <v/>
      </c>
      <c r="G397" s="147" t="str">
        <f>IF($C397="","",VLOOKUP($C397,'Tracking List'!$A$5:$AL$883,G$4,FALSE))</f>
        <v/>
      </c>
      <c r="H397" s="147" t="str">
        <f>IF($C397="","",VLOOKUP($C397,'Tracking List'!$A$5:$AL$883,H$4,FALSE))</f>
        <v/>
      </c>
      <c r="I397" s="147" t="str">
        <f>IF($C397="","",VLOOKUP($C397,'Tracking List'!$A$5:$AL$883,I$4,FALSE))</f>
        <v/>
      </c>
      <c r="J397" s="147" t="str">
        <f>IF($C397="","",VLOOKUP($C397,'Tracking List'!$A$5:$AL$883,J$4,FALSE))</f>
        <v/>
      </c>
      <c r="K397" s="147" t="str">
        <f>IF($C397="","",VLOOKUP($C397,'Tracking List'!$A$5:$AL$883,K$4,FALSE))</f>
        <v/>
      </c>
      <c r="L397" s="168" t="str">
        <f>IF($C397="","",VLOOKUP($C397,'Tracking List'!$A$5:$AL$883,L$4,FALSE))</f>
        <v/>
      </c>
      <c r="M397" s="147" t="str">
        <f>IF($C397="","",VLOOKUP($C397,'Tracking List'!$A$5:$AL$883,M$4,FALSE))</f>
        <v/>
      </c>
      <c r="N397" s="148" t="str">
        <f>IF($C397="","",IF(VLOOKUP($C397,'Tracking List'!$A$5:$AL$883,N$3,FALSE)&gt;0,"Y",VLOOKUP($C397,'Tracking List'!$A$5:$AL$883,N$4,FALSE)))</f>
        <v/>
      </c>
      <c r="O397" s="148" t="str">
        <f>IF($C397="","",IF(VLOOKUP($C397,'Tracking List'!$A$5:$AL$883,O$3,FALSE)&gt;0,"Y",VLOOKUP($C397,'Tracking List'!$A$5:$AL$883,O$4,FALSE)))</f>
        <v/>
      </c>
      <c r="P397" s="147" t="str">
        <f>IF($C397="","",IF(VLOOKUP($C397,'Tracking List'!$A$5:$AL$883,P$4,FALSE)&gt;0,"Y",""))</f>
        <v/>
      </c>
      <c r="Q397" s="149"/>
      <c r="R397" s="166" t="str">
        <f>IF($C397="","",VLOOKUP($C397,'Tracking List'!$A$5:$AL$883,R$4,FALSE))</f>
        <v/>
      </c>
    </row>
    <row r="398" spans="3:18">
      <c r="C398" s="146"/>
      <c r="D398" s="147" t="str">
        <f>IF($C398="","",VLOOKUP($C398,'Tracking List'!$A$5:$AL$883,D$4,FALSE))</f>
        <v/>
      </c>
      <c r="E398" s="147" t="str">
        <f>IF($C398="","",VLOOKUP($C398,'Tracking List'!$A$5:$AL$883,E$4,FALSE))</f>
        <v/>
      </c>
      <c r="F398" s="147" t="str">
        <f>IF($C398="","",VLOOKUP($C398,'Tracking List'!$A$5:$AL$883,F$4,FALSE))</f>
        <v/>
      </c>
      <c r="G398" s="147" t="str">
        <f>IF($C398="","",VLOOKUP($C398,'Tracking List'!$A$5:$AL$883,G$4,FALSE))</f>
        <v/>
      </c>
      <c r="H398" s="147" t="str">
        <f>IF($C398="","",VLOOKUP($C398,'Tracking List'!$A$5:$AL$883,H$4,FALSE))</f>
        <v/>
      </c>
      <c r="I398" s="147" t="str">
        <f>IF($C398="","",VLOOKUP($C398,'Tracking List'!$A$5:$AL$883,I$4,FALSE))</f>
        <v/>
      </c>
      <c r="J398" s="147" t="str">
        <f>IF($C398="","",VLOOKUP($C398,'Tracking List'!$A$5:$AL$883,J$4,FALSE))</f>
        <v/>
      </c>
      <c r="K398" s="147" t="str">
        <f>IF($C398="","",VLOOKUP($C398,'Tracking List'!$A$5:$AL$883,K$4,FALSE))</f>
        <v/>
      </c>
      <c r="L398" s="168" t="str">
        <f>IF($C398="","",VLOOKUP($C398,'Tracking List'!$A$5:$AL$883,L$4,FALSE))</f>
        <v/>
      </c>
      <c r="M398" s="147" t="str">
        <f>IF($C398="","",VLOOKUP($C398,'Tracking List'!$A$5:$AL$883,M$4,FALSE))</f>
        <v/>
      </c>
      <c r="N398" s="148" t="str">
        <f>IF($C398="","",IF(VLOOKUP($C398,'Tracking List'!$A$5:$AL$883,N$3,FALSE)&gt;0,"Y",VLOOKUP($C398,'Tracking List'!$A$5:$AL$883,N$4,FALSE)))</f>
        <v/>
      </c>
      <c r="O398" s="148" t="str">
        <f>IF($C398="","",IF(VLOOKUP($C398,'Tracking List'!$A$5:$AL$883,O$3,FALSE)&gt;0,"Y",VLOOKUP($C398,'Tracking List'!$A$5:$AL$883,O$4,FALSE)))</f>
        <v/>
      </c>
      <c r="P398" s="147" t="str">
        <f>IF($C398="","",IF(VLOOKUP($C398,'Tracking List'!$A$5:$AL$883,P$4,FALSE)&gt;0,"Y",""))</f>
        <v/>
      </c>
      <c r="Q398" s="149"/>
      <c r="R398" s="166" t="str">
        <f>IF($C398="","",VLOOKUP($C398,'Tracking List'!$A$5:$AL$883,R$4,FALSE))</f>
        <v/>
      </c>
    </row>
    <row r="399" spans="3:18">
      <c r="C399" s="146"/>
      <c r="D399" s="147" t="str">
        <f>IF($C399="","",VLOOKUP($C399,'Tracking List'!$A$5:$AL$883,D$4,FALSE))</f>
        <v/>
      </c>
      <c r="E399" s="147" t="str">
        <f>IF($C399="","",VLOOKUP($C399,'Tracking List'!$A$5:$AL$883,E$4,FALSE))</f>
        <v/>
      </c>
      <c r="F399" s="147" t="str">
        <f>IF($C399="","",VLOOKUP($C399,'Tracking List'!$A$5:$AL$883,F$4,FALSE))</f>
        <v/>
      </c>
      <c r="G399" s="147" t="str">
        <f>IF($C399="","",VLOOKUP($C399,'Tracking List'!$A$5:$AL$883,G$4,FALSE))</f>
        <v/>
      </c>
      <c r="H399" s="147" t="str">
        <f>IF($C399="","",VLOOKUP($C399,'Tracking List'!$A$5:$AL$883,H$4,FALSE))</f>
        <v/>
      </c>
      <c r="I399" s="147" t="str">
        <f>IF($C399="","",VLOOKUP($C399,'Tracking List'!$A$5:$AL$883,I$4,FALSE))</f>
        <v/>
      </c>
      <c r="J399" s="147" t="str">
        <f>IF($C399="","",VLOOKUP($C399,'Tracking List'!$A$5:$AL$883,J$4,FALSE))</f>
        <v/>
      </c>
      <c r="K399" s="147" t="str">
        <f>IF($C399="","",VLOOKUP($C399,'Tracking List'!$A$5:$AL$883,K$4,FALSE))</f>
        <v/>
      </c>
      <c r="L399" s="168" t="str">
        <f>IF($C399="","",VLOOKUP($C399,'Tracking List'!$A$5:$AL$883,L$4,FALSE))</f>
        <v/>
      </c>
      <c r="M399" s="147" t="str">
        <f>IF($C399="","",VLOOKUP($C399,'Tracking List'!$A$5:$AL$883,M$4,FALSE))</f>
        <v/>
      </c>
      <c r="N399" s="148" t="str">
        <f>IF($C399="","",IF(VLOOKUP($C399,'Tracking List'!$A$5:$AL$883,N$3,FALSE)&gt;0,"Y",VLOOKUP($C399,'Tracking List'!$A$5:$AL$883,N$4,FALSE)))</f>
        <v/>
      </c>
      <c r="O399" s="148" t="str">
        <f>IF($C399="","",IF(VLOOKUP($C399,'Tracking List'!$A$5:$AL$883,O$3,FALSE)&gt;0,"Y",VLOOKUP($C399,'Tracking List'!$A$5:$AL$883,O$4,FALSE)))</f>
        <v/>
      </c>
      <c r="P399" s="147" t="str">
        <f>IF($C399="","",IF(VLOOKUP($C399,'Tracking List'!$A$5:$AL$883,P$4,FALSE)&gt;0,"Y",""))</f>
        <v/>
      </c>
      <c r="Q399" s="149"/>
      <c r="R399" s="166" t="str">
        <f>IF($C399="","",VLOOKUP($C399,'Tracking List'!$A$5:$AL$883,R$4,FALSE))</f>
        <v/>
      </c>
    </row>
    <row r="400" spans="3:18">
      <c r="C400" s="146"/>
      <c r="D400" s="147" t="str">
        <f>IF($C400="","",VLOOKUP($C400,'Tracking List'!$A$5:$AL$883,D$4,FALSE))</f>
        <v/>
      </c>
      <c r="E400" s="147" t="str">
        <f>IF($C400="","",VLOOKUP($C400,'Tracking List'!$A$5:$AL$883,E$4,FALSE))</f>
        <v/>
      </c>
      <c r="F400" s="147" t="str">
        <f>IF($C400="","",VLOOKUP($C400,'Tracking List'!$A$5:$AL$883,F$4,FALSE))</f>
        <v/>
      </c>
      <c r="G400" s="147" t="str">
        <f>IF($C400="","",VLOOKUP($C400,'Tracking List'!$A$5:$AL$883,G$4,FALSE))</f>
        <v/>
      </c>
      <c r="H400" s="147" t="str">
        <f>IF($C400="","",VLOOKUP($C400,'Tracking List'!$A$5:$AL$883,H$4,FALSE))</f>
        <v/>
      </c>
      <c r="I400" s="147" t="str">
        <f>IF($C400="","",VLOOKUP($C400,'Tracking List'!$A$5:$AL$883,I$4,FALSE))</f>
        <v/>
      </c>
      <c r="J400" s="147" t="str">
        <f>IF($C400="","",VLOOKUP($C400,'Tracking List'!$A$5:$AL$883,J$4,FALSE))</f>
        <v/>
      </c>
      <c r="K400" s="147" t="str">
        <f>IF($C400="","",VLOOKUP($C400,'Tracking List'!$A$5:$AL$883,K$4,FALSE))</f>
        <v/>
      </c>
      <c r="L400" s="168" t="str">
        <f>IF($C400="","",VLOOKUP($C400,'Tracking List'!$A$5:$AL$883,L$4,FALSE))</f>
        <v/>
      </c>
      <c r="M400" s="147" t="str">
        <f>IF($C400="","",VLOOKUP($C400,'Tracking List'!$A$5:$AL$883,M$4,FALSE))</f>
        <v/>
      </c>
      <c r="N400" s="148" t="str">
        <f>IF($C400="","",IF(VLOOKUP($C400,'Tracking List'!$A$5:$AL$883,N$3,FALSE)&gt;0,"Y",VLOOKUP($C400,'Tracking List'!$A$5:$AL$883,N$4,FALSE)))</f>
        <v/>
      </c>
      <c r="O400" s="148" t="str">
        <f>IF($C400="","",IF(VLOOKUP($C400,'Tracking List'!$A$5:$AL$883,O$3,FALSE)&gt;0,"Y",VLOOKUP($C400,'Tracking List'!$A$5:$AL$883,O$4,FALSE)))</f>
        <v/>
      </c>
      <c r="P400" s="147" t="str">
        <f>IF($C400="","",IF(VLOOKUP($C400,'Tracking List'!$A$5:$AL$883,P$4,FALSE)&gt;0,"Y",""))</f>
        <v/>
      </c>
      <c r="Q400" s="149"/>
      <c r="R400" s="166" t="str">
        <f>IF($C400="","",VLOOKUP($C400,'Tracking List'!$A$5:$AL$883,R$4,FALSE))</f>
        <v/>
      </c>
    </row>
    <row r="401" spans="3:18">
      <c r="C401" s="146"/>
      <c r="D401" s="147" t="str">
        <f>IF($C401="","",VLOOKUP($C401,'Tracking List'!$A$5:$AL$883,D$4,FALSE))</f>
        <v/>
      </c>
      <c r="E401" s="147" t="str">
        <f>IF($C401="","",VLOOKUP($C401,'Tracking List'!$A$5:$AL$883,E$4,FALSE))</f>
        <v/>
      </c>
      <c r="F401" s="147" t="str">
        <f>IF($C401="","",VLOOKUP($C401,'Tracking List'!$A$5:$AL$883,F$4,FALSE))</f>
        <v/>
      </c>
      <c r="G401" s="147" t="str">
        <f>IF($C401="","",VLOOKUP($C401,'Tracking List'!$A$5:$AL$883,G$4,FALSE))</f>
        <v/>
      </c>
      <c r="H401" s="147" t="str">
        <f>IF($C401="","",VLOOKUP($C401,'Tracking List'!$A$5:$AL$883,H$4,FALSE))</f>
        <v/>
      </c>
      <c r="I401" s="147" t="str">
        <f>IF($C401="","",VLOOKUP($C401,'Tracking List'!$A$5:$AL$883,I$4,FALSE))</f>
        <v/>
      </c>
      <c r="J401" s="147" t="str">
        <f>IF($C401="","",VLOOKUP($C401,'Tracking List'!$A$5:$AL$883,J$4,FALSE))</f>
        <v/>
      </c>
      <c r="K401" s="147" t="str">
        <f>IF($C401="","",VLOOKUP($C401,'Tracking List'!$A$5:$AL$883,K$4,FALSE))</f>
        <v/>
      </c>
      <c r="L401" s="168" t="str">
        <f>IF($C401="","",VLOOKUP($C401,'Tracking List'!$A$5:$AL$883,L$4,FALSE))</f>
        <v/>
      </c>
      <c r="M401" s="147" t="str">
        <f>IF($C401="","",VLOOKUP($C401,'Tracking List'!$A$5:$AL$883,M$4,FALSE))</f>
        <v/>
      </c>
      <c r="N401" s="148" t="str">
        <f>IF($C401="","",IF(VLOOKUP($C401,'Tracking List'!$A$5:$AL$883,N$3,FALSE)&gt;0,"Y",VLOOKUP($C401,'Tracking List'!$A$5:$AL$883,N$4,FALSE)))</f>
        <v/>
      </c>
      <c r="O401" s="148" t="str">
        <f>IF($C401="","",IF(VLOOKUP($C401,'Tracking List'!$A$5:$AL$883,O$3,FALSE)&gt;0,"Y",VLOOKUP($C401,'Tracking List'!$A$5:$AL$883,O$4,FALSE)))</f>
        <v/>
      </c>
      <c r="P401" s="147" t="str">
        <f>IF($C401="","",IF(VLOOKUP($C401,'Tracking List'!$A$5:$AL$883,P$4,FALSE)&gt;0,"Y",""))</f>
        <v/>
      </c>
      <c r="Q401" s="149"/>
      <c r="R401" s="166" t="str">
        <f>IF($C401="","",VLOOKUP($C401,'Tracking List'!$A$5:$AL$883,R$4,FALSE))</f>
        <v/>
      </c>
    </row>
    <row r="402" spans="3:18">
      <c r="C402" s="146"/>
      <c r="D402" s="147" t="str">
        <f>IF($C402="","",VLOOKUP($C402,'Tracking List'!$A$5:$AL$883,D$4,FALSE))</f>
        <v/>
      </c>
      <c r="E402" s="147" t="str">
        <f>IF($C402="","",VLOOKUP($C402,'Tracking List'!$A$5:$AL$883,E$4,FALSE))</f>
        <v/>
      </c>
      <c r="F402" s="147" t="str">
        <f>IF($C402="","",VLOOKUP($C402,'Tracking List'!$A$5:$AL$883,F$4,FALSE))</f>
        <v/>
      </c>
      <c r="G402" s="147" t="str">
        <f>IF($C402="","",VLOOKUP($C402,'Tracking List'!$A$5:$AL$883,G$4,FALSE))</f>
        <v/>
      </c>
      <c r="H402" s="147" t="str">
        <f>IF($C402="","",VLOOKUP($C402,'Tracking List'!$A$5:$AL$883,H$4,FALSE))</f>
        <v/>
      </c>
      <c r="I402" s="147" t="str">
        <f>IF($C402="","",VLOOKUP($C402,'Tracking List'!$A$5:$AL$883,I$4,FALSE))</f>
        <v/>
      </c>
      <c r="J402" s="147" t="str">
        <f>IF($C402="","",VLOOKUP($C402,'Tracking List'!$A$5:$AL$883,J$4,FALSE))</f>
        <v/>
      </c>
      <c r="K402" s="147" t="str">
        <f>IF($C402="","",VLOOKUP($C402,'Tracking List'!$A$5:$AL$883,K$4,FALSE))</f>
        <v/>
      </c>
      <c r="L402" s="168" t="str">
        <f>IF($C402="","",VLOOKUP($C402,'Tracking List'!$A$5:$AL$883,L$4,FALSE))</f>
        <v/>
      </c>
      <c r="M402" s="147" t="str">
        <f>IF($C402="","",VLOOKUP($C402,'Tracking List'!$A$5:$AL$883,M$4,FALSE))</f>
        <v/>
      </c>
      <c r="N402" s="148" t="str">
        <f>IF($C402="","",IF(VLOOKUP($C402,'Tracking List'!$A$5:$AL$883,N$3,FALSE)&gt;0,"Y",VLOOKUP($C402,'Tracking List'!$A$5:$AL$883,N$4,FALSE)))</f>
        <v/>
      </c>
      <c r="O402" s="148" t="str">
        <f>IF($C402="","",IF(VLOOKUP($C402,'Tracking List'!$A$5:$AL$883,O$3,FALSE)&gt;0,"Y",VLOOKUP($C402,'Tracking List'!$A$5:$AL$883,O$4,FALSE)))</f>
        <v/>
      </c>
      <c r="P402" s="147" t="str">
        <f>IF($C402="","",IF(VLOOKUP($C402,'Tracking List'!$A$5:$AL$883,P$4,FALSE)&gt;0,"Y",""))</f>
        <v/>
      </c>
      <c r="Q402" s="149"/>
      <c r="R402" s="166" t="str">
        <f>IF($C402="","",VLOOKUP($C402,'Tracking List'!$A$5:$AL$883,R$4,FALSE))</f>
        <v/>
      </c>
    </row>
    <row r="403" spans="3:18">
      <c r="C403" s="146"/>
      <c r="D403" s="147" t="str">
        <f>IF($C403="","",VLOOKUP($C403,'Tracking List'!$A$5:$AL$883,D$4,FALSE))</f>
        <v/>
      </c>
      <c r="E403" s="147" t="str">
        <f>IF($C403="","",VLOOKUP($C403,'Tracking List'!$A$5:$AL$883,E$4,FALSE))</f>
        <v/>
      </c>
      <c r="F403" s="147" t="str">
        <f>IF($C403="","",VLOOKUP($C403,'Tracking List'!$A$5:$AL$883,F$4,FALSE))</f>
        <v/>
      </c>
      <c r="G403" s="147" t="str">
        <f>IF($C403="","",VLOOKUP($C403,'Tracking List'!$A$5:$AL$883,G$4,FALSE))</f>
        <v/>
      </c>
      <c r="H403" s="147" t="str">
        <f>IF($C403="","",VLOOKUP($C403,'Tracking List'!$A$5:$AL$883,H$4,FALSE))</f>
        <v/>
      </c>
      <c r="I403" s="147" t="str">
        <f>IF($C403="","",VLOOKUP($C403,'Tracking List'!$A$5:$AL$883,I$4,FALSE))</f>
        <v/>
      </c>
      <c r="J403" s="147" t="str">
        <f>IF($C403="","",VLOOKUP($C403,'Tracking List'!$A$5:$AL$883,J$4,FALSE))</f>
        <v/>
      </c>
      <c r="K403" s="147" t="str">
        <f>IF($C403="","",VLOOKUP($C403,'Tracking List'!$A$5:$AL$883,K$4,FALSE))</f>
        <v/>
      </c>
      <c r="L403" s="168" t="str">
        <f>IF($C403="","",VLOOKUP($C403,'Tracking List'!$A$5:$AL$883,L$4,FALSE))</f>
        <v/>
      </c>
      <c r="M403" s="147" t="str">
        <f>IF($C403="","",VLOOKUP($C403,'Tracking List'!$A$5:$AL$883,M$4,FALSE))</f>
        <v/>
      </c>
      <c r="N403" s="148" t="str">
        <f>IF($C403="","",IF(VLOOKUP($C403,'Tracking List'!$A$5:$AL$883,N$3,FALSE)&gt;0,"Y",VLOOKUP($C403,'Tracking List'!$A$5:$AL$883,N$4,FALSE)))</f>
        <v/>
      </c>
      <c r="O403" s="148" t="str">
        <f>IF($C403="","",IF(VLOOKUP($C403,'Tracking List'!$A$5:$AL$883,O$3,FALSE)&gt;0,"Y",VLOOKUP($C403,'Tracking List'!$A$5:$AL$883,O$4,FALSE)))</f>
        <v/>
      </c>
      <c r="P403" s="147" t="str">
        <f>IF($C403="","",IF(VLOOKUP($C403,'Tracking List'!$A$5:$AL$883,P$4,FALSE)&gt;0,"Y",""))</f>
        <v/>
      </c>
      <c r="Q403" s="149"/>
      <c r="R403" s="166" t="str">
        <f>IF($C403="","",VLOOKUP($C403,'Tracking List'!$A$5:$AL$883,R$4,FALSE))</f>
        <v/>
      </c>
    </row>
    <row r="404" spans="3:18">
      <c r="C404" s="146"/>
      <c r="D404" s="147" t="str">
        <f>IF($C404="","",VLOOKUP($C404,'Tracking List'!$A$5:$AL$883,D$4,FALSE))</f>
        <v/>
      </c>
      <c r="E404" s="147" t="str">
        <f>IF($C404="","",VLOOKUP($C404,'Tracking List'!$A$5:$AL$883,E$4,FALSE))</f>
        <v/>
      </c>
      <c r="F404" s="147" t="str">
        <f>IF($C404="","",VLOOKUP($C404,'Tracking List'!$A$5:$AL$883,F$4,FALSE))</f>
        <v/>
      </c>
      <c r="G404" s="147" t="str">
        <f>IF($C404="","",VLOOKUP($C404,'Tracking List'!$A$5:$AL$883,G$4,FALSE))</f>
        <v/>
      </c>
      <c r="H404" s="147" t="str">
        <f>IF($C404="","",VLOOKUP($C404,'Tracking List'!$A$5:$AL$883,H$4,FALSE))</f>
        <v/>
      </c>
      <c r="I404" s="147" t="str">
        <f>IF($C404="","",VLOOKUP($C404,'Tracking List'!$A$5:$AL$883,I$4,FALSE))</f>
        <v/>
      </c>
      <c r="J404" s="147" t="str">
        <f>IF($C404="","",VLOOKUP($C404,'Tracking List'!$A$5:$AL$883,J$4,FALSE))</f>
        <v/>
      </c>
      <c r="K404" s="147" t="str">
        <f>IF($C404="","",VLOOKUP($C404,'Tracking List'!$A$5:$AL$883,K$4,FALSE))</f>
        <v/>
      </c>
      <c r="L404" s="168" t="str">
        <f>IF($C404="","",VLOOKUP($C404,'Tracking List'!$A$5:$AL$883,L$4,FALSE))</f>
        <v/>
      </c>
      <c r="M404" s="147" t="str">
        <f>IF($C404="","",VLOOKUP($C404,'Tracking List'!$A$5:$AL$883,M$4,FALSE))</f>
        <v/>
      </c>
      <c r="N404" s="148" t="str">
        <f>IF($C404="","",IF(VLOOKUP($C404,'Tracking List'!$A$5:$AL$883,N$3,FALSE)&gt;0,"Y",VLOOKUP($C404,'Tracking List'!$A$5:$AL$883,N$4,FALSE)))</f>
        <v/>
      </c>
      <c r="O404" s="148" t="str">
        <f>IF($C404="","",IF(VLOOKUP($C404,'Tracking List'!$A$5:$AL$883,O$3,FALSE)&gt;0,"Y",VLOOKUP($C404,'Tracking List'!$A$5:$AL$883,O$4,FALSE)))</f>
        <v/>
      </c>
      <c r="P404" s="147" t="str">
        <f>IF($C404="","",IF(VLOOKUP($C404,'Tracking List'!$A$5:$AL$883,P$4,FALSE)&gt;0,"Y",""))</f>
        <v/>
      </c>
      <c r="Q404" s="149"/>
      <c r="R404" s="166" t="str">
        <f>IF($C404="","",VLOOKUP($C404,'Tracking List'!$A$5:$AL$883,R$4,FALSE))</f>
        <v/>
      </c>
    </row>
    <row r="405" spans="3:18">
      <c r="C405" s="146"/>
      <c r="D405" s="147" t="str">
        <f>IF($C405="","",VLOOKUP($C405,'Tracking List'!$A$5:$AL$883,D$4,FALSE))</f>
        <v/>
      </c>
      <c r="E405" s="147" t="str">
        <f>IF($C405="","",VLOOKUP($C405,'Tracking List'!$A$5:$AL$883,E$4,FALSE))</f>
        <v/>
      </c>
      <c r="F405" s="147" t="str">
        <f>IF($C405="","",VLOOKUP($C405,'Tracking List'!$A$5:$AL$883,F$4,FALSE))</f>
        <v/>
      </c>
      <c r="G405" s="147" t="str">
        <f>IF($C405="","",VLOOKUP($C405,'Tracking List'!$A$5:$AL$883,G$4,FALSE))</f>
        <v/>
      </c>
      <c r="H405" s="147" t="str">
        <f>IF($C405="","",VLOOKUP($C405,'Tracking List'!$A$5:$AL$883,H$4,FALSE))</f>
        <v/>
      </c>
      <c r="I405" s="147" t="str">
        <f>IF($C405="","",VLOOKUP($C405,'Tracking List'!$A$5:$AL$883,I$4,FALSE))</f>
        <v/>
      </c>
      <c r="J405" s="147" t="str">
        <f>IF($C405="","",VLOOKUP($C405,'Tracking List'!$A$5:$AL$883,J$4,FALSE))</f>
        <v/>
      </c>
      <c r="K405" s="147" t="str">
        <f>IF($C405="","",VLOOKUP($C405,'Tracking List'!$A$5:$AL$883,K$4,FALSE))</f>
        <v/>
      </c>
      <c r="L405" s="168" t="str">
        <f>IF($C405="","",VLOOKUP($C405,'Tracking List'!$A$5:$AL$883,L$4,FALSE))</f>
        <v/>
      </c>
      <c r="M405" s="147" t="str">
        <f>IF($C405="","",VLOOKUP($C405,'Tracking List'!$A$5:$AL$883,M$4,FALSE))</f>
        <v/>
      </c>
      <c r="N405" s="148" t="str">
        <f>IF($C405="","",IF(VLOOKUP($C405,'Tracking List'!$A$5:$AL$883,N$3,FALSE)&gt;0,"Y",VLOOKUP($C405,'Tracking List'!$A$5:$AL$883,N$4,FALSE)))</f>
        <v/>
      </c>
      <c r="O405" s="148" t="str">
        <f>IF($C405="","",IF(VLOOKUP($C405,'Tracking List'!$A$5:$AL$883,O$3,FALSE)&gt;0,"Y",VLOOKUP($C405,'Tracking List'!$A$5:$AL$883,O$4,FALSE)))</f>
        <v/>
      </c>
      <c r="P405" s="147" t="str">
        <f>IF($C405="","",IF(VLOOKUP($C405,'Tracking List'!$A$5:$AL$883,P$4,FALSE)&gt;0,"Y",""))</f>
        <v/>
      </c>
      <c r="Q405" s="149"/>
      <c r="R405" s="166" t="str">
        <f>IF($C405="","",VLOOKUP($C405,'Tracking List'!$A$5:$AL$883,R$4,FALSE))</f>
        <v/>
      </c>
    </row>
    <row r="406" spans="3:18">
      <c r="C406" s="146"/>
      <c r="D406" s="147" t="str">
        <f>IF($C406="","",VLOOKUP($C406,'Tracking List'!$A$5:$AL$883,D$4,FALSE))</f>
        <v/>
      </c>
      <c r="E406" s="147" t="str">
        <f>IF($C406="","",VLOOKUP($C406,'Tracking List'!$A$5:$AL$883,E$4,FALSE))</f>
        <v/>
      </c>
      <c r="F406" s="147" t="str">
        <f>IF($C406="","",VLOOKUP($C406,'Tracking List'!$A$5:$AL$883,F$4,FALSE))</f>
        <v/>
      </c>
      <c r="G406" s="147" t="str">
        <f>IF($C406="","",VLOOKUP($C406,'Tracking List'!$A$5:$AL$883,G$4,FALSE))</f>
        <v/>
      </c>
      <c r="H406" s="147" t="str">
        <f>IF($C406="","",VLOOKUP($C406,'Tracking List'!$A$5:$AL$883,H$4,FALSE))</f>
        <v/>
      </c>
      <c r="I406" s="147" t="str">
        <f>IF($C406="","",VLOOKUP($C406,'Tracking List'!$A$5:$AL$883,I$4,FALSE))</f>
        <v/>
      </c>
      <c r="J406" s="147" t="str">
        <f>IF($C406="","",VLOOKUP($C406,'Tracking List'!$A$5:$AL$883,J$4,FALSE))</f>
        <v/>
      </c>
      <c r="K406" s="147" t="str">
        <f>IF($C406="","",VLOOKUP($C406,'Tracking List'!$A$5:$AL$883,K$4,FALSE))</f>
        <v/>
      </c>
      <c r="L406" s="168" t="str">
        <f>IF($C406="","",VLOOKUP($C406,'Tracking List'!$A$5:$AL$883,L$4,FALSE))</f>
        <v/>
      </c>
      <c r="M406" s="147" t="str">
        <f>IF($C406="","",VLOOKUP($C406,'Tracking List'!$A$5:$AL$883,M$4,FALSE))</f>
        <v/>
      </c>
      <c r="N406" s="148" t="str">
        <f>IF($C406="","",IF(VLOOKUP($C406,'Tracking List'!$A$5:$AL$883,N$3,FALSE)&gt;0,"Y",VLOOKUP($C406,'Tracking List'!$A$5:$AL$883,N$4,FALSE)))</f>
        <v/>
      </c>
      <c r="O406" s="148" t="str">
        <f>IF($C406="","",IF(VLOOKUP($C406,'Tracking List'!$A$5:$AL$883,O$3,FALSE)&gt;0,"Y",VLOOKUP($C406,'Tracking List'!$A$5:$AL$883,O$4,FALSE)))</f>
        <v/>
      </c>
      <c r="P406" s="147" t="str">
        <f>IF($C406="","",IF(VLOOKUP($C406,'Tracking List'!$A$5:$AL$883,P$4,FALSE)&gt;0,"Y",""))</f>
        <v/>
      </c>
      <c r="Q406" s="149"/>
      <c r="R406" s="166" t="str">
        <f>IF($C406="","",VLOOKUP($C406,'Tracking List'!$A$5:$AL$883,R$4,FALSE))</f>
        <v/>
      </c>
    </row>
    <row r="407" spans="3:18">
      <c r="C407" s="146"/>
      <c r="D407" s="147" t="str">
        <f>IF($C407="","",VLOOKUP($C407,'Tracking List'!$A$5:$AL$883,D$4,FALSE))</f>
        <v/>
      </c>
      <c r="E407" s="147" t="str">
        <f>IF($C407="","",VLOOKUP($C407,'Tracking List'!$A$5:$AL$883,E$4,FALSE))</f>
        <v/>
      </c>
      <c r="F407" s="147" t="str">
        <f>IF($C407="","",VLOOKUP($C407,'Tracking List'!$A$5:$AL$883,F$4,FALSE))</f>
        <v/>
      </c>
      <c r="G407" s="147" t="str">
        <f>IF($C407="","",VLOOKUP($C407,'Tracking List'!$A$5:$AL$883,G$4,FALSE))</f>
        <v/>
      </c>
      <c r="H407" s="147" t="str">
        <f>IF($C407="","",VLOOKUP($C407,'Tracking List'!$A$5:$AL$883,H$4,FALSE))</f>
        <v/>
      </c>
      <c r="I407" s="147" t="str">
        <f>IF($C407="","",VLOOKUP($C407,'Tracking List'!$A$5:$AL$883,I$4,FALSE))</f>
        <v/>
      </c>
      <c r="J407" s="147" t="str">
        <f>IF($C407="","",VLOOKUP($C407,'Tracking List'!$A$5:$AL$883,J$4,FALSE))</f>
        <v/>
      </c>
      <c r="K407" s="147" t="str">
        <f>IF($C407="","",VLOOKUP($C407,'Tracking List'!$A$5:$AL$883,K$4,FALSE))</f>
        <v/>
      </c>
      <c r="L407" s="168" t="str">
        <f>IF($C407="","",VLOOKUP($C407,'Tracking List'!$A$5:$AL$883,L$4,FALSE))</f>
        <v/>
      </c>
      <c r="M407" s="147" t="str">
        <f>IF($C407="","",VLOOKUP($C407,'Tracking List'!$A$5:$AL$883,M$4,FALSE))</f>
        <v/>
      </c>
      <c r="N407" s="148" t="str">
        <f>IF($C407="","",IF(VLOOKUP($C407,'Tracking List'!$A$5:$AL$883,N$3,FALSE)&gt;0,"Y",VLOOKUP($C407,'Tracking List'!$A$5:$AL$883,N$4,FALSE)))</f>
        <v/>
      </c>
      <c r="O407" s="148" t="str">
        <f>IF($C407="","",IF(VLOOKUP($C407,'Tracking List'!$A$5:$AL$883,O$3,FALSE)&gt;0,"Y",VLOOKUP($C407,'Tracking List'!$A$5:$AL$883,O$4,FALSE)))</f>
        <v/>
      </c>
      <c r="P407" s="147" t="str">
        <f>IF($C407="","",IF(VLOOKUP($C407,'Tracking List'!$A$5:$AL$883,P$4,FALSE)&gt;0,"Y",""))</f>
        <v/>
      </c>
      <c r="Q407" s="149"/>
      <c r="R407" s="166" t="str">
        <f>IF($C407="","",VLOOKUP($C407,'Tracking List'!$A$5:$AL$883,R$4,FALSE))</f>
        <v/>
      </c>
    </row>
    <row r="408" spans="3:18">
      <c r="C408" s="146"/>
      <c r="D408" s="147" t="str">
        <f>IF($C408="","",VLOOKUP($C408,'Tracking List'!$A$5:$AL$883,D$4,FALSE))</f>
        <v/>
      </c>
      <c r="E408" s="147" t="str">
        <f>IF($C408="","",VLOOKUP($C408,'Tracking List'!$A$5:$AL$883,E$4,FALSE))</f>
        <v/>
      </c>
      <c r="F408" s="147" t="str">
        <f>IF($C408="","",VLOOKUP($C408,'Tracking List'!$A$5:$AL$883,F$4,FALSE))</f>
        <v/>
      </c>
      <c r="G408" s="147" t="str">
        <f>IF($C408="","",VLOOKUP($C408,'Tracking List'!$A$5:$AL$883,G$4,FALSE))</f>
        <v/>
      </c>
      <c r="H408" s="147" t="str">
        <f>IF($C408="","",VLOOKUP($C408,'Tracking List'!$A$5:$AL$883,H$4,FALSE))</f>
        <v/>
      </c>
      <c r="I408" s="147" t="str">
        <f>IF($C408="","",VLOOKUP($C408,'Tracking List'!$A$5:$AL$883,I$4,FALSE))</f>
        <v/>
      </c>
      <c r="J408" s="147" t="str">
        <f>IF($C408="","",VLOOKUP($C408,'Tracking List'!$A$5:$AL$883,J$4,FALSE))</f>
        <v/>
      </c>
      <c r="K408" s="147" t="str">
        <f>IF($C408="","",VLOOKUP($C408,'Tracking List'!$A$5:$AL$883,K$4,FALSE))</f>
        <v/>
      </c>
      <c r="L408" s="168" t="str">
        <f>IF($C408="","",VLOOKUP($C408,'Tracking List'!$A$5:$AL$883,L$4,FALSE))</f>
        <v/>
      </c>
      <c r="M408" s="147" t="str">
        <f>IF($C408="","",VLOOKUP($C408,'Tracking List'!$A$5:$AL$883,M$4,FALSE))</f>
        <v/>
      </c>
      <c r="N408" s="148" t="str">
        <f>IF($C408="","",IF(VLOOKUP($C408,'Tracking List'!$A$5:$AL$883,N$3,FALSE)&gt;0,"Y",VLOOKUP($C408,'Tracking List'!$A$5:$AL$883,N$4,FALSE)))</f>
        <v/>
      </c>
      <c r="O408" s="148" t="str">
        <f>IF($C408="","",IF(VLOOKUP($C408,'Tracking List'!$A$5:$AL$883,O$3,FALSE)&gt;0,"Y",VLOOKUP($C408,'Tracking List'!$A$5:$AL$883,O$4,FALSE)))</f>
        <v/>
      </c>
      <c r="P408" s="147" t="str">
        <f>IF($C408="","",IF(VLOOKUP($C408,'Tracking List'!$A$5:$AL$883,P$4,FALSE)&gt;0,"Y",""))</f>
        <v/>
      </c>
      <c r="Q408" s="149"/>
      <c r="R408" s="166" t="str">
        <f>IF($C408="","",VLOOKUP($C408,'Tracking List'!$A$5:$AL$883,R$4,FALSE))</f>
        <v/>
      </c>
    </row>
    <row r="409" spans="3:18">
      <c r="C409" s="146"/>
      <c r="D409" s="147" t="str">
        <f>IF($C409="","",VLOOKUP($C409,'Tracking List'!$A$5:$AL$883,D$4,FALSE))</f>
        <v/>
      </c>
      <c r="E409" s="147" t="str">
        <f>IF($C409="","",VLOOKUP($C409,'Tracking List'!$A$5:$AL$883,E$4,FALSE))</f>
        <v/>
      </c>
      <c r="F409" s="147" t="str">
        <f>IF($C409="","",VLOOKUP($C409,'Tracking List'!$A$5:$AL$883,F$4,FALSE))</f>
        <v/>
      </c>
      <c r="G409" s="147" t="str">
        <f>IF($C409="","",VLOOKUP($C409,'Tracking List'!$A$5:$AL$883,G$4,FALSE))</f>
        <v/>
      </c>
      <c r="H409" s="147" t="str">
        <f>IF($C409="","",VLOOKUP($C409,'Tracking List'!$A$5:$AL$883,H$4,FALSE))</f>
        <v/>
      </c>
      <c r="I409" s="147" t="str">
        <f>IF($C409="","",VLOOKUP($C409,'Tracking List'!$A$5:$AL$883,I$4,FALSE))</f>
        <v/>
      </c>
      <c r="J409" s="147" t="str">
        <f>IF($C409="","",VLOOKUP($C409,'Tracking List'!$A$5:$AL$883,J$4,FALSE))</f>
        <v/>
      </c>
      <c r="K409" s="147" t="str">
        <f>IF($C409="","",VLOOKUP($C409,'Tracking List'!$A$5:$AL$883,K$4,FALSE))</f>
        <v/>
      </c>
      <c r="L409" s="168" t="str">
        <f>IF($C409="","",VLOOKUP($C409,'Tracking List'!$A$5:$AL$883,L$4,FALSE))</f>
        <v/>
      </c>
      <c r="M409" s="147" t="str">
        <f>IF($C409="","",VLOOKUP($C409,'Tracking List'!$A$5:$AL$883,M$4,FALSE))</f>
        <v/>
      </c>
      <c r="N409" s="148" t="str">
        <f>IF($C409="","",IF(VLOOKUP($C409,'Tracking List'!$A$5:$AL$883,N$3,FALSE)&gt;0,"Y",VLOOKUP($C409,'Tracking List'!$A$5:$AL$883,N$4,FALSE)))</f>
        <v/>
      </c>
      <c r="O409" s="148" t="str">
        <f>IF($C409="","",IF(VLOOKUP($C409,'Tracking List'!$A$5:$AL$883,O$3,FALSE)&gt;0,"Y",VLOOKUP($C409,'Tracking List'!$A$5:$AL$883,O$4,FALSE)))</f>
        <v/>
      </c>
      <c r="P409" s="147" t="str">
        <f>IF($C409="","",IF(VLOOKUP($C409,'Tracking List'!$A$5:$AL$883,P$4,FALSE)&gt;0,"Y",""))</f>
        <v/>
      </c>
      <c r="Q409" s="149"/>
      <c r="R409" s="166" t="str">
        <f>IF($C409="","",VLOOKUP($C409,'Tracking List'!$A$5:$AL$883,R$4,FALSE))</f>
        <v/>
      </c>
    </row>
    <row r="410" spans="3:18">
      <c r="C410" s="146"/>
      <c r="D410" s="147" t="str">
        <f>IF($C410="","",VLOOKUP($C410,'Tracking List'!$A$5:$AL$883,D$4,FALSE))</f>
        <v/>
      </c>
      <c r="E410" s="147" t="str">
        <f>IF($C410="","",VLOOKUP($C410,'Tracking List'!$A$5:$AL$883,E$4,FALSE))</f>
        <v/>
      </c>
      <c r="F410" s="147" t="str">
        <f>IF($C410="","",VLOOKUP($C410,'Tracking List'!$A$5:$AL$883,F$4,FALSE))</f>
        <v/>
      </c>
      <c r="G410" s="147" t="str">
        <f>IF($C410="","",VLOOKUP($C410,'Tracking List'!$A$5:$AL$883,G$4,FALSE))</f>
        <v/>
      </c>
      <c r="H410" s="147" t="str">
        <f>IF($C410="","",VLOOKUP($C410,'Tracking List'!$A$5:$AL$883,H$4,FALSE))</f>
        <v/>
      </c>
      <c r="I410" s="147" t="str">
        <f>IF($C410="","",VLOOKUP($C410,'Tracking List'!$A$5:$AL$883,I$4,FALSE))</f>
        <v/>
      </c>
      <c r="J410" s="147" t="str">
        <f>IF($C410="","",VLOOKUP($C410,'Tracking List'!$A$5:$AL$883,J$4,FALSE))</f>
        <v/>
      </c>
      <c r="K410" s="147" t="str">
        <f>IF($C410="","",VLOOKUP($C410,'Tracking List'!$A$5:$AL$883,K$4,FALSE))</f>
        <v/>
      </c>
      <c r="L410" s="168" t="str">
        <f>IF($C410="","",VLOOKUP($C410,'Tracking List'!$A$5:$AL$883,L$4,FALSE))</f>
        <v/>
      </c>
      <c r="M410" s="147" t="str">
        <f>IF($C410="","",VLOOKUP($C410,'Tracking List'!$A$5:$AL$883,M$4,FALSE))</f>
        <v/>
      </c>
      <c r="N410" s="148" t="str">
        <f>IF($C410="","",IF(VLOOKUP($C410,'Tracking List'!$A$5:$AL$883,N$3,FALSE)&gt;0,"Y",VLOOKUP($C410,'Tracking List'!$A$5:$AL$883,N$4,FALSE)))</f>
        <v/>
      </c>
      <c r="O410" s="148" t="str">
        <f>IF($C410="","",IF(VLOOKUP($C410,'Tracking List'!$A$5:$AL$883,O$3,FALSE)&gt;0,"Y",VLOOKUP($C410,'Tracking List'!$A$5:$AL$883,O$4,FALSE)))</f>
        <v/>
      </c>
      <c r="P410" s="147" t="str">
        <f>IF($C410="","",IF(VLOOKUP($C410,'Tracking List'!$A$5:$AL$883,P$4,FALSE)&gt;0,"Y",""))</f>
        <v/>
      </c>
      <c r="Q410" s="149"/>
      <c r="R410" s="166" t="str">
        <f>IF($C410="","",VLOOKUP($C410,'Tracking List'!$A$5:$AL$883,R$4,FALSE))</f>
        <v/>
      </c>
    </row>
    <row r="411" spans="3:18">
      <c r="C411" s="146"/>
      <c r="D411" s="147" t="str">
        <f>IF($C411="","",VLOOKUP($C411,'Tracking List'!$A$5:$AL$883,D$4,FALSE))</f>
        <v/>
      </c>
      <c r="E411" s="147" t="str">
        <f>IF($C411="","",VLOOKUP($C411,'Tracking List'!$A$5:$AL$883,E$4,FALSE))</f>
        <v/>
      </c>
      <c r="F411" s="147" t="str">
        <f>IF($C411="","",VLOOKUP($C411,'Tracking List'!$A$5:$AL$883,F$4,FALSE))</f>
        <v/>
      </c>
      <c r="G411" s="147" t="str">
        <f>IF($C411="","",VLOOKUP($C411,'Tracking List'!$A$5:$AL$883,G$4,FALSE))</f>
        <v/>
      </c>
      <c r="H411" s="147" t="str">
        <f>IF($C411="","",VLOOKUP($C411,'Tracking List'!$A$5:$AL$883,H$4,FALSE))</f>
        <v/>
      </c>
      <c r="I411" s="147" t="str">
        <f>IF($C411="","",VLOOKUP($C411,'Tracking List'!$A$5:$AL$883,I$4,FALSE))</f>
        <v/>
      </c>
      <c r="J411" s="147" t="str">
        <f>IF($C411="","",VLOOKUP($C411,'Tracking List'!$A$5:$AL$883,J$4,FALSE))</f>
        <v/>
      </c>
      <c r="K411" s="147" t="str">
        <f>IF($C411="","",VLOOKUP($C411,'Tracking List'!$A$5:$AL$883,K$4,FALSE))</f>
        <v/>
      </c>
      <c r="L411" s="168" t="str">
        <f>IF($C411="","",VLOOKUP($C411,'Tracking List'!$A$5:$AL$883,L$4,FALSE))</f>
        <v/>
      </c>
      <c r="M411" s="147" t="str">
        <f>IF($C411="","",VLOOKUP($C411,'Tracking List'!$A$5:$AL$883,M$4,FALSE))</f>
        <v/>
      </c>
      <c r="N411" s="148" t="str">
        <f>IF($C411="","",IF(VLOOKUP($C411,'Tracking List'!$A$5:$AL$883,N$3,FALSE)&gt;0,"Y",VLOOKUP($C411,'Tracking List'!$A$5:$AL$883,N$4,FALSE)))</f>
        <v/>
      </c>
      <c r="O411" s="148" t="str">
        <f>IF($C411="","",IF(VLOOKUP($C411,'Tracking List'!$A$5:$AL$883,O$3,FALSE)&gt;0,"Y",VLOOKUP($C411,'Tracking List'!$A$5:$AL$883,O$4,FALSE)))</f>
        <v/>
      </c>
      <c r="P411" s="147" t="str">
        <f>IF($C411="","",IF(VLOOKUP($C411,'Tracking List'!$A$5:$AL$883,P$4,FALSE)&gt;0,"Y",""))</f>
        <v/>
      </c>
      <c r="Q411" s="149"/>
      <c r="R411" s="166" t="str">
        <f>IF($C411="","",VLOOKUP($C411,'Tracking List'!$A$5:$AL$883,R$4,FALSE))</f>
        <v/>
      </c>
    </row>
    <row r="412" spans="3:18">
      <c r="C412" s="146"/>
      <c r="D412" s="147" t="str">
        <f>IF($C412="","",VLOOKUP($C412,'Tracking List'!$A$5:$AL$883,D$4,FALSE))</f>
        <v/>
      </c>
      <c r="E412" s="147" t="str">
        <f>IF($C412="","",VLOOKUP($C412,'Tracking List'!$A$5:$AL$883,E$4,FALSE))</f>
        <v/>
      </c>
      <c r="F412" s="147" t="str">
        <f>IF($C412="","",VLOOKUP($C412,'Tracking List'!$A$5:$AL$883,F$4,FALSE))</f>
        <v/>
      </c>
      <c r="G412" s="147" t="str">
        <f>IF($C412="","",VLOOKUP($C412,'Tracking List'!$A$5:$AL$883,G$4,FALSE))</f>
        <v/>
      </c>
      <c r="H412" s="147" t="str">
        <f>IF($C412="","",VLOOKUP($C412,'Tracking List'!$A$5:$AL$883,H$4,FALSE))</f>
        <v/>
      </c>
      <c r="I412" s="147" t="str">
        <f>IF($C412="","",VLOOKUP($C412,'Tracking List'!$A$5:$AL$883,I$4,FALSE))</f>
        <v/>
      </c>
      <c r="J412" s="147" t="str">
        <f>IF($C412="","",VLOOKUP($C412,'Tracking List'!$A$5:$AL$883,J$4,FALSE))</f>
        <v/>
      </c>
      <c r="K412" s="147" t="str">
        <f>IF($C412="","",VLOOKUP($C412,'Tracking List'!$A$5:$AL$883,K$4,FALSE))</f>
        <v/>
      </c>
      <c r="L412" s="168" t="str">
        <f>IF($C412="","",VLOOKUP($C412,'Tracking List'!$A$5:$AL$883,L$4,FALSE))</f>
        <v/>
      </c>
      <c r="M412" s="147" t="str">
        <f>IF($C412="","",VLOOKUP($C412,'Tracking List'!$A$5:$AL$883,M$4,FALSE))</f>
        <v/>
      </c>
      <c r="N412" s="148" t="str">
        <f>IF($C412="","",IF(VLOOKUP($C412,'Tracking List'!$A$5:$AL$883,N$3,FALSE)&gt;0,"Y",VLOOKUP($C412,'Tracking List'!$A$5:$AL$883,N$4,FALSE)))</f>
        <v/>
      </c>
      <c r="O412" s="148" t="str">
        <f>IF($C412="","",IF(VLOOKUP($C412,'Tracking List'!$A$5:$AL$883,O$3,FALSE)&gt;0,"Y",VLOOKUP($C412,'Tracking List'!$A$5:$AL$883,O$4,FALSE)))</f>
        <v/>
      </c>
      <c r="P412" s="147" t="str">
        <f>IF($C412="","",IF(VLOOKUP($C412,'Tracking List'!$A$5:$AL$883,P$4,FALSE)&gt;0,"Y",""))</f>
        <v/>
      </c>
      <c r="Q412" s="149"/>
      <c r="R412" s="166" t="str">
        <f>IF($C412="","",VLOOKUP($C412,'Tracking List'!$A$5:$AL$883,R$4,FALSE))</f>
        <v/>
      </c>
    </row>
    <row r="413" spans="3:18">
      <c r="C413" s="146"/>
      <c r="D413" s="147" t="str">
        <f>IF($C413="","",VLOOKUP($C413,'Tracking List'!$A$5:$AL$883,D$4,FALSE))</f>
        <v/>
      </c>
      <c r="E413" s="147" t="str">
        <f>IF($C413="","",VLOOKUP($C413,'Tracking List'!$A$5:$AL$883,E$4,FALSE))</f>
        <v/>
      </c>
      <c r="F413" s="147" t="str">
        <f>IF($C413="","",VLOOKUP($C413,'Tracking List'!$A$5:$AL$883,F$4,FALSE))</f>
        <v/>
      </c>
      <c r="G413" s="147" t="str">
        <f>IF($C413="","",VLOOKUP($C413,'Tracking List'!$A$5:$AL$883,G$4,FALSE))</f>
        <v/>
      </c>
      <c r="H413" s="147" t="str">
        <f>IF($C413="","",VLOOKUP($C413,'Tracking List'!$A$5:$AL$883,H$4,FALSE))</f>
        <v/>
      </c>
      <c r="I413" s="147" t="str">
        <f>IF($C413="","",VLOOKUP($C413,'Tracking List'!$A$5:$AL$883,I$4,FALSE))</f>
        <v/>
      </c>
      <c r="J413" s="147" t="str">
        <f>IF($C413="","",VLOOKUP($C413,'Tracking List'!$A$5:$AL$883,J$4,FALSE))</f>
        <v/>
      </c>
      <c r="K413" s="147" t="str">
        <f>IF($C413="","",VLOOKUP($C413,'Tracking List'!$A$5:$AL$883,K$4,FALSE))</f>
        <v/>
      </c>
      <c r="L413" s="168" t="str">
        <f>IF($C413="","",VLOOKUP($C413,'Tracking List'!$A$5:$AL$883,L$4,FALSE))</f>
        <v/>
      </c>
      <c r="M413" s="147" t="str">
        <f>IF($C413="","",VLOOKUP($C413,'Tracking List'!$A$5:$AL$883,M$4,FALSE))</f>
        <v/>
      </c>
      <c r="N413" s="148" t="str">
        <f>IF($C413="","",IF(VLOOKUP($C413,'Tracking List'!$A$5:$AL$883,N$3,FALSE)&gt;0,"Y",VLOOKUP($C413,'Tracking List'!$A$5:$AL$883,N$4,FALSE)))</f>
        <v/>
      </c>
      <c r="O413" s="148" t="str">
        <f>IF($C413="","",IF(VLOOKUP($C413,'Tracking List'!$A$5:$AL$883,O$3,FALSE)&gt;0,"Y",VLOOKUP($C413,'Tracking List'!$A$5:$AL$883,O$4,FALSE)))</f>
        <v/>
      </c>
      <c r="P413" s="147" t="str">
        <f>IF($C413="","",IF(VLOOKUP($C413,'Tracking List'!$A$5:$AL$883,P$4,FALSE)&gt;0,"Y",""))</f>
        <v/>
      </c>
      <c r="Q413" s="149"/>
      <c r="R413" s="166" t="str">
        <f>IF($C413="","",VLOOKUP($C413,'Tracking List'!$A$5:$AL$883,R$4,FALSE))</f>
        <v/>
      </c>
    </row>
    <row r="414" spans="3:18">
      <c r="C414" s="146"/>
      <c r="D414" s="147" t="str">
        <f>IF($C414="","",VLOOKUP($C414,'Tracking List'!$A$5:$AL$883,D$4,FALSE))</f>
        <v/>
      </c>
      <c r="E414" s="147" t="str">
        <f>IF($C414="","",VLOOKUP($C414,'Tracking List'!$A$5:$AL$883,E$4,FALSE))</f>
        <v/>
      </c>
      <c r="F414" s="147" t="str">
        <f>IF($C414="","",VLOOKUP($C414,'Tracking List'!$A$5:$AL$883,F$4,FALSE))</f>
        <v/>
      </c>
      <c r="G414" s="147" t="str">
        <f>IF($C414="","",VLOOKUP($C414,'Tracking List'!$A$5:$AL$883,G$4,FALSE))</f>
        <v/>
      </c>
      <c r="H414" s="147" t="str">
        <f>IF($C414="","",VLOOKUP($C414,'Tracking List'!$A$5:$AL$883,H$4,FALSE))</f>
        <v/>
      </c>
      <c r="I414" s="147" t="str">
        <f>IF($C414="","",VLOOKUP($C414,'Tracking List'!$A$5:$AL$883,I$4,FALSE))</f>
        <v/>
      </c>
      <c r="J414" s="147" t="str">
        <f>IF($C414="","",VLOOKUP($C414,'Tracking List'!$A$5:$AL$883,J$4,FALSE))</f>
        <v/>
      </c>
      <c r="K414" s="147" t="str">
        <f>IF($C414="","",VLOOKUP($C414,'Tracking List'!$A$5:$AL$883,K$4,FALSE))</f>
        <v/>
      </c>
      <c r="L414" s="168" t="str">
        <f>IF($C414="","",VLOOKUP($C414,'Tracking List'!$A$5:$AL$883,L$4,FALSE))</f>
        <v/>
      </c>
      <c r="M414" s="147" t="str">
        <f>IF($C414="","",VLOOKUP($C414,'Tracking List'!$A$5:$AL$883,M$4,FALSE))</f>
        <v/>
      </c>
      <c r="N414" s="148" t="str">
        <f>IF($C414="","",IF(VLOOKUP($C414,'Tracking List'!$A$5:$AL$883,N$3,FALSE)&gt;0,"Y",VLOOKUP($C414,'Tracking List'!$A$5:$AL$883,N$4,FALSE)))</f>
        <v/>
      </c>
      <c r="O414" s="148" t="str">
        <f>IF($C414="","",IF(VLOOKUP($C414,'Tracking List'!$A$5:$AL$883,O$3,FALSE)&gt;0,"Y",VLOOKUP($C414,'Tracking List'!$A$5:$AL$883,O$4,FALSE)))</f>
        <v/>
      </c>
      <c r="P414" s="147" t="str">
        <f>IF($C414="","",IF(VLOOKUP($C414,'Tracking List'!$A$5:$AL$883,P$4,FALSE)&gt;0,"Y",""))</f>
        <v/>
      </c>
      <c r="Q414" s="149"/>
      <c r="R414" s="166" t="str">
        <f>IF($C414="","",VLOOKUP($C414,'Tracking List'!$A$5:$AL$883,R$4,FALSE))</f>
        <v/>
      </c>
    </row>
    <row r="415" spans="3:18">
      <c r="C415" s="146"/>
      <c r="D415" s="147" t="str">
        <f>IF($C415="","",VLOOKUP($C415,'Tracking List'!$A$5:$AL$883,D$4,FALSE))</f>
        <v/>
      </c>
      <c r="E415" s="147" t="str">
        <f>IF($C415="","",VLOOKUP($C415,'Tracking List'!$A$5:$AL$883,E$4,FALSE))</f>
        <v/>
      </c>
      <c r="F415" s="147" t="str">
        <f>IF($C415="","",VLOOKUP($C415,'Tracking List'!$A$5:$AL$883,F$4,FALSE))</f>
        <v/>
      </c>
      <c r="G415" s="147" t="str">
        <f>IF($C415="","",VLOOKUP($C415,'Tracking List'!$A$5:$AL$883,G$4,FALSE))</f>
        <v/>
      </c>
      <c r="H415" s="147" t="str">
        <f>IF($C415="","",VLOOKUP($C415,'Tracking List'!$A$5:$AL$883,H$4,FALSE))</f>
        <v/>
      </c>
      <c r="I415" s="147" t="str">
        <f>IF($C415="","",VLOOKUP($C415,'Tracking List'!$A$5:$AL$883,I$4,FALSE))</f>
        <v/>
      </c>
      <c r="J415" s="147" t="str">
        <f>IF($C415="","",VLOOKUP($C415,'Tracking List'!$A$5:$AL$883,J$4,FALSE))</f>
        <v/>
      </c>
      <c r="K415" s="147" t="str">
        <f>IF($C415="","",VLOOKUP($C415,'Tracking List'!$A$5:$AL$883,K$4,FALSE))</f>
        <v/>
      </c>
      <c r="L415" s="168" t="str">
        <f>IF($C415="","",VLOOKUP($C415,'Tracking List'!$A$5:$AL$883,L$4,FALSE))</f>
        <v/>
      </c>
      <c r="M415" s="147" t="str">
        <f>IF($C415="","",VLOOKUP($C415,'Tracking List'!$A$5:$AL$883,M$4,FALSE))</f>
        <v/>
      </c>
      <c r="N415" s="148" t="str">
        <f>IF($C415="","",IF(VLOOKUP($C415,'Tracking List'!$A$5:$AL$883,N$3,FALSE)&gt;0,"Y",VLOOKUP($C415,'Tracking List'!$A$5:$AL$883,N$4,FALSE)))</f>
        <v/>
      </c>
      <c r="O415" s="148" t="str">
        <f>IF($C415="","",IF(VLOOKUP($C415,'Tracking List'!$A$5:$AL$883,O$3,FALSE)&gt;0,"Y",VLOOKUP($C415,'Tracking List'!$A$5:$AL$883,O$4,FALSE)))</f>
        <v/>
      </c>
      <c r="P415" s="147" t="str">
        <f>IF($C415="","",IF(VLOOKUP($C415,'Tracking List'!$A$5:$AL$883,P$4,FALSE)&gt;0,"Y",""))</f>
        <v/>
      </c>
      <c r="Q415" s="149"/>
      <c r="R415" s="166" t="str">
        <f>IF($C415="","",VLOOKUP($C415,'Tracking List'!$A$5:$AL$883,R$4,FALSE))</f>
        <v/>
      </c>
    </row>
    <row r="416" spans="3:18">
      <c r="C416" s="146"/>
      <c r="D416" s="147" t="str">
        <f>IF($C416="","",VLOOKUP($C416,'Tracking List'!$A$5:$AL$883,D$4,FALSE))</f>
        <v/>
      </c>
      <c r="E416" s="147" t="str">
        <f>IF($C416="","",VLOOKUP($C416,'Tracking List'!$A$5:$AL$883,E$4,FALSE))</f>
        <v/>
      </c>
      <c r="F416" s="147" t="str">
        <f>IF($C416="","",VLOOKUP($C416,'Tracking List'!$A$5:$AL$883,F$4,FALSE))</f>
        <v/>
      </c>
      <c r="G416" s="147" t="str">
        <f>IF($C416="","",VLOOKUP($C416,'Tracking List'!$A$5:$AL$883,G$4,FALSE))</f>
        <v/>
      </c>
      <c r="H416" s="147" t="str">
        <f>IF($C416="","",VLOOKUP($C416,'Tracking List'!$A$5:$AL$883,H$4,FALSE))</f>
        <v/>
      </c>
      <c r="I416" s="147" t="str">
        <f>IF($C416="","",VLOOKUP($C416,'Tracking List'!$A$5:$AL$883,I$4,FALSE))</f>
        <v/>
      </c>
      <c r="J416" s="147" t="str">
        <f>IF($C416="","",VLOOKUP($C416,'Tracking List'!$A$5:$AL$883,J$4,FALSE))</f>
        <v/>
      </c>
      <c r="K416" s="147" t="str">
        <f>IF($C416="","",VLOOKUP($C416,'Tracking List'!$A$5:$AL$883,K$4,FALSE))</f>
        <v/>
      </c>
      <c r="L416" s="168" t="str">
        <f>IF($C416="","",VLOOKUP($C416,'Tracking List'!$A$5:$AL$883,L$4,FALSE))</f>
        <v/>
      </c>
      <c r="M416" s="147" t="str">
        <f>IF($C416="","",VLOOKUP($C416,'Tracking List'!$A$5:$AL$883,M$4,FALSE))</f>
        <v/>
      </c>
      <c r="N416" s="148" t="str">
        <f>IF($C416="","",IF(VLOOKUP($C416,'Tracking List'!$A$5:$AL$883,N$3,FALSE)&gt;0,"Y",VLOOKUP($C416,'Tracking List'!$A$5:$AL$883,N$4,FALSE)))</f>
        <v/>
      </c>
      <c r="O416" s="148" t="str">
        <f>IF($C416="","",IF(VLOOKUP($C416,'Tracking List'!$A$5:$AL$883,O$3,FALSE)&gt;0,"Y",VLOOKUP($C416,'Tracking List'!$A$5:$AL$883,O$4,FALSE)))</f>
        <v/>
      </c>
      <c r="P416" s="147" t="str">
        <f>IF($C416="","",IF(VLOOKUP($C416,'Tracking List'!$A$5:$AL$883,P$4,FALSE)&gt;0,"Y",""))</f>
        <v/>
      </c>
      <c r="Q416" s="149"/>
      <c r="R416" s="166" t="str">
        <f>IF($C416="","",VLOOKUP($C416,'Tracking List'!$A$5:$AL$883,R$4,FALSE))</f>
        <v/>
      </c>
    </row>
    <row r="417" spans="3:18">
      <c r="C417" s="146"/>
      <c r="D417" s="147" t="str">
        <f>IF($C417="","",VLOOKUP($C417,'Tracking List'!$A$5:$AL$883,D$4,FALSE))</f>
        <v/>
      </c>
      <c r="E417" s="147" t="str">
        <f>IF($C417="","",VLOOKUP($C417,'Tracking List'!$A$5:$AL$883,E$4,FALSE))</f>
        <v/>
      </c>
      <c r="F417" s="147" t="str">
        <f>IF($C417="","",VLOOKUP($C417,'Tracking List'!$A$5:$AL$883,F$4,FALSE))</f>
        <v/>
      </c>
      <c r="G417" s="147" t="str">
        <f>IF($C417="","",VLOOKUP($C417,'Tracking List'!$A$5:$AL$883,G$4,FALSE))</f>
        <v/>
      </c>
      <c r="H417" s="147" t="str">
        <f>IF($C417="","",VLOOKUP($C417,'Tracking List'!$A$5:$AL$883,H$4,FALSE))</f>
        <v/>
      </c>
      <c r="I417" s="147" t="str">
        <f>IF($C417="","",VLOOKUP($C417,'Tracking List'!$A$5:$AL$883,I$4,FALSE))</f>
        <v/>
      </c>
      <c r="J417" s="147" t="str">
        <f>IF($C417="","",VLOOKUP($C417,'Tracking List'!$A$5:$AL$883,J$4,FALSE))</f>
        <v/>
      </c>
      <c r="K417" s="147" t="str">
        <f>IF($C417="","",VLOOKUP($C417,'Tracking List'!$A$5:$AL$883,K$4,FALSE))</f>
        <v/>
      </c>
      <c r="L417" s="168" t="str">
        <f>IF($C417="","",VLOOKUP($C417,'Tracking List'!$A$5:$AL$883,L$4,FALSE))</f>
        <v/>
      </c>
      <c r="M417" s="147" t="str">
        <f>IF($C417="","",VLOOKUP($C417,'Tracking List'!$A$5:$AL$883,M$4,FALSE))</f>
        <v/>
      </c>
      <c r="N417" s="148" t="str">
        <f>IF($C417="","",IF(VLOOKUP($C417,'Tracking List'!$A$5:$AL$883,N$3,FALSE)&gt;0,"Y",VLOOKUP($C417,'Tracking List'!$A$5:$AL$883,N$4,FALSE)))</f>
        <v/>
      </c>
      <c r="O417" s="148" t="str">
        <f>IF($C417="","",IF(VLOOKUP($C417,'Tracking List'!$A$5:$AL$883,O$3,FALSE)&gt;0,"Y",VLOOKUP($C417,'Tracking List'!$A$5:$AL$883,O$4,FALSE)))</f>
        <v/>
      </c>
      <c r="P417" s="147" t="str">
        <f>IF($C417="","",IF(VLOOKUP($C417,'Tracking List'!$A$5:$AL$883,P$4,FALSE)&gt;0,"Y",""))</f>
        <v/>
      </c>
      <c r="Q417" s="149"/>
      <c r="R417" s="166" t="str">
        <f>IF($C417="","",VLOOKUP($C417,'Tracking List'!$A$5:$AL$883,R$4,FALSE))</f>
        <v/>
      </c>
    </row>
    <row r="418" spans="3:18">
      <c r="C418" s="146"/>
      <c r="D418" s="147" t="str">
        <f>IF($C418="","",VLOOKUP($C418,'Tracking List'!$A$5:$AL$883,D$4,FALSE))</f>
        <v/>
      </c>
      <c r="E418" s="147" t="str">
        <f>IF($C418="","",VLOOKUP($C418,'Tracking List'!$A$5:$AL$883,E$4,FALSE))</f>
        <v/>
      </c>
      <c r="F418" s="147" t="str">
        <f>IF($C418="","",VLOOKUP($C418,'Tracking List'!$A$5:$AL$883,F$4,FALSE))</f>
        <v/>
      </c>
      <c r="G418" s="147" t="str">
        <f>IF($C418="","",VLOOKUP($C418,'Tracking List'!$A$5:$AL$883,G$4,FALSE))</f>
        <v/>
      </c>
      <c r="H418" s="147" t="str">
        <f>IF($C418="","",VLOOKUP($C418,'Tracking List'!$A$5:$AL$883,H$4,FALSE))</f>
        <v/>
      </c>
      <c r="I418" s="147" t="str">
        <f>IF($C418="","",VLOOKUP($C418,'Tracking List'!$A$5:$AL$883,I$4,FALSE))</f>
        <v/>
      </c>
      <c r="J418" s="147" t="str">
        <f>IF($C418="","",VLOOKUP($C418,'Tracking List'!$A$5:$AL$883,J$4,FALSE))</f>
        <v/>
      </c>
      <c r="K418" s="147" t="str">
        <f>IF($C418="","",VLOOKUP($C418,'Tracking List'!$A$5:$AL$883,K$4,FALSE))</f>
        <v/>
      </c>
      <c r="L418" s="168" t="str">
        <f>IF($C418="","",VLOOKUP($C418,'Tracking List'!$A$5:$AL$883,L$4,FALSE))</f>
        <v/>
      </c>
      <c r="M418" s="147" t="str">
        <f>IF($C418="","",VLOOKUP($C418,'Tracking List'!$A$5:$AL$883,M$4,FALSE))</f>
        <v/>
      </c>
      <c r="N418" s="148" t="str">
        <f>IF($C418="","",IF(VLOOKUP($C418,'Tracking List'!$A$5:$AL$883,N$3,FALSE)&gt;0,"Y",VLOOKUP($C418,'Tracking List'!$A$5:$AL$883,N$4,FALSE)))</f>
        <v/>
      </c>
      <c r="O418" s="148" t="str">
        <f>IF($C418="","",IF(VLOOKUP($C418,'Tracking List'!$A$5:$AL$883,O$3,FALSE)&gt;0,"Y",VLOOKUP($C418,'Tracking List'!$A$5:$AL$883,O$4,FALSE)))</f>
        <v/>
      </c>
      <c r="P418" s="147" t="str">
        <f>IF($C418="","",IF(VLOOKUP($C418,'Tracking List'!$A$5:$AL$883,P$4,FALSE)&gt;0,"Y",""))</f>
        <v/>
      </c>
      <c r="Q418" s="149"/>
      <c r="R418" s="166" t="str">
        <f>IF($C418="","",VLOOKUP($C418,'Tracking List'!$A$5:$AL$883,R$4,FALSE))</f>
        <v/>
      </c>
    </row>
    <row r="419" spans="3:18">
      <c r="C419" s="146"/>
      <c r="D419" s="147" t="str">
        <f>IF($C419="","",VLOOKUP($C419,'Tracking List'!$A$5:$AL$883,D$4,FALSE))</f>
        <v/>
      </c>
      <c r="E419" s="147" t="str">
        <f>IF($C419="","",VLOOKUP($C419,'Tracking List'!$A$5:$AL$883,E$4,FALSE))</f>
        <v/>
      </c>
      <c r="F419" s="147" t="str">
        <f>IF($C419="","",VLOOKUP($C419,'Tracking List'!$A$5:$AL$883,F$4,FALSE))</f>
        <v/>
      </c>
      <c r="G419" s="147" t="str">
        <f>IF($C419="","",VLOOKUP($C419,'Tracking List'!$A$5:$AL$883,G$4,FALSE))</f>
        <v/>
      </c>
      <c r="H419" s="147" t="str">
        <f>IF($C419="","",VLOOKUP($C419,'Tracking List'!$A$5:$AL$883,H$4,FALSE))</f>
        <v/>
      </c>
      <c r="I419" s="147" t="str">
        <f>IF($C419="","",VLOOKUP($C419,'Tracking List'!$A$5:$AL$883,I$4,FALSE))</f>
        <v/>
      </c>
      <c r="J419" s="147" t="str">
        <f>IF($C419="","",VLOOKUP($C419,'Tracking List'!$A$5:$AL$883,J$4,FALSE))</f>
        <v/>
      </c>
      <c r="K419" s="147" t="str">
        <f>IF($C419="","",VLOOKUP($C419,'Tracking List'!$A$5:$AL$883,K$4,FALSE))</f>
        <v/>
      </c>
      <c r="L419" s="168" t="str">
        <f>IF($C419="","",VLOOKUP($C419,'Tracking List'!$A$5:$AL$883,L$4,FALSE))</f>
        <v/>
      </c>
      <c r="M419" s="147" t="str">
        <f>IF($C419="","",VLOOKUP($C419,'Tracking List'!$A$5:$AL$883,M$4,FALSE))</f>
        <v/>
      </c>
      <c r="N419" s="148" t="str">
        <f>IF($C419="","",IF(VLOOKUP($C419,'Tracking List'!$A$5:$AL$883,N$3,FALSE)&gt;0,"Y",VLOOKUP($C419,'Tracking List'!$A$5:$AL$883,N$4,FALSE)))</f>
        <v/>
      </c>
      <c r="O419" s="148" t="str">
        <f>IF($C419="","",IF(VLOOKUP($C419,'Tracking List'!$A$5:$AL$883,O$3,FALSE)&gt;0,"Y",VLOOKUP($C419,'Tracking List'!$A$5:$AL$883,O$4,FALSE)))</f>
        <v/>
      </c>
      <c r="P419" s="147" t="str">
        <f>IF($C419="","",IF(VLOOKUP($C419,'Tracking List'!$A$5:$AL$883,P$4,FALSE)&gt;0,"Y",""))</f>
        <v/>
      </c>
      <c r="Q419" s="149"/>
      <c r="R419" s="166" t="str">
        <f>IF($C419="","",VLOOKUP($C419,'Tracking List'!$A$5:$AL$883,R$4,FALSE))</f>
        <v/>
      </c>
    </row>
    <row r="420" spans="3:18">
      <c r="C420" s="146"/>
      <c r="D420" s="147" t="str">
        <f>IF($C420="","",VLOOKUP($C420,'Tracking List'!$A$5:$AL$883,D$4,FALSE))</f>
        <v/>
      </c>
      <c r="E420" s="147" t="str">
        <f>IF($C420="","",VLOOKUP($C420,'Tracking List'!$A$5:$AL$883,E$4,FALSE))</f>
        <v/>
      </c>
      <c r="F420" s="147" t="str">
        <f>IF($C420="","",VLOOKUP($C420,'Tracking List'!$A$5:$AL$883,F$4,FALSE))</f>
        <v/>
      </c>
      <c r="G420" s="147" t="str">
        <f>IF($C420="","",VLOOKUP($C420,'Tracking List'!$A$5:$AL$883,G$4,FALSE))</f>
        <v/>
      </c>
      <c r="H420" s="147" t="str">
        <f>IF($C420="","",VLOOKUP($C420,'Tracking List'!$A$5:$AL$883,H$4,FALSE))</f>
        <v/>
      </c>
      <c r="I420" s="147" t="str">
        <f>IF($C420="","",VLOOKUP($C420,'Tracking List'!$A$5:$AL$883,I$4,FALSE))</f>
        <v/>
      </c>
      <c r="J420" s="147" t="str">
        <f>IF($C420="","",VLOOKUP($C420,'Tracking List'!$A$5:$AL$883,J$4,FALSE))</f>
        <v/>
      </c>
      <c r="K420" s="147" t="str">
        <f>IF($C420="","",VLOOKUP($C420,'Tracking List'!$A$5:$AL$883,K$4,FALSE))</f>
        <v/>
      </c>
      <c r="L420" s="168" t="str">
        <f>IF($C420="","",VLOOKUP($C420,'Tracking List'!$A$5:$AL$883,L$4,FALSE))</f>
        <v/>
      </c>
      <c r="M420" s="147" t="str">
        <f>IF($C420="","",VLOOKUP($C420,'Tracking List'!$A$5:$AL$883,M$4,FALSE))</f>
        <v/>
      </c>
      <c r="N420" s="148" t="str">
        <f>IF($C420="","",IF(VLOOKUP($C420,'Tracking List'!$A$5:$AL$883,N$3,FALSE)&gt;0,"Y",VLOOKUP($C420,'Tracking List'!$A$5:$AL$883,N$4,FALSE)))</f>
        <v/>
      </c>
      <c r="O420" s="148" t="str">
        <f>IF($C420="","",IF(VLOOKUP($C420,'Tracking List'!$A$5:$AL$883,O$3,FALSE)&gt;0,"Y",VLOOKUP($C420,'Tracking List'!$A$5:$AL$883,O$4,FALSE)))</f>
        <v/>
      </c>
      <c r="P420" s="147" t="str">
        <f>IF($C420="","",IF(VLOOKUP($C420,'Tracking List'!$A$5:$AL$883,P$4,FALSE)&gt;0,"Y",""))</f>
        <v/>
      </c>
      <c r="Q420" s="149"/>
      <c r="R420" s="166" t="str">
        <f>IF($C420="","",VLOOKUP($C420,'Tracking List'!$A$5:$AL$883,R$4,FALSE))</f>
        <v/>
      </c>
    </row>
    <row r="421" spans="3:18">
      <c r="C421" s="146"/>
      <c r="D421" s="147" t="str">
        <f>IF($C421="","",VLOOKUP($C421,'Tracking List'!$A$5:$AL$883,D$4,FALSE))</f>
        <v/>
      </c>
      <c r="E421" s="147" t="str">
        <f>IF($C421="","",VLOOKUP($C421,'Tracking List'!$A$5:$AL$883,E$4,FALSE))</f>
        <v/>
      </c>
      <c r="F421" s="147" t="str">
        <f>IF($C421="","",VLOOKUP($C421,'Tracking List'!$A$5:$AL$883,F$4,FALSE))</f>
        <v/>
      </c>
      <c r="G421" s="147" t="str">
        <f>IF($C421="","",VLOOKUP($C421,'Tracking List'!$A$5:$AL$883,G$4,FALSE))</f>
        <v/>
      </c>
      <c r="H421" s="147" t="str">
        <f>IF($C421="","",VLOOKUP($C421,'Tracking List'!$A$5:$AL$883,H$4,FALSE))</f>
        <v/>
      </c>
      <c r="I421" s="147" t="str">
        <f>IF($C421="","",VLOOKUP($C421,'Tracking List'!$A$5:$AL$883,I$4,FALSE))</f>
        <v/>
      </c>
      <c r="J421" s="147" t="str">
        <f>IF($C421="","",VLOOKUP($C421,'Tracking List'!$A$5:$AL$883,J$4,FALSE))</f>
        <v/>
      </c>
      <c r="K421" s="147" t="str">
        <f>IF($C421="","",VLOOKUP($C421,'Tracking List'!$A$5:$AL$883,K$4,FALSE))</f>
        <v/>
      </c>
      <c r="L421" s="168" t="str">
        <f>IF($C421="","",VLOOKUP($C421,'Tracking List'!$A$5:$AL$883,L$4,FALSE))</f>
        <v/>
      </c>
      <c r="M421" s="147" t="str">
        <f>IF($C421="","",VLOOKUP($C421,'Tracking List'!$A$5:$AL$883,M$4,FALSE))</f>
        <v/>
      </c>
      <c r="N421" s="148" t="str">
        <f>IF($C421="","",IF(VLOOKUP($C421,'Tracking List'!$A$5:$AL$883,N$3,FALSE)&gt;0,"Y",VLOOKUP($C421,'Tracking List'!$A$5:$AL$883,N$4,FALSE)))</f>
        <v/>
      </c>
      <c r="O421" s="148" t="str">
        <f>IF($C421="","",IF(VLOOKUP($C421,'Tracking List'!$A$5:$AL$883,O$3,FALSE)&gt;0,"Y",VLOOKUP($C421,'Tracking List'!$A$5:$AL$883,O$4,FALSE)))</f>
        <v/>
      </c>
      <c r="P421" s="147" t="str">
        <f>IF($C421="","",IF(VLOOKUP($C421,'Tracking List'!$A$5:$AL$883,P$4,FALSE)&gt;0,"Y",""))</f>
        <v/>
      </c>
      <c r="Q421" s="149"/>
      <c r="R421" s="166" t="str">
        <f>IF($C421="","",VLOOKUP($C421,'Tracking List'!$A$5:$AL$883,R$4,FALSE))</f>
        <v/>
      </c>
    </row>
    <row r="422" spans="3:18">
      <c r="C422" s="146"/>
      <c r="D422" s="147" t="str">
        <f>IF($C422="","",VLOOKUP($C422,'Tracking List'!$A$5:$AL$883,D$4,FALSE))</f>
        <v/>
      </c>
      <c r="E422" s="147" t="str">
        <f>IF($C422="","",VLOOKUP($C422,'Tracking List'!$A$5:$AL$883,E$4,FALSE))</f>
        <v/>
      </c>
      <c r="F422" s="147" t="str">
        <f>IF($C422="","",VLOOKUP($C422,'Tracking List'!$A$5:$AL$883,F$4,FALSE))</f>
        <v/>
      </c>
      <c r="G422" s="147" t="str">
        <f>IF($C422="","",VLOOKUP($C422,'Tracking List'!$A$5:$AL$883,G$4,FALSE))</f>
        <v/>
      </c>
      <c r="H422" s="147" t="str">
        <f>IF($C422="","",VLOOKUP($C422,'Tracking List'!$A$5:$AL$883,H$4,FALSE))</f>
        <v/>
      </c>
      <c r="I422" s="147" t="str">
        <f>IF($C422="","",VLOOKUP($C422,'Tracking List'!$A$5:$AL$883,I$4,FALSE))</f>
        <v/>
      </c>
      <c r="J422" s="147" t="str">
        <f>IF($C422="","",VLOOKUP($C422,'Tracking List'!$A$5:$AL$883,J$4,FALSE))</f>
        <v/>
      </c>
      <c r="K422" s="147" t="str">
        <f>IF($C422="","",VLOOKUP($C422,'Tracking List'!$A$5:$AL$883,K$4,FALSE))</f>
        <v/>
      </c>
      <c r="L422" s="168" t="str">
        <f>IF($C422="","",VLOOKUP($C422,'Tracking List'!$A$5:$AL$883,L$4,FALSE))</f>
        <v/>
      </c>
      <c r="M422" s="147" t="str">
        <f>IF($C422="","",VLOOKUP($C422,'Tracking List'!$A$5:$AL$883,M$4,FALSE))</f>
        <v/>
      </c>
      <c r="N422" s="148" t="str">
        <f>IF($C422="","",IF(VLOOKUP($C422,'Tracking List'!$A$5:$AL$883,N$3,FALSE)&gt;0,"Y",VLOOKUP($C422,'Tracking List'!$A$5:$AL$883,N$4,FALSE)))</f>
        <v/>
      </c>
      <c r="O422" s="148" t="str">
        <f>IF($C422="","",IF(VLOOKUP($C422,'Tracking List'!$A$5:$AL$883,O$3,FALSE)&gt;0,"Y",VLOOKUP($C422,'Tracking List'!$A$5:$AL$883,O$4,FALSE)))</f>
        <v/>
      </c>
      <c r="P422" s="147" t="str">
        <f>IF($C422="","",IF(VLOOKUP($C422,'Tracking List'!$A$5:$AL$883,P$4,FALSE)&gt;0,"Y",""))</f>
        <v/>
      </c>
      <c r="Q422" s="149"/>
      <c r="R422" s="166" t="str">
        <f>IF($C422="","",VLOOKUP($C422,'Tracking List'!$A$5:$AL$883,R$4,FALSE))</f>
        <v/>
      </c>
    </row>
    <row r="423" spans="3:18">
      <c r="C423" s="146"/>
      <c r="D423" s="147" t="str">
        <f>IF($C423="","",VLOOKUP($C423,'Tracking List'!$A$5:$AL$883,D$4,FALSE))</f>
        <v/>
      </c>
      <c r="E423" s="147" t="str">
        <f>IF($C423="","",VLOOKUP($C423,'Tracking List'!$A$5:$AL$883,E$4,FALSE))</f>
        <v/>
      </c>
      <c r="F423" s="147" t="str">
        <f>IF($C423="","",VLOOKUP($C423,'Tracking List'!$A$5:$AL$883,F$4,FALSE))</f>
        <v/>
      </c>
      <c r="G423" s="147" t="str">
        <f>IF($C423="","",VLOOKUP($C423,'Tracking List'!$A$5:$AL$883,G$4,FALSE))</f>
        <v/>
      </c>
      <c r="H423" s="147" t="str">
        <f>IF($C423="","",VLOOKUP($C423,'Tracking List'!$A$5:$AL$883,H$4,FALSE))</f>
        <v/>
      </c>
      <c r="I423" s="147" t="str">
        <f>IF($C423="","",VLOOKUP($C423,'Tracking List'!$A$5:$AL$883,I$4,FALSE))</f>
        <v/>
      </c>
      <c r="J423" s="147" t="str">
        <f>IF($C423="","",VLOOKUP($C423,'Tracking List'!$A$5:$AL$883,J$4,FALSE))</f>
        <v/>
      </c>
      <c r="K423" s="147" t="str">
        <f>IF($C423="","",VLOOKUP($C423,'Tracking List'!$A$5:$AL$883,K$4,FALSE))</f>
        <v/>
      </c>
      <c r="L423" s="168" t="str">
        <f>IF($C423="","",VLOOKUP($C423,'Tracking List'!$A$5:$AL$883,L$4,FALSE))</f>
        <v/>
      </c>
      <c r="M423" s="147" t="str">
        <f>IF($C423="","",VLOOKUP($C423,'Tracking List'!$A$5:$AL$883,M$4,FALSE))</f>
        <v/>
      </c>
      <c r="N423" s="148" t="str">
        <f>IF($C423="","",IF(VLOOKUP($C423,'Tracking List'!$A$5:$AL$883,N$3,FALSE)&gt;0,"Y",VLOOKUP($C423,'Tracking List'!$A$5:$AL$883,N$4,FALSE)))</f>
        <v/>
      </c>
      <c r="O423" s="148" t="str">
        <f>IF($C423="","",IF(VLOOKUP($C423,'Tracking List'!$A$5:$AL$883,O$3,FALSE)&gt;0,"Y",VLOOKUP($C423,'Tracking List'!$A$5:$AL$883,O$4,FALSE)))</f>
        <v/>
      </c>
      <c r="P423" s="147" t="str">
        <f>IF($C423="","",IF(VLOOKUP($C423,'Tracking List'!$A$5:$AL$883,P$4,FALSE)&gt;0,"Y",""))</f>
        <v/>
      </c>
      <c r="Q423" s="149"/>
      <c r="R423" s="166" t="str">
        <f>IF($C423="","",VLOOKUP($C423,'Tracking List'!$A$5:$AL$883,R$4,FALSE))</f>
        <v/>
      </c>
    </row>
    <row r="424" spans="3:18">
      <c r="C424" s="146"/>
      <c r="D424" s="147" t="str">
        <f>IF($C424="","",VLOOKUP($C424,'Tracking List'!$A$5:$AL$883,D$4,FALSE))</f>
        <v/>
      </c>
      <c r="E424" s="147" t="str">
        <f>IF($C424="","",VLOOKUP($C424,'Tracking List'!$A$5:$AL$883,E$4,FALSE))</f>
        <v/>
      </c>
      <c r="F424" s="147" t="str">
        <f>IF($C424="","",VLOOKUP($C424,'Tracking List'!$A$5:$AL$883,F$4,FALSE))</f>
        <v/>
      </c>
      <c r="G424" s="147" t="str">
        <f>IF($C424="","",VLOOKUP($C424,'Tracking List'!$A$5:$AL$883,G$4,FALSE))</f>
        <v/>
      </c>
      <c r="H424" s="147" t="str">
        <f>IF($C424="","",VLOOKUP($C424,'Tracking List'!$A$5:$AL$883,H$4,FALSE))</f>
        <v/>
      </c>
      <c r="I424" s="147" t="str">
        <f>IF($C424="","",VLOOKUP($C424,'Tracking List'!$A$5:$AL$883,I$4,FALSE))</f>
        <v/>
      </c>
      <c r="J424" s="147" t="str">
        <f>IF($C424="","",VLOOKUP($C424,'Tracking List'!$A$5:$AL$883,J$4,FALSE))</f>
        <v/>
      </c>
      <c r="K424" s="147" t="str">
        <f>IF($C424="","",VLOOKUP($C424,'Tracking List'!$A$5:$AL$883,K$4,FALSE))</f>
        <v/>
      </c>
      <c r="L424" s="168" t="str">
        <f>IF($C424="","",VLOOKUP($C424,'Tracking List'!$A$5:$AL$883,L$4,FALSE))</f>
        <v/>
      </c>
      <c r="M424" s="147" t="str">
        <f>IF($C424="","",VLOOKUP($C424,'Tracking List'!$A$5:$AL$883,M$4,FALSE))</f>
        <v/>
      </c>
      <c r="N424" s="148" t="str">
        <f>IF($C424="","",IF(VLOOKUP($C424,'Tracking List'!$A$5:$AL$883,N$3,FALSE)&gt;0,"Y",VLOOKUP($C424,'Tracking List'!$A$5:$AL$883,N$4,FALSE)))</f>
        <v/>
      </c>
      <c r="O424" s="148" t="str">
        <f>IF($C424="","",IF(VLOOKUP($C424,'Tracking List'!$A$5:$AL$883,O$3,FALSE)&gt;0,"Y",VLOOKUP($C424,'Tracking List'!$A$5:$AL$883,O$4,FALSE)))</f>
        <v/>
      </c>
      <c r="P424" s="147" t="str">
        <f>IF($C424="","",IF(VLOOKUP($C424,'Tracking List'!$A$5:$AL$883,P$4,FALSE)&gt;0,"Y",""))</f>
        <v/>
      </c>
      <c r="Q424" s="149"/>
      <c r="R424" s="166" t="str">
        <f>IF($C424="","",VLOOKUP($C424,'Tracking List'!$A$5:$AL$883,R$4,FALSE))</f>
        <v/>
      </c>
    </row>
    <row r="425" spans="3:18">
      <c r="C425" s="146"/>
      <c r="D425" s="147" t="str">
        <f>IF($C425="","",VLOOKUP($C425,'Tracking List'!$A$5:$AL$883,D$4,FALSE))</f>
        <v/>
      </c>
      <c r="E425" s="147" t="str">
        <f>IF($C425="","",VLOOKUP($C425,'Tracking List'!$A$5:$AL$883,E$4,FALSE))</f>
        <v/>
      </c>
      <c r="F425" s="147" t="str">
        <f>IF($C425="","",VLOOKUP($C425,'Tracking List'!$A$5:$AL$883,F$4,FALSE))</f>
        <v/>
      </c>
      <c r="G425" s="147" t="str">
        <f>IF($C425="","",VLOOKUP($C425,'Tracking List'!$A$5:$AL$883,G$4,FALSE))</f>
        <v/>
      </c>
      <c r="H425" s="147" t="str">
        <f>IF($C425="","",VLOOKUP($C425,'Tracking List'!$A$5:$AL$883,H$4,FALSE))</f>
        <v/>
      </c>
      <c r="I425" s="147" t="str">
        <f>IF($C425="","",VLOOKUP($C425,'Tracking List'!$A$5:$AL$883,I$4,FALSE))</f>
        <v/>
      </c>
      <c r="J425" s="147" t="str">
        <f>IF($C425="","",VLOOKUP($C425,'Tracking List'!$A$5:$AL$883,J$4,FALSE))</f>
        <v/>
      </c>
      <c r="K425" s="147" t="str">
        <f>IF($C425="","",VLOOKUP($C425,'Tracking List'!$A$5:$AL$883,K$4,FALSE))</f>
        <v/>
      </c>
      <c r="L425" s="168" t="str">
        <f>IF($C425="","",VLOOKUP($C425,'Tracking List'!$A$5:$AL$883,L$4,FALSE))</f>
        <v/>
      </c>
      <c r="M425" s="147" t="str">
        <f>IF($C425="","",VLOOKUP($C425,'Tracking List'!$A$5:$AL$883,M$4,FALSE))</f>
        <v/>
      </c>
      <c r="N425" s="148" t="str">
        <f>IF($C425="","",IF(VLOOKUP($C425,'Tracking List'!$A$5:$AL$883,N$3,FALSE)&gt;0,"Y",VLOOKUP($C425,'Tracking List'!$A$5:$AL$883,N$4,FALSE)))</f>
        <v/>
      </c>
      <c r="O425" s="148" t="str">
        <f>IF($C425="","",IF(VLOOKUP($C425,'Tracking List'!$A$5:$AL$883,O$3,FALSE)&gt;0,"Y",VLOOKUP($C425,'Tracking List'!$A$5:$AL$883,O$4,FALSE)))</f>
        <v/>
      </c>
      <c r="P425" s="147" t="str">
        <f>IF($C425="","",IF(VLOOKUP($C425,'Tracking List'!$A$5:$AL$883,P$4,FALSE)&gt;0,"Y",""))</f>
        <v/>
      </c>
      <c r="Q425" s="149"/>
      <c r="R425" s="166" t="str">
        <f>IF($C425="","",VLOOKUP($C425,'Tracking List'!$A$5:$AL$883,R$4,FALSE))</f>
        <v/>
      </c>
    </row>
    <row r="426" spans="3:18">
      <c r="C426" s="146"/>
      <c r="D426" s="147" t="str">
        <f>IF($C426="","",VLOOKUP($C426,'Tracking List'!$A$5:$AL$883,D$4,FALSE))</f>
        <v/>
      </c>
      <c r="E426" s="147" t="str">
        <f>IF($C426="","",VLOOKUP($C426,'Tracking List'!$A$5:$AL$883,E$4,FALSE))</f>
        <v/>
      </c>
      <c r="F426" s="147" t="str">
        <f>IF($C426="","",VLOOKUP($C426,'Tracking List'!$A$5:$AL$883,F$4,FALSE))</f>
        <v/>
      </c>
      <c r="G426" s="147" t="str">
        <f>IF($C426="","",VLOOKUP($C426,'Tracking List'!$A$5:$AL$883,G$4,FALSE))</f>
        <v/>
      </c>
      <c r="H426" s="147" t="str">
        <f>IF($C426="","",VLOOKUP($C426,'Tracking List'!$A$5:$AL$883,H$4,FALSE))</f>
        <v/>
      </c>
      <c r="I426" s="147" t="str">
        <f>IF($C426="","",VLOOKUP($C426,'Tracking List'!$A$5:$AL$883,I$4,FALSE))</f>
        <v/>
      </c>
      <c r="J426" s="147" t="str">
        <f>IF($C426="","",VLOOKUP($C426,'Tracking List'!$A$5:$AL$883,J$4,FALSE))</f>
        <v/>
      </c>
      <c r="K426" s="147" t="str">
        <f>IF($C426="","",VLOOKUP($C426,'Tracking List'!$A$5:$AL$883,K$4,FALSE))</f>
        <v/>
      </c>
      <c r="L426" s="168" t="str">
        <f>IF($C426="","",VLOOKUP($C426,'Tracking List'!$A$5:$AL$883,L$4,FALSE))</f>
        <v/>
      </c>
      <c r="M426" s="147" t="str">
        <f>IF($C426="","",VLOOKUP($C426,'Tracking List'!$A$5:$AL$883,M$4,FALSE))</f>
        <v/>
      </c>
      <c r="N426" s="148" t="str">
        <f>IF($C426="","",IF(VLOOKUP($C426,'Tracking List'!$A$5:$AL$883,N$3,FALSE)&gt;0,"Y",VLOOKUP($C426,'Tracking List'!$A$5:$AL$883,N$4,FALSE)))</f>
        <v/>
      </c>
      <c r="O426" s="148" t="str">
        <f>IF($C426="","",IF(VLOOKUP($C426,'Tracking List'!$A$5:$AL$883,O$3,FALSE)&gt;0,"Y",VLOOKUP($C426,'Tracking List'!$A$5:$AL$883,O$4,FALSE)))</f>
        <v/>
      </c>
      <c r="P426" s="147" t="str">
        <f>IF($C426="","",IF(VLOOKUP($C426,'Tracking List'!$A$5:$AL$883,P$4,FALSE)&gt;0,"Y",""))</f>
        <v/>
      </c>
      <c r="Q426" s="149"/>
      <c r="R426" s="166" t="str">
        <f>IF($C426="","",VLOOKUP($C426,'Tracking List'!$A$5:$AL$883,R$4,FALSE))</f>
        <v/>
      </c>
    </row>
    <row r="427" spans="3:18">
      <c r="C427" s="146"/>
      <c r="D427" s="147" t="str">
        <f>IF($C427="","",VLOOKUP($C427,'Tracking List'!$A$5:$AL$883,D$4,FALSE))</f>
        <v/>
      </c>
      <c r="E427" s="147" t="str">
        <f>IF($C427="","",VLOOKUP($C427,'Tracking List'!$A$5:$AL$883,E$4,FALSE))</f>
        <v/>
      </c>
      <c r="F427" s="147" t="str">
        <f>IF($C427="","",VLOOKUP($C427,'Tracking List'!$A$5:$AL$883,F$4,FALSE))</f>
        <v/>
      </c>
      <c r="G427" s="147" t="str">
        <f>IF($C427="","",VLOOKUP($C427,'Tracking List'!$A$5:$AL$883,G$4,FALSE))</f>
        <v/>
      </c>
      <c r="H427" s="147" t="str">
        <f>IF($C427="","",VLOOKUP($C427,'Tracking List'!$A$5:$AL$883,H$4,FALSE))</f>
        <v/>
      </c>
      <c r="I427" s="147" t="str">
        <f>IF($C427="","",VLOOKUP($C427,'Tracking List'!$A$5:$AL$883,I$4,FALSE))</f>
        <v/>
      </c>
      <c r="J427" s="147" t="str">
        <f>IF($C427="","",VLOOKUP($C427,'Tracking List'!$A$5:$AL$883,J$4,FALSE))</f>
        <v/>
      </c>
      <c r="K427" s="147" t="str">
        <f>IF($C427="","",VLOOKUP($C427,'Tracking List'!$A$5:$AL$883,K$4,FALSE))</f>
        <v/>
      </c>
      <c r="L427" s="168" t="str">
        <f>IF($C427="","",VLOOKUP($C427,'Tracking List'!$A$5:$AL$883,L$4,FALSE))</f>
        <v/>
      </c>
      <c r="M427" s="147" t="str">
        <f>IF($C427="","",VLOOKUP($C427,'Tracking List'!$A$5:$AL$883,M$4,FALSE))</f>
        <v/>
      </c>
      <c r="N427" s="148" t="str">
        <f>IF($C427="","",IF(VLOOKUP($C427,'Tracking List'!$A$5:$AL$883,N$3,FALSE)&gt;0,"Y",VLOOKUP($C427,'Tracking List'!$A$5:$AL$883,N$4,FALSE)))</f>
        <v/>
      </c>
      <c r="O427" s="148" t="str">
        <f>IF($C427="","",IF(VLOOKUP($C427,'Tracking List'!$A$5:$AL$883,O$3,FALSE)&gt;0,"Y",VLOOKUP($C427,'Tracking List'!$A$5:$AL$883,O$4,FALSE)))</f>
        <v/>
      </c>
      <c r="P427" s="147" t="str">
        <f>IF($C427="","",IF(VLOOKUP($C427,'Tracking List'!$A$5:$AL$883,P$4,FALSE)&gt;0,"Y",""))</f>
        <v/>
      </c>
      <c r="Q427" s="149"/>
      <c r="R427" s="166" t="str">
        <f>IF($C427="","",VLOOKUP($C427,'Tracking List'!$A$5:$AL$883,R$4,FALSE))</f>
        <v/>
      </c>
    </row>
    <row r="428" spans="3:18">
      <c r="C428" s="146"/>
      <c r="D428" s="147" t="str">
        <f>IF($C428="","",VLOOKUP($C428,'Tracking List'!$A$5:$AL$883,D$4,FALSE))</f>
        <v/>
      </c>
      <c r="E428" s="147" t="str">
        <f>IF($C428="","",VLOOKUP($C428,'Tracking List'!$A$5:$AL$883,E$4,FALSE))</f>
        <v/>
      </c>
      <c r="F428" s="147" t="str">
        <f>IF($C428="","",VLOOKUP($C428,'Tracking List'!$A$5:$AL$883,F$4,FALSE))</f>
        <v/>
      </c>
      <c r="G428" s="147" t="str">
        <f>IF($C428="","",VLOOKUP($C428,'Tracking List'!$A$5:$AL$883,G$4,FALSE))</f>
        <v/>
      </c>
      <c r="H428" s="147" t="str">
        <f>IF($C428="","",VLOOKUP($C428,'Tracking List'!$A$5:$AL$883,H$4,FALSE))</f>
        <v/>
      </c>
      <c r="I428" s="147" t="str">
        <f>IF($C428="","",VLOOKUP($C428,'Tracking List'!$A$5:$AL$883,I$4,FALSE))</f>
        <v/>
      </c>
      <c r="J428" s="147" t="str">
        <f>IF($C428="","",VLOOKUP($C428,'Tracking List'!$A$5:$AL$883,J$4,FALSE))</f>
        <v/>
      </c>
      <c r="K428" s="147" t="str">
        <f>IF($C428="","",VLOOKUP($C428,'Tracking List'!$A$5:$AL$883,K$4,FALSE))</f>
        <v/>
      </c>
      <c r="L428" s="168" t="str">
        <f>IF($C428="","",VLOOKUP($C428,'Tracking List'!$A$5:$AL$883,L$4,FALSE))</f>
        <v/>
      </c>
      <c r="M428" s="147" t="str">
        <f>IF($C428="","",VLOOKUP($C428,'Tracking List'!$A$5:$AL$883,M$4,FALSE))</f>
        <v/>
      </c>
      <c r="N428" s="148" t="str">
        <f>IF($C428="","",IF(VLOOKUP($C428,'Tracking List'!$A$5:$AL$883,N$3,FALSE)&gt;0,"Y",VLOOKUP($C428,'Tracking List'!$A$5:$AL$883,N$4,FALSE)))</f>
        <v/>
      </c>
      <c r="O428" s="148" t="str">
        <f>IF($C428="","",IF(VLOOKUP($C428,'Tracking List'!$A$5:$AL$883,O$3,FALSE)&gt;0,"Y",VLOOKUP($C428,'Tracking List'!$A$5:$AL$883,O$4,FALSE)))</f>
        <v/>
      </c>
      <c r="P428" s="147" t="str">
        <f>IF($C428="","",IF(VLOOKUP($C428,'Tracking List'!$A$5:$AL$883,P$4,FALSE)&gt;0,"Y",""))</f>
        <v/>
      </c>
      <c r="Q428" s="149"/>
      <c r="R428" s="166" t="str">
        <f>IF($C428="","",VLOOKUP($C428,'Tracking List'!$A$5:$AL$883,R$4,FALSE))</f>
        <v/>
      </c>
    </row>
    <row r="429" spans="3:18">
      <c r="C429" s="146"/>
      <c r="D429" s="147" t="str">
        <f>IF($C429="","",VLOOKUP($C429,'Tracking List'!$A$5:$AL$883,D$4,FALSE))</f>
        <v/>
      </c>
      <c r="E429" s="147" t="str">
        <f>IF($C429="","",VLOOKUP($C429,'Tracking List'!$A$5:$AL$883,E$4,FALSE))</f>
        <v/>
      </c>
      <c r="F429" s="147" t="str">
        <f>IF($C429="","",VLOOKUP($C429,'Tracking List'!$A$5:$AL$883,F$4,FALSE))</f>
        <v/>
      </c>
      <c r="G429" s="147" t="str">
        <f>IF($C429="","",VLOOKUP($C429,'Tracking List'!$A$5:$AL$883,G$4,FALSE))</f>
        <v/>
      </c>
      <c r="H429" s="147" t="str">
        <f>IF($C429="","",VLOOKUP($C429,'Tracking List'!$A$5:$AL$883,H$4,FALSE))</f>
        <v/>
      </c>
      <c r="I429" s="147" t="str">
        <f>IF($C429="","",VLOOKUP($C429,'Tracking List'!$A$5:$AL$883,I$4,FALSE))</f>
        <v/>
      </c>
      <c r="J429" s="147" t="str">
        <f>IF($C429="","",VLOOKUP($C429,'Tracking List'!$A$5:$AL$883,J$4,FALSE))</f>
        <v/>
      </c>
      <c r="K429" s="147" t="str">
        <f>IF($C429="","",VLOOKUP($C429,'Tracking List'!$A$5:$AL$883,K$4,FALSE))</f>
        <v/>
      </c>
      <c r="L429" s="168" t="str">
        <f>IF($C429="","",VLOOKUP($C429,'Tracking List'!$A$5:$AL$883,L$4,FALSE))</f>
        <v/>
      </c>
      <c r="M429" s="147" t="str">
        <f>IF($C429="","",VLOOKUP($C429,'Tracking List'!$A$5:$AL$883,M$4,FALSE))</f>
        <v/>
      </c>
      <c r="N429" s="148" t="str">
        <f>IF($C429="","",IF(VLOOKUP($C429,'Tracking List'!$A$5:$AL$883,N$3,FALSE)&gt;0,"Y",VLOOKUP($C429,'Tracking List'!$A$5:$AL$883,N$4,FALSE)))</f>
        <v/>
      </c>
      <c r="O429" s="148" t="str">
        <f>IF($C429="","",IF(VLOOKUP($C429,'Tracking List'!$A$5:$AL$883,O$3,FALSE)&gt;0,"Y",VLOOKUP($C429,'Tracking List'!$A$5:$AL$883,O$4,FALSE)))</f>
        <v/>
      </c>
      <c r="P429" s="147" t="str">
        <f>IF($C429="","",IF(VLOOKUP($C429,'Tracking List'!$A$5:$AL$883,P$4,FALSE)&gt;0,"Y",""))</f>
        <v/>
      </c>
      <c r="Q429" s="149"/>
      <c r="R429" s="166" t="str">
        <f>IF($C429="","",VLOOKUP($C429,'Tracking List'!$A$5:$AL$883,R$4,FALSE))</f>
        <v/>
      </c>
    </row>
    <row r="430" spans="3:18">
      <c r="C430" s="146"/>
      <c r="D430" s="147" t="str">
        <f>IF($C430="","",VLOOKUP($C430,'Tracking List'!$A$5:$AL$883,D$4,FALSE))</f>
        <v/>
      </c>
      <c r="E430" s="147" t="str">
        <f>IF($C430="","",VLOOKUP($C430,'Tracking List'!$A$5:$AL$883,E$4,FALSE))</f>
        <v/>
      </c>
      <c r="F430" s="147" t="str">
        <f>IF($C430="","",VLOOKUP($C430,'Tracking List'!$A$5:$AL$883,F$4,FALSE))</f>
        <v/>
      </c>
      <c r="G430" s="147" t="str">
        <f>IF($C430="","",VLOOKUP($C430,'Tracking List'!$A$5:$AL$883,G$4,FALSE))</f>
        <v/>
      </c>
      <c r="H430" s="147" t="str">
        <f>IF($C430="","",VLOOKUP($C430,'Tracking List'!$A$5:$AL$883,H$4,FALSE))</f>
        <v/>
      </c>
      <c r="I430" s="147" t="str">
        <f>IF($C430="","",VLOOKUP($C430,'Tracking List'!$A$5:$AL$883,I$4,FALSE))</f>
        <v/>
      </c>
      <c r="J430" s="147" t="str">
        <f>IF($C430="","",VLOOKUP($C430,'Tracking List'!$A$5:$AL$883,J$4,FALSE))</f>
        <v/>
      </c>
      <c r="K430" s="147" t="str">
        <f>IF($C430="","",VLOOKUP($C430,'Tracking List'!$A$5:$AL$883,K$4,FALSE))</f>
        <v/>
      </c>
      <c r="L430" s="168" t="str">
        <f>IF($C430="","",VLOOKUP($C430,'Tracking List'!$A$5:$AL$883,L$4,FALSE))</f>
        <v/>
      </c>
      <c r="M430" s="147" t="str">
        <f>IF($C430="","",VLOOKUP($C430,'Tracking List'!$A$5:$AL$883,M$4,FALSE))</f>
        <v/>
      </c>
      <c r="N430" s="148" t="str">
        <f>IF($C430="","",IF(VLOOKUP($C430,'Tracking List'!$A$5:$AL$883,N$3,FALSE)&gt;0,"Y",VLOOKUP($C430,'Tracking List'!$A$5:$AL$883,N$4,FALSE)))</f>
        <v/>
      </c>
      <c r="O430" s="148" t="str">
        <f>IF($C430="","",IF(VLOOKUP($C430,'Tracking List'!$A$5:$AL$883,O$3,FALSE)&gt;0,"Y",VLOOKUP($C430,'Tracking List'!$A$5:$AL$883,O$4,FALSE)))</f>
        <v/>
      </c>
      <c r="P430" s="147" t="str">
        <f>IF($C430="","",IF(VLOOKUP($C430,'Tracking List'!$A$5:$AL$883,P$4,FALSE)&gt;0,"Y",""))</f>
        <v/>
      </c>
      <c r="Q430" s="149"/>
      <c r="R430" s="166" t="str">
        <f>IF($C430="","",VLOOKUP($C430,'Tracking List'!$A$5:$AL$883,R$4,FALSE))</f>
        <v/>
      </c>
    </row>
    <row r="431" spans="3:18">
      <c r="C431" s="146"/>
      <c r="D431" s="147" t="str">
        <f>IF($C431="","",VLOOKUP($C431,'Tracking List'!$A$5:$AL$883,D$4,FALSE))</f>
        <v/>
      </c>
      <c r="E431" s="147" t="str">
        <f>IF($C431="","",VLOOKUP($C431,'Tracking List'!$A$5:$AL$883,E$4,FALSE))</f>
        <v/>
      </c>
      <c r="F431" s="147" t="str">
        <f>IF($C431="","",VLOOKUP($C431,'Tracking List'!$A$5:$AL$883,F$4,FALSE))</f>
        <v/>
      </c>
      <c r="G431" s="147" t="str">
        <f>IF($C431="","",VLOOKUP($C431,'Tracking List'!$A$5:$AL$883,G$4,FALSE))</f>
        <v/>
      </c>
      <c r="H431" s="147" t="str">
        <f>IF($C431="","",VLOOKUP($C431,'Tracking List'!$A$5:$AL$883,H$4,FALSE))</f>
        <v/>
      </c>
      <c r="I431" s="147" t="str">
        <f>IF($C431="","",VLOOKUP($C431,'Tracking List'!$A$5:$AL$883,I$4,FALSE))</f>
        <v/>
      </c>
      <c r="J431" s="147" t="str">
        <f>IF($C431="","",VLOOKUP($C431,'Tracking List'!$A$5:$AL$883,J$4,FALSE))</f>
        <v/>
      </c>
      <c r="K431" s="147" t="str">
        <f>IF($C431="","",VLOOKUP($C431,'Tracking List'!$A$5:$AL$883,K$4,FALSE))</f>
        <v/>
      </c>
      <c r="L431" s="168" t="str">
        <f>IF($C431="","",VLOOKUP($C431,'Tracking List'!$A$5:$AL$883,L$4,FALSE))</f>
        <v/>
      </c>
      <c r="M431" s="147" t="str">
        <f>IF($C431="","",VLOOKUP($C431,'Tracking List'!$A$5:$AL$883,M$4,FALSE))</f>
        <v/>
      </c>
      <c r="N431" s="148" t="str">
        <f>IF($C431="","",IF(VLOOKUP($C431,'Tracking List'!$A$5:$AL$883,N$3,FALSE)&gt;0,"Y",VLOOKUP($C431,'Tracking List'!$A$5:$AL$883,N$4,FALSE)))</f>
        <v/>
      </c>
      <c r="O431" s="148" t="str">
        <f>IF($C431="","",IF(VLOOKUP($C431,'Tracking List'!$A$5:$AL$883,O$3,FALSE)&gt;0,"Y",VLOOKUP($C431,'Tracking List'!$A$5:$AL$883,O$4,FALSE)))</f>
        <v/>
      </c>
      <c r="P431" s="147" t="str">
        <f>IF($C431="","",IF(VLOOKUP($C431,'Tracking List'!$A$5:$AL$883,P$4,FALSE)&gt;0,"Y",""))</f>
        <v/>
      </c>
      <c r="Q431" s="149"/>
      <c r="R431" s="166" t="str">
        <f>IF($C431="","",VLOOKUP($C431,'Tracking List'!$A$5:$AL$883,R$4,FALSE))</f>
        <v/>
      </c>
    </row>
    <row r="432" spans="3:18">
      <c r="C432" s="146"/>
      <c r="D432" s="147" t="str">
        <f>IF($C432="","",VLOOKUP($C432,'Tracking List'!$A$5:$AL$883,D$4,FALSE))</f>
        <v/>
      </c>
      <c r="E432" s="147" t="str">
        <f>IF($C432="","",VLOOKUP($C432,'Tracking List'!$A$5:$AL$883,E$4,FALSE))</f>
        <v/>
      </c>
      <c r="F432" s="147" t="str">
        <f>IF($C432="","",VLOOKUP($C432,'Tracking List'!$A$5:$AL$883,F$4,FALSE))</f>
        <v/>
      </c>
      <c r="G432" s="147" t="str">
        <f>IF($C432="","",VLOOKUP($C432,'Tracking List'!$A$5:$AL$883,G$4,FALSE))</f>
        <v/>
      </c>
      <c r="H432" s="147" t="str">
        <f>IF($C432="","",VLOOKUP($C432,'Tracking List'!$A$5:$AL$883,H$4,FALSE))</f>
        <v/>
      </c>
      <c r="I432" s="147" t="str">
        <f>IF($C432="","",VLOOKUP($C432,'Tracking List'!$A$5:$AL$883,I$4,FALSE))</f>
        <v/>
      </c>
      <c r="J432" s="147" t="str">
        <f>IF($C432="","",VLOOKUP($C432,'Tracking List'!$A$5:$AL$883,J$4,FALSE))</f>
        <v/>
      </c>
      <c r="K432" s="147" t="str">
        <f>IF($C432="","",VLOOKUP($C432,'Tracking List'!$A$5:$AL$883,K$4,FALSE))</f>
        <v/>
      </c>
      <c r="L432" s="168" t="str">
        <f>IF($C432="","",VLOOKUP($C432,'Tracking List'!$A$5:$AL$883,L$4,FALSE))</f>
        <v/>
      </c>
      <c r="M432" s="147" t="str">
        <f>IF($C432="","",VLOOKUP($C432,'Tracking List'!$A$5:$AL$883,M$4,FALSE))</f>
        <v/>
      </c>
      <c r="N432" s="148" t="str">
        <f>IF($C432="","",IF(VLOOKUP($C432,'Tracking List'!$A$5:$AL$883,N$3,FALSE)&gt;0,"Y",VLOOKUP($C432,'Tracking List'!$A$5:$AL$883,N$4,FALSE)))</f>
        <v/>
      </c>
      <c r="O432" s="148" t="str">
        <f>IF($C432="","",IF(VLOOKUP($C432,'Tracking List'!$A$5:$AL$883,O$3,FALSE)&gt;0,"Y",VLOOKUP($C432,'Tracking List'!$A$5:$AL$883,O$4,FALSE)))</f>
        <v/>
      </c>
      <c r="P432" s="147" t="str">
        <f>IF($C432="","",IF(VLOOKUP($C432,'Tracking List'!$A$5:$AL$883,P$4,FALSE)&gt;0,"Y",""))</f>
        <v/>
      </c>
      <c r="Q432" s="149"/>
      <c r="R432" s="166" t="str">
        <f>IF($C432="","",VLOOKUP($C432,'Tracking List'!$A$5:$AL$883,R$4,FALSE))</f>
        <v/>
      </c>
    </row>
    <row r="433" spans="3:18">
      <c r="C433" s="146"/>
      <c r="D433" s="147" t="str">
        <f>IF($C433="","",VLOOKUP($C433,'Tracking List'!$A$5:$AL$883,D$4,FALSE))</f>
        <v/>
      </c>
      <c r="E433" s="147" t="str">
        <f>IF($C433="","",VLOOKUP($C433,'Tracking List'!$A$5:$AL$883,E$4,FALSE))</f>
        <v/>
      </c>
      <c r="F433" s="147" t="str">
        <f>IF($C433="","",VLOOKUP($C433,'Tracking List'!$A$5:$AL$883,F$4,FALSE))</f>
        <v/>
      </c>
      <c r="G433" s="147" t="str">
        <f>IF($C433="","",VLOOKUP($C433,'Tracking List'!$A$5:$AL$883,G$4,FALSE))</f>
        <v/>
      </c>
      <c r="H433" s="147" t="str">
        <f>IF($C433="","",VLOOKUP($C433,'Tracking List'!$A$5:$AL$883,H$4,FALSE))</f>
        <v/>
      </c>
      <c r="I433" s="147" t="str">
        <f>IF($C433="","",VLOOKUP($C433,'Tracking List'!$A$5:$AL$883,I$4,FALSE))</f>
        <v/>
      </c>
      <c r="J433" s="147" t="str">
        <f>IF($C433="","",VLOOKUP($C433,'Tracking List'!$A$5:$AL$883,J$4,FALSE))</f>
        <v/>
      </c>
      <c r="K433" s="147" t="str">
        <f>IF($C433="","",VLOOKUP($C433,'Tracking List'!$A$5:$AL$883,K$4,FALSE))</f>
        <v/>
      </c>
      <c r="L433" s="168" t="str">
        <f>IF($C433="","",VLOOKUP($C433,'Tracking List'!$A$5:$AL$883,L$4,FALSE))</f>
        <v/>
      </c>
      <c r="M433" s="147" t="str">
        <f>IF($C433="","",VLOOKUP($C433,'Tracking List'!$A$5:$AL$883,M$4,FALSE))</f>
        <v/>
      </c>
      <c r="N433" s="148" t="str">
        <f>IF($C433="","",IF(VLOOKUP($C433,'Tracking List'!$A$5:$AL$883,N$3,FALSE)&gt;0,"Y",VLOOKUP($C433,'Tracking List'!$A$5:$AL$883,N$4,FALSE)))</f>
        <v/>
      </c>
      <c r="O433" s="148" t="str">
        <f>IF($C433="","",IF(VLOOKUP($C433,'Tracking List'!$A$5:$AL$883,O$3,FALSE)&gt;0,"Y",VLOOKUP($C433,'Tracking List'!$A$5:$AL$883,O$4,FALSE)))</f>
        <v/>
      </c>
      <c r="P433" s="147" t="str">
        <f>IF($C433="","",IF(VLOOKUP($C433,'Tracking List'!$A$5:$AL$883,P$4,FALSE)&gt;0,"Y",""))</f>
        <v/>
      </c>
      <c r="Q433" s="149"/>
      <c r="R433" s="166" t="str">
        <f>IF($C433="","",VLOOKUP($C433,'Tracking List'!$A$5:$AL$883,R$4,FALSE))</f>
        <v/>
      </c>
    </row>
    <row r="434" spans="3:18">
      <c r="C434" s="146"/>
      <c r="D434" s="147" t="str">
        <f>IF($C434="","",VLOOKUP($C434,'Tracking List'!$A$5:$AL$883,D$4,FALSE))</f>
        <v/>
      </c>
      <c r="E434" s="147" t="str">
        <f>IF($C434="","",VLOOKUP($C434,'Tracking List'!$A$5:$AL$883,E$4,FALSE))</f>
        <v/>
      </c>
      <c r="F434" s="147" t="str">
        <f>IF($C434="","",VLOOKUP($C434,'Tracking List'!$A$5:$AL$883,F$4,FALSE))</f>
        <v/>
      </c>
      <c r="G434" s="147" t="str">
        <f>IF($C434="","",VLOOKUP($C434,'Tracking List'!$A$5:$AL$883,G$4,FALSE))</f>
        <v/>
      </c>
      <c r="H434" s="147" t="str">
        <f>IF($C434="","",VLOOKUP($C434,'Tracking List'!$A$5:$AL$883,H$4,FALSE))</f>
        <v/>
      </c>
      <c r="I434" s="147" t="str">
        <f>IF($C434="","",VLOOKUP($C434,'Tracking List'!$A$5:$AL$883,I$4,FALSE))</f>
        <v/>
      </c>
      <c r="J434" s="147" t="str">
        <f>IF($C434="","",VLOOKUP($C434,'Tracking List'!$A$5:$AL$883,J$4,FALSE))</f>
        <v/>
      </c>
      <c r="K434" s="147" t="str">
        <f>IF($C434="","",VLOOKUP($C434,'Tracking List'!$A$5:$AL$883,K$4,FALSE))</f>
        <v/>
      </c>
      <c r="L434" s="168" t="str">
        <f>IF($C434="","",VLOOKUP($C434,'Tracking List'!$A$5:$AL$883,L$4,FALSE))</f>
        <v/>
      </c>
      <c r="M434" s="147" t="str">
        <f>IF($C434="","",VLOOKUP($C434,'Tracking List'!$A$5:$AL$883,M$4,FALSE))</f>
        <v/>
      </c>
      <c r="N434" s="148" t="str">
        <f>IF($C434="","",IF(VLOOKUP($C434,'Tracking List'!$A$5:$AL$883,N$3,FALSE)&gt;0,"Y",VLOOKUP($C434,'Tracking List'!$A$5:$AL$883,N$4,FALSE)))</f>
        <v/>
      </c>
      <c r="O434" s="148" t="str">
        <f>IF($C434="","",IF(VLOOKUP($C434,'Tracking List'!$A$5:$AL$883,O$3,FALSE)&gt;0,"Y",VLOOKUP($C434,'Tracking List'!$A$5:$AL$883,O$4,FALSE)))</f>
        <v/>
      </c>
      <c r="P434" s="147" t="str">
        <f>IF($C434="","",IF(VLOOKUP($C434,'Tracking List'!$A$5:$AL$883,P$4,FALSE)&gt;0,"Y",""))</f>
        <v/>
      </c>
      <c r="Q434" s="149"/>
      <c r="R434" s="166" t="str">
        <f>IF($C434="","",VLOOKUP($C434,'Tracking List'!$A$5:$AL$883,R$4,FALSE))</f>
        <v/>
      </c>
    </row>
    <row r="435" spans="3:18">
      <c r="C435" s="146"/>
      <c r="D435" s="147" t="str">
        <f>IF($C435="","",VLOOKUP($C435,'Tracking List'!$A$5:$AL$883,D$4,FALSE))</f>
        <v/>
      </c>
      <c r="E435" s="147" t="str">
        <f>IF($C435="","",VLOOKUP($C435,'Tracking List'!$A$5:$AL$883,E$4,FALSE))</f>
        <v/>
      </c>
      <c r="F435" s="147" t="str">
        <f>IF($C435="","",VLOOKUP($C435,'Tracking List'!$A$5:$AL$883,F$4,FALSE))</f>
        <v/>
      </c>
      <c r="G435" s="147" t="str">
        <f>IF($C435="","",VLOOKUP($C435,'Tracking List'!$A$5:$AL$883,G$4,FALSE))</f>
        <v/>
      </c>
      <c r="H435" s="147" t="str">
        <f>IF($C435="","",VLOOKUP($C435,'Tracking List'!$A$5:$AL$883,H$4,FALSE))</f>
        <v/>
      </c>
      <c r="I435" s="147" t="str">
        <f>IF($C435="","",VLOOKUP($C435,'Tracking List'!$A$5:$AL$883,I$4,FALSE))</f>
        <v/>
      </c>
      <c r="J435" s="147" t="str">
        <f>IF($C435="","",VLOOKUP($C435,'Tracking List'!$A$5:$AL$883,J$4,FALSE))</f>
        <v/>
      </c>
      <c r="K435" s="147" t="str">
        <f>IF($C435="","",VLOOKUP($C435,'Tracking List'!$A$5:$AL$883,K$4,FALSE))</f>
        <v/>
      </c>
      <c r="L435" s="168" t="str">
        <f>IF($C435="","",VLOOKUP($C435,'Tracking List'!$A$5:$AL$883,L$4,FALSE))</f>
        <v/>
      </c>
      <c r="M435" s="147" t="str">
        <f>IF($C435="","",VLOOKUP($C435,'Tracking List'!$A$5:$AL$883,M$4,FALSE))</f>
        <v/>
      </c>
      <c r="N435" s="148" t="str">
        <f>IF($C435="","",IF(VLOOKUP($C435,'Tracking List'!$A$5:$AL$883,N$3,FALSE)&gt;0,"Y",VLOOKUP($C435,'Tracking List'!$A$5:$AL$883,N$4,FALSE)))</f>
        <v/>
      </c>
      <c r="O435" s="148" t="str">
        <f>IF($C435="","",IF(VLOOKUP($C435,'Tracking List'!$A$5:$AL$883,O$3,FALSE)&gt;0,"Y",VLOOKUP($C435,'Tracking List'!$A$5:$AL$883,O$4,FALSE)))</f>
        <v/>
      </c>
      <c r="P435" s="147" t="str">
        <f>IF($C435="","",IF(VLOOKUP($C435,'Tracking List'!$A$5:$AL$883,P$4,FALSE)&gt;0,"Y",""))</f>
        <v/>
      </c>
      <c r="Q435" s="149"/>
      <c r="R435" s="166" t="str">
        <f>IF($C435="","",VLOOKUP($C435,'Tracking List'!$A$5:$AL$883,R$4,FALSE))</f>
        <v/>
      </c>
    </row>
    <row r="436" spans="3:18">
      <c r="C436" s="146"/>
      <c r="D436" s="147" t="str">
        <f>IF($C436="","",VLOOKUP($C436,'Tracking List'!$A$5:$AL$883,D$4,FALSE))</f>
        <v/>
      </c>
      <c r="E436" s="147" t="str">
        <f>IF($C436="","",VLOOKUP($C436,'Tracking List'!$A$5:$AL$883,E$4,FALSE))</f>
        <v/>
      </c>
      <c r="F436" s="147" t="str">
        <f>IF($C436="","",VLOOKUP($C436,'Tracking List'!$A$5:$AL$883,F$4,FALSE))</f>
        <v/>
      </c>
      <c r="G436" s="147" t="str">
        <f>IF($C436="","",VLOOKUP($C436,'Tracking List'!$A$5:$AL$883,G$4,FALSE))</f>
        <v/>
      </c>
      <c r="H436" s="147" t="str">
        <f>IF($C436="","",VLOOKUP($C436,'Tracking List'!$A$5:$AL$883,H$4,FALSE))</f>
        <v/>
      </c>
      <c r="I436" s="147" t="str">
        <f>IF($C436="","",VLOOKUP($C436,'Tracking List'!$A$5:$AL$883,I$4,FALSE))</f>
        <v/>
      </c>
      <c r="J436" s="147" t="str">
        <f>IF($C436="","",VLOOKUP($C436,'Tracking List'!$A$5:$AL$883,J$4,FALSE))</f>
        <v/>
      </c>
      <c r="K436" s="147" t="str">
        <f>IF($C436="","",VLOOKUP($C436,'Tracking List'!$A$5:$AL$883,K$4,FALSE))</f>
        <v/>
      </c>
      <c r="L436" s="168" t="str">
        <f>IF($C436="","",VLOOKUP($C436,'Tracking List'!$A$5:$AL$883,L$4,FALSE))</f>
        <v/>
      </c>
      <c r="M436" s="147" t="str">
        <f>IF($C436="","",VLOOKUP($C436,'Tracking List'!$A$5:$AL$883,M$4,FALSE))</f>
        <v/>
      </c>
      <c r="N436" s="148" t="str">
        <f>IF($C436="","",IF(VLOOKUP($C436,'Tracking List'!$A$5:$AL$883,N$3,FALSE)&gt;0,"Y",VLOOKUP($C436,'Tracking List'!$A$5:$AL$883,N$4,FALSE)))</f>
        <v/>
      </c>
      <c r="O436" s="148" t="str">
        <f>IF($C436="","",IF(VLOOKUP($C436,'Tracking List'!$A$5:$AL$883,O$3,FALSE)&gt;0,"Y",VLOOKUP($C436,'Tracking List'!$A$5:$AL$883,O$4,FALSE)))</f>
        <v/>
      </c>
      <c r="P436" s="147" t="str">
        <f>IF($C436="","",IF(VLOOKUP($C436,'Tracking List'!$A$5:$AL$883,P$4,FALSE)&gt;0,"Y",""))</f>
        <v/>
      </c>
      <c r="Q436" s="149"/>
      <c r="R436" s="166" t="str">
        <f>IF($C436="","",VLOOKUP($C436,'Tracking List'!$A$5:$AL$883,R$4,FALSE))</f>
        <v/>
      </c>
    </row>
    <row r="437" spans="3:18">
      <c r="C437" s="146"/>
      <c r="D437" s="147" t="str">
        <f>IF($C437="","",VLOOKUP($C437,'Tracking List'!$A$5:$AL$883,D$4,FALSE))</f>
        <v/>
      </c>
      <c r="E437" s="147" t="str">
        <f>IF($C437="","",VLOOKUP($C437,'Tracking List'!$A$5:$AL$883,E$4,FALSE))</f>
        <v/>
      </c>
      <c r="F437" s="147" t="str">
        <f>IF($C437="","",VLOOKUP($C437,'Tracking List'!$A$5:$AL$883,F$4,FALSE))</f>
        <v/>
      </c>
      <c r="G437" s="147" t="str">
        <f>IF($C437="","",VLOOKUP($C437,'Tracking List'!$A$5:$AL$883,G$4,FALSE))</f>
        <v/>
      </c>
      <c r="H437" s="147" t="str">
        <f>IF($C437="","",VLOOKUP($C437,'Tracking List'!$A$5:$AL$883,H$4,FALSE))</f>
        <v/>
      </c>
      <c r="I437" s="147" t="str">
        <f>IF($C437="","",VLOOKUP($C437,'Tracking List'!$A$5:$AL$883,I$4,FALSE))</f>
        <v/>
      </c>
      <c r="J437" s="147" t="str">
        <f>IF($C437="","",VLOOKUP($C437,'Tracking List'!$A$5:$AL$883,J$4,FALSE))</f>
        <v/>
      </c>
      <c r="K437" s="147" t="str">
        <f>IF($C437="","",VLOOKUP($C437,'Tracking List'!$A$5:$AL$883,K$4,FALSE))</f>
        <v/>
      </c>
      <c r="L437" s="168" t="str">
        <f>IF($C437="","",VLOOKUP($C437,'Tracking List'!$A$5:$AL$883,L$4,FALSE))</f>
        <v/>
      </c>
      <c r="M437" s="147" t="str">
        <f>IF($C437="","",VLOOKUP($C437,'Tracking List'!$A$5:$AL$883,M$4,FALSE))</f>
        <v/>
      </c>
      <c r="N437" s="148" t="str">
        <f>IF($C437="","",IF(VLOOKUP($C437,'Tracking List'!$A$5:$AL$883,N$3,FALSE)&gt;0,"Y",VLOOKUP($C437,'Tracking List'!$A$5:$AL$883,N$4,FALSE)))</f>
        <v/>
      </c>
      <c r="O437" s="148" t="str">
        <f>IF($C437="","",IF(VLOOKUP($C437,'Tracking List'!$A$5:$AL$883,O$3,FALSE)&gt;0,"Y",VLOOKUP($C437,'Tracking List'!$A$5:$AL$883,O$4,FALSE)))</f>
        <v/>
      </c>
      <c r="P437" s="147" t="str">
        <f>IF($C437="","",IF(VLOOKUP($C437,'Tracking List'!$A$5:$AL$883,P$4,FALSE)&gt;0,"Y",""))</f>
        <v/>
      </c>
      <c r="Q437" s="149"/>
      <c r="R437" s="166" t="str">
        <f>IF($C437="","",VLOOKUP($C437,'Tracking List'!$A$5:$AL$883,R$4,FALSE))</f>
        <v/>
      </c>
    </row>
    <row r="438" spans="3:18">
      <c r="C438" s="146"/>
      <c r="D438" s="147" t="str">
        <f>IF($C438="","",VLOOKUP($C438,'Tracking List'!$A$5:$AL$883,D$4,FALSE))</f>
        <v/>
      </c>
      <c r="E438" s="147" t="str">
        <f>IF($C438="","",VLOOKUP($C438,'Tracking List'!$A$5:$AL$883,E$4,FALSE))</f>
        <v/>
      </c>
      <c r="F438" s="147" t="str">
        <f>IF($C438="","",VLOOKUP($C438,'Tracking List'!$A$5:$AL$883,F$4,FALSE))</f>
        <v/>
      </c>
      <c r="G438" s="147" t="str">
        <f>IF($C438="","",VLOOKUP($C438,'Tracking List'!$A$5:$AL$883,G$4,FALSE))</f>
        <v/>
      </c>
      <c r="H438" s="147" t="str">
        <f>IF($C438="","",VLOOKUP($C438,'Tracking List'!$A$5:$AL$883,H$4,FALSE))</f>
        <v/>
      </c>
      <c r="I438" s="147" t="str">
        <f>IF($C438="","",VLOOKUP($C438,'Tracking List'!$A$5:$AL$883,I$4,FALSE))</f>
        <v/>
      </c>
      <c r="J438" s="147" t="str">
        <f>IF($C438="","",VLOOKUP($C438,'Tracking List'!$A$5:$AL$883,J$4,FALSE))</f>
        <v/>
      </c>
      <c r="K438" s="147" t="str">
        <f>IF($C438="","",VLOOKUP($C438,'Tracking List'!$A$5:$AL$883,K$4,FALSE))</f>
        <v/>
      </c>
      <c r="L438" s="168" t="str">
        <f>IF($C438="","",VLOOKUP($C438,'Tracking List'!$A$5:$AL$883,L$4,FALSE))</f>
        <v/>
      </c>
      <c r="M438" s="147" t="str">
        <f>IF($C438="","",VLOOKUP($C438,'Tracking List'!$A$5:$AL$883,M$4,FALSE))</f>
        <v/>
      </c>
      <c r="N438" s="148" t="str">
        <f>IF($C438="","",IF(VLOOKUP($C438,'Tracking List'!$A$5:$AL$883,N$3,FALSE)&gt;0,"Y",VLOOKUP($C438,'Tracking List'!$A$5:$AL$883,N$4,FALSE)))</f>
        <v/>
      </c>
      <c r="O438" s="148" t="str">
        <f>IF($C438="","",IF(VLOOKUP($C438,'Tracking List'!$A$5:$AL$883,O$3,FALSE)&gt;0,"Y",VLOOKUP($C438,'Tracking List'!$A$5:$AL$883,O$4,FALSE)))</f>
        <v/>
      </c>
      <c r="P438" s="147" t="str">
        <f>IF($C438="","",IF(VLOOKUP($C438,'Tracking List'!$A$5:$AL$883,P$4,FALSE)&gt;0,"Y",""))</f>
        <v/>
      </c>
      <c r="Q438" s="149"/>
      <c r="R438" s="166" t="str">
        <f>IF($C438="","",VLOOKUP($C438,'Tracking List'!$A$5:$AL$883,R$4,FALSE))</f>
        <v/>
      </c>
    </row>
    <row r="439" spans="3:18">
      <c r="C439" s="146"/>
      <c r="D439" s="147" t="str">
        <f>IF($C439="","",VLOOKUP($C439,'Tracking List'!$A$5:$AL$883,D$4,FALSE))</f>
        <v/>
      </c>
      <c r="E439" s="147" t="str">
        <f>IF($C439="","",VLOOKUP($C439,'Tracking List'!$A$5:$AL$883,E$4,FALSE))</f>
        <v/>
      </c>
      <c r="F439" s="147" t="str">
        <f>IF($C439="","",VLOOKUP($C439,'Tracking List'!$A$5:$AL$883,F$4,FALSE))</f>
        <v/>
      </c>
      <c r="G439" s="147" t="str">
        <f>IF($C439="","",VLOOKUP($C439,'Tracking List'!$A$5:$AL$883,G$4,FALSE))</f>
        <v/>
      </c>
      <c r="H439" s="147" t="str">
        <f>IF($C439="","",VLOOKUP($C439,'Tracking List'!$A$5:$AL$883,H$4,FALSE))</f>
        <v/>
      </c>
      <c r="I439" s="147" t="str">
        <f>IF($C439="","",VLOOKUP($C439,'Tracking List'!$A$5:$AL$883,I$4,FALSE))</f>
        <v/>
      </c>
      <c r="J439" s="147" t="str">
        <f>IF($C439="","",VLOOKUP($C439,'Tracking List'!$A$5:$AL$883,J$4,FALSE))</f>
        <v/>
      </c>
      <c r="K439" s="147" t="str">
        <f>IF($C439="","",VLOOKUP($C439,'Tracking List'!$A$5:$AL$883,K$4,FALSE))</f>
        <v/>
      </c>
      <c r="L439" s="168" t="str">
        <f>IF($C439="","",VLOOKUP($C439,'Tracking List'!$A$5:$AL$883,L$4,FALSE))</f>
        <v/>
      </c>
      <c r="M439" s="147" t="str">
        <f>IF($C439="","",VLOOKUP($C439,'Tracking List'!$A$5:$AL$883,M$4,FALSE))</f>
        <v/>
      </c>
      <c r="N439" s="148" t="str">
        <f>IF($C439="","",IF(VLOOKUP($C439,'Tracking List'!$A$5:$AL$883,N$3,FALSE)&gt;0,"Y",VLOOKUP($C439,'Tracking List'!$A$5:$AL$883,N$4,FALSE)))</f>
        <v/>
      </c>
      <c r="O439" s="148" t="str">
        <f>IF($C439="","",IF(VLOOKUP($C439,'Tracking List'!$A$5:$AL$883,O$3,FALSE)&gt;0,"Y",VLOOKUP($C439,'Tracking List'!$A$5:$AL$883,O$4,FALSE)))</f>
        <v/>
      </c>
      <c r="P439" s="147" t="str">
        <f>IF($C439="","",IF(VLOOKUP($C439,'Tracking List'!$A$5:$AL$883,P$4,FALSE)&gt;0,"Y",""))</f>
        <v/>
      </c>
      <c r="Q439" s="149"/>
      <c r="R439" s="166" t="str">
        <f>IF($C439="","",VLOOKUP($C439,'Tracking List'!$A$5:$AL$883,R$4,FALSE))</f>
        <v/>
      </c>
    </row>
    <row r="440" spans="3:18">
      <c r="C440" s="146"/>
      <c r="D440" s="147" t="str">
        <f>IF($C440="","",VLOOKUP($C440,'Tracking List'!$A$5:$AL$883,D$4,FALSE))</f>
        <v/>
      </c>
      <c r="E440" s="147" t="str">
        <f>IF($C440="","",VLOOKUP($C440,'Tracking List'!$A$5:$AL$883,E$4,FALSE))</f>
        <v/>
      </c>
      <c r="F440" s="147" t="str">
        <f>IF($C440="","",VLOOKUP($C440,'Tracking List'!$A$5:$AL$883,F$4,FALSE))</f>
        <v/>
      </c>
      <c r="G440" s="147" t="str">
        <f>IF($C440="","",VLOOKUP($C440,'Tracking List'!$A$5:$AL$883,G$4,FALSE))</f>
        <v/>
      </c>
      <c r="H440" s="147" t="str">
        <f>IF($C440="","",VLOOKUP($C440,'Tracking List'!$A$5:$AL$883,H$4,FALSE))</f>
        <v/>
      </c>
      <c r="I440" s="147" t="str">
        <f>IF($C440="","",VLOOKUP($C440,'Tracking List'!$A$5:$AL$883,I$4,FALSE))</f>
        <v/>
      </c>
      <c r="J440" s="147" t="str">
        <f>IF($C440="","",VLOOKUP($C440,'Tracking List'!$A$5:$AL$883,J$4,FALSE))</f>
        <v/>
      </c>
      <c r="K440" s="147" t="str">
        <f>IF($C440="","",VLOOKUP($C440,'Tracking List'!$A$5:$AL$883,K$4,FALSE))</f>
        <v/>
      </c>
      <c r="L440" s="168" t="str">
        <f>IF($C440="","",VLOOKUP($C440,'Tracking List'!$A$5:$AL$883,L$4,FALSE))</f>
        <v/>
      </c>
      <c r="M440" s="147" t="str">
        <f>IF($C440="","",VLOOKUP($C440,'Tracking List'!$A$5:$AL$883,M$4,FALSE))</f>
        <v/>
      </c>
      <c r="N440" s="148" t="str">
        <f>IF($C440="","",IF(VLOOKUP($C440,'Tracking List'!$A$5:$AL$883,N$3,FALSE)&gt;0,"Y",VLOOKUP($C440,'Tracking List'!$A$5:$AL$883,N$4,FALSE)))</f>
        <v/>
      </c>
      <c r="O440" s="148" t="str">
        <f>IF($C440="","",IF(VLOOKUP($C440,'Tracking List'!$A$5:$AL$883,O$3,FALSE)&gt;0,"Y",VLOOKUP($C440,'Tracking List'!$A$5:$AL$883,O$4,FALSE)))</f>
        <v/>
      </c>
      <c r="P440" s="147" t="str">
        <f>IF($C440="","",IF(VLOOKUP($C440,'Tracking List'!$A$5:$AL$883,P$4,FALSE)&gt;0,"Y",""))</f>
        <v/>
      </c>
      <c r="Q440" s="149"/>
      <c r="R440" s="166" t="str">
        <f>IF($C440="","",VLOOKUP($C440,'Tracking List'!$A$5:$AL$883,R$4,FALSE))</f>
        <v/>
      </c>
    </row>
    <row r="441" spans="3:18">
      <c r="C441" s="146"/>
      <c r="D441" s="147" t="str">
        <f>IF($C441="","",VLOOKUP($C441,'Tracking List'!$A$5:$AL$883,D$4,FALSE))</f>
        <v/>
      </c>
      <c r="E441" s="147" t="str">
        <f>IF($C441="","",VLOOKUP($C441,'Tracking List'!$A$5:$AL$883,E$4,FALSE))</f>
        <v/>
      </c>
      <c r="F441" s="147" t="str">
        <f>IF($C441="","",VLOOKUP($C441,'Tracking List'!$A$5:$AL$883,F$4,FALSE))</f>
        <v/>
      </c>
      <c r="G441" s="147" t="str">
        <f>IF($C441="","",VLOOKUP($C441,'Tracking List'!$A$5:$AL$883,G$4,FALSE))</f>
        <v/>
      </c>
      <c r="H441" s="147" t="str">
        <f>IF($C441="","",VLOOKUP($C441,'Tracking List'!$A$5:$AL$883,H$4,FALSE))</f>
        <v/>
      </c>
      <c r="I441" s="147" t="str">
        <f>IF($C441="","",VLOOKUP($C441,'Tracking List'!$A$5:$AL$883,I$4,FALSE))</f>
        <v/>
      </c>
      <c r="J441" s="147" t="str">
        <f>IF($C441="","",VLOOKUP($C441,'Tracking List'!$A$5:$AL$883,J$4,FALSE))</f>
        <v/>
      </c>
      <c r="K441" s="147" t="str">
        <f>IF($C441="","",VLOOKUP($C441,'Tracking List'!$A$5:$AL$883,K$4,FALSE))</f>
        <v/>
      </c>
      <c r="L441" s="168" t="str">
        <f>IF($C441="","",VLOOKUP($C441,'Tracking List'!$A$5:$AL$883,L$4,FALSE))</f>
        <v/>
      </c>
      <c r="M441" s="147" t="str">
        <f>IF($C441="","",VLOOKUP($C441,'Tracking List'!$A$5:$AL$883,M$4,FALSE))</f>
        <v/>
      </c>
      <c r="N441" s="148" t="str">
        <f>IF($C441="","",IF(VLOOKUP($C441,'Tracking List'!$A$5:$AL$883,N$3,FALSE)&gt;0,"Y",VLOOKUP($C441,'Tracking List'!$A$5:$AL$883,N$4,FALSE)))</f>
        <v/>
      </c>
      <c r="O441" s="148" t="str">
        <f>IF($C441="","",IF(VLOOKUP($C441,'Tracking List'!$A$5:$AL$883,O$3,FALSE)&gt;0,"Y",VLOOKUP($C441,'Tracking List'!$A$5:$AL$883,O$4,FALSE)))</f>
        <v/>
      </c>
      <c r="P441" s="147" t="str">
        <f>IF($C441="","",IF(VLOOKUP($C441,'Tracking List'!$A$5:$AL$883,P$4,FALSE)&gt;0,"Y",""))</f>
        <v/>
      </c>
      <c r="Q441" s="149"/>
      <c r="R441" s="166" t="str">
        <f>IF($C441="","",VLOOKUP($C441,'Tracking List'!$A$5:$AL$883,R$4,FALSE))</f>
        <v/>
      </c>
    </row>
    <row r="442" spans="3:18">
      <c r="C442" s="146"/>
      <c r="D442" s="147" t="str">
        <f>IF($C442="","",VLOOKUP($C442,'Tracking List'!$A$5:$AL$883,D$4,FALSE))</f>
        <v/>
      </c>
      <c r="E442" s="147" t="str">
        <f>IF($C442="","",VLOOKUP($C442,'Tracking List'!$A$5:$AL$883,E$4,FALSE))</f>
        <v/>
      </c>
      <c r="F442" s="147" t="str">
        <f>IF($C442="","",VLOOKUP($C442,'Tracking List'!$A$5:$AL$883,F$4,FALSE))</f>
        <v/>
      </c>
      <c r="G442" s="147" t="str">
        <f>IF($C442="","",VLOOKUP($C442,'Tracking List'!$A$5:$AL$883,G$4,FALSE))</f>
        <v/>
      </c>
      <c r="H442" s="147" t="str">
        <f>IF($C442="","",VLOOKUP($C442,'Tracking List'!$A$5:$AL$883,H$4,FALSE))</f>
        <v/>
      </c>
      <c r="I442" s="147" t="str">
        <f>IF($C442="","",VLOOKUP($C442,'Tracking List'!$A$5:$AL$883,I$4,FALSE))</f>
        <v/>
      </c>
      <c r="J442" s="147" t="str">
        <f>IF($C442="","",VLOOKUP($C442,'Tracking List'!$A$5:$AL$883,J$4,FALSE))</f>
        <v/>
      </c>
      <c r="K442" s="147" t="str">
        <f>IF($C442="","",VLOOKUP($C442,'Tracking List'!$A$5:$AL$883,K$4,FALSE))</f>
        <v/>
      </c>
      <c r="L442" s="168" t="str">
        <f>IF($C442="","",VLOOKUP($C442,'Tracking List'!$A$5:$AL$883,L$4,FALSE))</f>
        <v/>
      </c>
      <c r="M442" s="147" t="str">
        <f>IF($C442="","",VLOOKUP($C442,'Tracking List'!$A$5:$AL$883,M$4,FALSE))</f>
        <v/>
      </c>
      <c r="N442" s="148" t="str">
        <f>IF($C442="","",IF(VLOOKUP($C442,'Tracking List'!$A$5:$AL$883,N$3,FALSE)&gt;0,"Y",VLOOKUP($C442,'Tracking List'!$A$5:$AL$883,N$4,FALSE)))</f>
        <v/>
      </c>
      <c r="O442" s="148" t="str">
        <f>IF($C442="","",IF(VLOOKUP($C442,'Tracking List'!$A$5:$AL$883,O$3,FALSE)&gt;0,"Y",VLOOKUP($C442,'Tracking List'!$A$5:$AL$883,O$4,FALSE)))</f>
        <v/>
      </c>
      <c r="P442" s="147" t="str">
        <f>IF($C442="","",IF(VLOOKUP($C442,'Tracking List'!$A$5:$AL$883,P$4,FALSE)&gt;0,"Y",""))</f>
        <v/>
      </c>
      <c r="Q442" s="149"/>
      <c r="R442" s="166" t="str">
        <f>IF($C442="","",VLOOKUP($C442,'Tracking List'!$A$5:$AL$883,R$4,FALSE))</f>
        <v/>
      </c>
    </row>
    <row r="443" spans="3:18">
      <c r="C443" s="146"/>
      <c r="D443" s="147" t="str">
        <f>IF($C443="","",VLOOKUP($C443,'Tracking List'!$A$5:$AL$883,D$4,FALSE))</f>
        <v/>
      </c>
      <c r="E443" s="147" t="str">
        <f>IF($C443="","",VLOOKUP($C443,'Tracking List'!$A$5:$AL$883,E$4,FALSE))</f>
        <v/>
      </c>
      <c r="F443" s="147" t="str">
        <f>IF($C443="","",VLOOKUP($C443,'Tracking List'!$A$5:$AL$883,F$4,FALSE))</f>
        <v/>
      </c>
      <c r="G443" s="147" t="str">
        <f>IF($C443="","",VLOOKUP($C443,'Tracking List'!$A$5:$AL$883,G$4,FALSE))</f>
        <v/>
      </c>
      <c r="H443" s="147" t="str">
        <f>IF($C443="","",VLOOKUP($C443,'Tracking List'!$A$5:$AL$883,H$4,FALSE))</f>
        <v/>
      </c>
      <c r="I443" s="147" t="str">
        <f>IF($C443="","",VLOOKUP($C443,'Tracking List'!$A$5:$AL$883,I$4,FALSE))</f>
        <v/>
      </c>
      <c r="J443" s="147" t="str">
        <f>IF($C443="","",VLOOKUP($C443,'Tracking List'!$A$5:$AL$883,J$4,FALSE))</f>
        <v/>
      </c>
      <c r="K443" s="147" t="str">
        <f>IF($C443="","",VLOOKUP($C443,'Tracking List'!$A$5:$AL$883,K$4,FALSE))</f>
        <v/>
      </c>
      <c r="L443" s="168" t="str">
        <f>IF($C443="","",VLOOKUP($C443,'Tracking List'!$A$5:$AL$883,L$4,FALSE))</f>
        <v/>
      </c>
      <c r="M443" s="147" t="str">
        <f>IF($C443="","",VLOOKUP($C443,'Tracking List'!$A$5:$AL$883,M$4,FALSE))</f>
        <v/>
      </c>
      <c r="N443" s="148" t="str">
        <f>IF($C443="","",IF(VLOOKUP($C443,'Tracking List'!$A$5:$AL$883,N$3,FALSE)&gt;0,"Y",VLOOKUP($C443,'Tracking List'!$A$5:$AL$883,N$4,FALSE)))</f>
        <v/>
      </c>
      <c r="O443" s="148" t="str">
        <f>IF($C443="","",IF(VLOOKUP($C443,'Tracking List'!$A$5:$AL$883,O$3,FALSE)&gt;0,"Y",VLOOKUP($C443,'Tracking List'!$A$5:$AL$883,O$4,FALSE)))</f>
        <v/>
      </c>
      <c r="P443" s="147" t="str">
        <f>IF($C443="","",IF(VLOOKUP($C443,'Tracking List'!$A$5:$AL$883,P$4,FALSE)&gt;0,"Y",""))</f>
        <v/>
      </c>
      <c r="Q443" s="149"/>
      <c r="R443" s="166" t="str">
        <f>IF($C443="","",VLOOKUP($C443,'Tracking List'!$A$5:$AL$883,R$4,FALSE))</f>
        <v/>
      </c>
    </row>
    <row r="444" spans="3:18">
      <c r="C444" s="146"/>
      <c r="D444" s="147" t="str">
        <f>IF($C444="","",VLOOKUP($C444,'Tracking List'!$A$5:$AL$883,D$4,FALSE))</f>
        <v/>
      </c>
      <c r="E444" s="147" t="str">
        <f>IF($C444="","",VLOOKUP($C444,'Tracking List'!$A$5:$AL$883,E$4,FALSE))</f>
        <v/>
      </c>
      <c r="F444" s="147" t="str">
        <f>IF($C444="","",VLOOKUP($C444,'Tracking List'!$A$5:$AL$883,F$4,FALSE))</f>
        <v/>
      </c>
      <c r="G444" s="147" t="str">
        <f>IF($C444="","",VLOOKUP($C444,'Tracking List'!$A$5:$AL$883,G$4,FALSE))</f>
        <v/>
      </c>
      <c r="H444" s="147" t="str">
        <f>IF($C444="","",VLOOKUP($C444,'Tracking List'!$A$5:$AL$883,H$4,FALSE))</f>
        <v/>
      </c>
      <c r="I444" s="147" t="str">
        <f>IF($C444="","",VLOOKUP($C444,'Tracking List'!$A$5:$AL$883,I$4,FALSE))</f>
        <v/>
      </c>
      <c r="J444" s="147" t="str">
        <f>IF($C444="","",VLOOKUP($C444,'Tracking List'!$A$5:$AL$883,J$4,FALSE))</f>
        <v/>
      </c>
      <c r="K444" s="147" t="str">
        <f>IF($C444="","",VLOOKUP($C444,'Tracking List'!$A$5:$AL$883,K$4,FALSE))</f>
        <v/>
      </c>
      <c r="L444" s="168" t="str">
        <f>IF($C444="","",VLOOKUP($C444,'Tracking List'!$A$5:$AL$883,L$4,FALSE))</f>
        <v/>
      </c>
      <c r="M444" s="147" t="str">
        <f>IF($C444="","",VLOOKUP($C444,'Tracking List'!$A$5:$AL$883,M$4,FALSE))</f>
        <v/>
      </c>
      <c r="N444" s="148" t="str">
        <f>IF($C444="","",IF(VLOOKUP($C444,'Tracking List'!$A$5:$AL$883,N$3,FALSE)&gt;0,"Y",VLOOKUP($C444,'Tracking List'!$A$5:$AL$883,N$4,FALSE)))</f>
        <v/>
      </c>
      <c r="O444" s="148" t="str">
        <f>IF($C444="","",IF(VLOOKUP($C444,'Tracking List'!$A$5:$AL$883,O$3,FALSE)&gt;0,"Y",VLOOKUP($C444,'Tracking List'!$A$5:$AL$883,O$4,FALSE)))</f>
        <v/>
      </c>
      <c r="P444" s="147" t="str">
        <f>IF($C444="","",IF(VLOOKUP($C444,'Tracking List'!$A$5:$AL$883,P$4,FALSE)&gt;0,"Y",""))</f>
        <v/>
      </c>
      <c r="Q444" s="149"/>
      <c r="R444" s="166" t="str">
        <f>IF($C444="","",VLOOKUP($C444,'Tracking List'!$A$5:$AL$883,R$4,FALSE))</f>
        <v/>
      </c>
    </row>
    <row r="445" spans="3:18">
      <c r="C445" s="146"/>
      <c r="D445" s="147" t="str">
        <f>IF($C445="","",VLOOKUP($C445,'Tracking List'!$A$5:$AL$883,D$4,FALSE))</f>
        <v/>
      </c>
      <c r="E445" s="147" t="str">
        <f>IF($C445="","",VLOOKUP($C445,'Tracking List'!$A$5:$AL$883,E$4,FALSE))</f>
        <v/>
      </c>
      <c r="F445" s="147" t="str">
        <f>IF($C445="","",VLOOKUP($C445,'Tracking List'!$A$5:$AL$883,F$4,FALSE))</f>
        <v/>
      </c>
      <c r="G445" s="147" t="str">
        <f>IF($C445="","",VLOOKUP($C445,'Tracking List'!$A$5:$AL$883,G$4,FALSE))</f>
        <v/>
      </c>
      <c r="H445" s="147" t="str">
        <f>IF($C445="","",VLOOKUP($C445,'Tracking List'!$A$5:$AL$883,H$4,FALSE))</f>
        <v/>
      </c>
      <c r="I445" s="147" t="str">
        <f>IF($C445="","",VLOOKUP($C445,'Tracking List'!$A$5:$AL$883,I$4,FALSE))</f>
        <v/>
      </c>
      <c r="J445" s="147" t="str">
        <f>IF($C445="","",VLOOKUP($C445,'Tracking List'!$A$5:$AL$883,J$4,FALSE))</f>
        <v/>
      </c>
      <c r="K445" s="147" t="str">
        <f>IF($C445="","",VLOOKUP($C445,'Tracking List'!$A$5:$AL$883,K$4,FALSE))</f>
        <v/>
      </c>
      <c r="L445" s="168" t="str">
        <f>IF($C445="","",VLOOKUP($C445,'Tracking List'!$A$5:$AL$883,L$4,FALSE))</f>
        <v/>
      </c>
      <c r="M445" s="147" t="str">
        <f>IF($C445="","",VLOOKUP($C445,'Tracking List'!$A$5:$AL$883,M$4,FALSE))</f>
        <v/>
      </c>
      <c r="N445" s="148" t="str">
        <f>IF($C445="","",IF(VLOOKUP($C445,'Tracking List'!$A$5:$AL$883,N$3,FALSE)&gt;0,"Y",VLOOKUP($C445,'Tracking List'!$A$5:$AL$883,N$4,FALSE)))</f>
        <v/>
      </c>
      <c r="O445" s="148" t="str">
        <f>IF($C445="","",IF(VLOOKUP($C445,'Tracking List'!$A$5:$AL$883,O$3,FALSE)&gt;0,"Y",VLOOKUP($C445,'Tracking List'!$A$5:$AL$883,O$4,FALSE)))</f>
        <v/>
      </c>
      <c r="P445" s="147" t="str">
        <f>IF($C445="","",IF(VLOOKUP($C445,'Tracking List'!$A$5:$AL$883,P$4,FALSE)&gt;0,"Y",""))</f>
        <v/>
      </c>
      <c r="Q445" s="149"/>
      <c r="R445" s="166" t="str">
        <f>IF($C445="","",VLOOKUP($C445,'Tracking List'!$A$5:$AL$883,R$4,FALSE))</f>
        <v/>
      </c>
    </row>
    <row r="446" spans="3:18">
      <c r="C446" s="146"/>
      <c r="D446" s="147" t="str">
        <f>IF($C446="","",VLOOKUP($C446,'Tracking List'!$A$5:$AL$883,D$4,FALSE))</f>
        <v/>
      </c>
      <c r="E446" s="147" t="str">
        <f>IF($C446="","",VLOOKUP($C446,'Tracking List'!$A$5:$AL$883,E$4,FALSE))</f>
        <v/>
      </c>
      <c r="F446" s="147" t="str">
        <f>IF($C446="","",VLOOKUP($C446,'Tracking List'!$A$5:$AL$883,F$4,FALSE))</f>
        <v/>
      </c>
      <c r="G446" s="147" t="str">
        <f>IF($C446="","",VLOOKUP($C446,'Tracking List'!$A$5:$AL$883,G$4,FALSE))</f>
        <v/>
      </c>
      <c r="H446" s="147" t="str">
        <f>IF($C446="","",VLOOKUP($C446,'Tracking List'!$A$5:$AL$883,H$4,FALSE))</f>
        <v/>
      </c>
      <c r="I446" s="147" t="str">
        <f>IF($C446="","",VLOOKUP($C446,'Tracking List'!$A$5:$AL$883,I$4,FALSE))</f>
        <v/>
      </c>
      <c r="J446" s="147" t="str">
        <f>IF($C446="","",VLOOKUP($C446,'Tracking List'!$A$5:$AL$883,J$4,FALSE))</f>
        <v/>
      </c>
      <c r="K446" s="147" t="str">
        <f>IF($C446="","",VLOOKUP($C446,'Tracking List'!$A$5:$AL$883,K$4,FALSE))</f>
        <v/>
      </c>
      <c r="L446" s="168" t="str">
        <f>IF($C446="","",VLOOKUP($C446,'Tracking List'!$A$5:$AL$883,L$4,FALSE))</f>
        <v/>
      </c>
      <c r="M446" s="147" t="str">
        <f>IF($C446="","",VLOOKUP($C446,'Tracking List'!$A$5:$AL$883,M$4,FALSE))</f>
        <v/>
      </c>
      <c r="N446" s="148" t="str">
        <f>IF($C446="","",IF(VLOOKUP($C446,'Tracking List'!$A$5:$AL$883,N$3,FALSE)&gt;0,"Y",VLOOKUP($C446,'Tracking List'!$A$5:$AL$883,N$4,FALSE)))</f>
        <v/>
      </c>
      <c r="O446" s="148" t="str">
        <f>IF($C446="","",IF(VLOOKUP($C446,'Tracking List'!$A$5:$AL$883,O$3,FALSE)&gt;0,"Y",VLOOKUP($C446,'Tracking List'!$A$5:$AL$883,O$4,FALSE)))</f>
        <v/>
      </c>
      <c r="P446" s="147" t="str">
        <f>IF($C446="","",IF(VLOOKUP($C446,'Tracking List'!$A$5:$AL$883,P$4,FALSE)&gt;0,"Y",""))</f>
        <v/>
      </c>
      <c r="Q446" s="149"/>
      <c r="R446" s="166" t="str">
        <f>IF($C446="","",VLOOKUP($C446,'Tracking List'!$A$5:$AL$883,R$4,FALSE))</f>
        <v/>
      </c>
    </row>
    <row r="447" spans="3:18">
      <c r="C447" s="146"/>
      <c r="D447" s="147" t="str">
        <f>IF($C447="","",VLOOKUP($C447,'Tracking List'!$A$5:$AL$883,D$4,FALSE))</f>
        <v/>
      </c>
      <c r="E447" s="147" t="str">
        <f>IF($C447="","",VLOOKUP($C447,'Tracking List'!$A$5:$AL$883,E$4,FALSE))</f>
        <v/>
      </c>
      <c r="F447" s="147" t="str">
        <f>IF($C447="","",VLOOKUP($C447,'Tracking List'!$A$5:$AL$883,F$4,FALSE))</f>
        <v/>
      </c>
      <c r="G447" s="147" t="str">
        <f>IF($C447="","",VLOOKUP($C447,'Tracking List'!$A$5:$AL$883,G$4,FALSE))</f>
        <v/>
      </c>
      <c r="H447" s="147" t="str">
        <f>IF($C447="","",VLOOKUP($C447,'Tracking List'!$A$5:$AL$883,H$4,FALSE))</f>
        <v/>
      </c>
      <c r="I447" s="147" t="str">
        <f>IF($C447="","",VLOOKUP($C447,'Tracking List'!$A$5:$AL$883,I$4,FALSE))</f>
        <v/>
      </c>
      <c r="J447" s="147" t="str">
        <f>IF($C447="","",VLOOKUP($C447,'Tracking List'!$A$5:$AL$883,J$4,FALSE))</f>
        <v/>
      </c>
      <c r="K447" s="147" t="str">
        <f>IF($C447="","",VLOOKUP($C447,'Tracking List'!$A$5:$AL$883,K$4,FALSE))</f>
        <v/>
      </c>
      <c r="L447" s="168" t="str">
        <f>IF($C447="","",VLOOKUP($C447,'Tracking List'!$A$5:$AL$883,L$4,FALSE))</f>
        <v/>
      </c>
      <c r="M447" s="147" t="str">
        <f>IF($C447="","",VLOOKUP($C447,'Tracking List'!$A$5:$AL$883,M$4,FALSE))</f>
        <v/>
      </c>
      <c r="N447" s="148" t="str">
        <f>IF($C447="","",IF(VLOOKUP($C447,'Tracking List'!$A$5:$AL$883,N$3,FALSE)&gt;0,"Y",VLOOKUP($C447,'Tracking List'!$A$5:$AL$883,N$4,FALSE)))</f>
        <v/>
      </c>
      <c r="O447" s="148" t="str">
        <f>IF($C447="","",IF(VLOOKUP($C447,'Tracking List'!$A$5:$AL$883,O$3,FALSE)&gt;0,"Y",VLOOKUP($C447,'Tracking List'!$A$5:$AL$883,O$4,FALSE)))</f>
        <v/>
      </c>
      <c r="P447" s="147" t="str">
        <f>IF($C447="","",IF(VLOOKUP($C447,'Tracking List'!$A$5:$AL$883,P$4,FALSE)&gt;0,"Y",""))</f>
        <v/>
      </c>
      <c r="Q447" s="149"/>
      <c r="R447" s="166" t="str">
        <f>IF($C447="","",VLOOKUP($C447,'Tracking List'!$A$5:$AL$883,R$4,FALSE))</f>
        <v/>
      </c>
    </row>
    <row r="448" spans="3:18">
      <c r="C448" s="146"/>
      <c r="D448" s="147" t="str">
        <f>IF($C448="","",VLOOKUP($C448,'Tracking List'!$A$5:$AL$883,D$4,FALSE))</f>
        <v/>
      </c>
      <c r="E448" s="147" t="str">
        <f>IF($C448="","",VLOOKUP($C448,'Tracking List'!$A$5:$AL$883,E$4,FALSE))</f>
        <v/>
      </c>
      <c r="F448" s="147" t="str">
        <f>IF($C448="","",VLOOKUP($C448,'Tracking List'!$A$5:$AL$883,F$4,FALSE))</f>
        <v/>
      </c>
      <c r="G448" s="147" t="str">
        <f>IF($C448="","",VLOOKUP($C448,'Tracking List'!$A$5:$AL$883,G$4,FALSE))</f>
        <v/>
      </c>
      <c r="H448" s="147" t="str">
        <f>IF($C448="","",VLOOKUP($C448,'Tracking List'!$A$5:$AL$883,H$4,FALSE))</f>
        <v/>
      </c>
      <c r="I448" s="147" t="str">
        <f>IF($C448="","",VLOOKUP($C448,'Tracking List'!$A$5:$AL$883,I$4,FALSE))</f>
        <v/>
      </c>
      <c r="J448" s="147" t="str">
        <f>IF($C448="","",VLOOKUP($C448,'Tracking List'!$A$5:$AL$883,J$4,FALSE))</f>
        <v/>
      </c>
      <c r="K448" s="147" t="str">
        <f>IF($C448="","",VLOOKUP($C448,'Tracking List'!$A$5:$AL$883,K$4,FALSE))</f>
        <v/>
      </c>
      <c r="L448" s="168" t="str">
        <f>IF($C448="","",VLOOKUP($C448,'Tracking List'!$A$5:$AL$883,L$4,FALSE))</f>
        <v/>
      </c>
      <c r="M448" s="147" t="str">
        <f>IF($C448="","",VLOOKUP($C448,'Tracking List'!$A$5:$AL$883,M$4,FALSE))</f>
        <v/>
      </c>
      <c r="N448" s="148" t="str">
        <f>IF($C448="","",IF(VLOOKUP($C448,'Tracking List'!$A$5:$AL$883,N$3,FALSE)&gt;0,"Y",VLOOKUP($C448,'Tracking List'!$A$5:$AL$883,N$4,FALSE)))</f>
        <v/>
      </c>
      <c r="O448" s="148" t="str">
        <f>IF($C448="","",IF(VLOOKUP($C448,'Tracking List'!$A$5:$AL$883,O$3,FALSE)&gt;0,"Y",VLOOKUP($C448,'Tracking List'!$A$5:$AL$883,O$4,FALSE)))</f>
        <v/>
      </c>
      <c r="P448" s="147" t="str">
        <f>IF($C448="","",IF(VLOOKUP($C448,'Tracking List'!$A$5:$AL$883,P$4,FALSE)&gt;0,"Y",""))</f>
        <v/>
      </c>
      <c r="Q448" s="149"/>
      <c r="R448" s="166" t="str">
        <f>IF($C448="","",VLOOKUP($C448,'Tracking List'!$A$5:$AL$883,R$4,FALSE))</f>
        <v/>
      </c>
    </row>
    <row r="449" spans="3:18">
      <c r="C449" s="146"/>
      <c r="D449" s="147" t="str">
        <f>IF($C449="","",VLOOKUP($C449,'Tracking List'!$A$5:$AL$883,D$4,FALSE))</f>
        <v/>
      </c>
      <c r="E449" s="147" t="str">
        <f>IF($C449="","",VLOOKUP($C449,'Tracking List'!$A$5:$AL$883,E$4,FALSE))</f>
        <v/>
      </c>
      <c r="F449" s="147" t="str">
        <f>IF($C449="","",VLOOKUP($C449,'Tracking List'!$A$5:$AL$883,F$4,FALSE))</f>
        <v/>
      </c>
      <c r="G449" s="147" t="str">
        <f>IF($C449="","",VLOOKUP($C449,'Tracking List'!$A$5:$AL$883,G$4,FALSE))</f>
        <v/>
      </c>
      <c r="H449" s="147" t="str">
        <f>IF($C449="","",VLOOKUP($C449,'Tracking List'!$A$5:$AL$883,H$4,FALSE))</f>
        <v/>
      </c>
      <c r="I449" s="147" t="str">
        <f>IF($C449="","",VLOOKUP($C449,'Tracking List'!$A$5:$AL$883,I$4,FALSE))</f>
        <v/>
      </c>
      <c r="J449" s="147" t="str">
        <f>IF($C449="","",VLOOKUP($C449,'Tracking List'!$A$5:$AL$883,J$4,FALSE))</f>
        <v/>
      </c>
      <c r="K449" s="147" t="str">
        <f>IF($C449="","",VLOOKUP($C449,'Tracking List'!$A$5:$AL$883,K$4,FALSE))</f>
        <v/>
      </c>
      <c r="L449" s="168" t="str">
        <f>IF($C449="","",VLOOKUP($C449,'Tracking List'!$A$5:$AL$883,L$4,FALSE))</f>
        <v/>
      </c>
      <c r="M449" s="147" t="str">
        <f>IF($C449="","",VLOOKUP($C449,'Tracking List'!$A$5:$AL$883,M$4,FALSE))</f>
        <v/>
      </c>
      <c r="N449" s="148" t="str">
        <f>IF($C449="","",IF(VLOOKUP($C449,'Tracking List'!$A$5:$AL$883,N$3,FALSE)&gt;0,"Y",VLOOKUP($C449,'Tracking List'!$A$5:$AL$883,N$4,FALSE)))</f>
        <v/>
      </c>
      <c r="O449" s="148" t="str">
        <f>IF($C449="","",IF(VLOOKUP($C449,'Tracking List'!$A$5:$AL$883,O$3,FALSE)&gt;0,"Y",VLOOKUP($C449,'Tracking List'!$A$5:$AL$883,O$4,FALSE)))</f>
        <v/>
      </c>
      <c r="P449" s="147" t="str">
        <f>IF($C449="","",IF(VLOOKUP($C449,'Tracking List'!$A$5:$AL$883,P$4,FALSE)&gt;0,"Y",""))</f>
        <v/>
      </c>
      <c r="Q449" s="149"/>
      <c r="R449" s="166" t="str">
        <f>IF($C449="","",VLOOKUP($C449,'Tracking List'!$A$5:$AL$883,R$4,FALSE))</f>
        <v/>
      </c>
    </row>
    <row r="450" spans="3:18">
      <c r="C450" s="146"/>
      <c r="D450" s="147" t="str">
        <f>IF($C450="","",VLOOKUP($C450,'Tracking List'!$A$5:$AL$883,D$4,FALSE))</f>
        <v/>
      </c>
      <c r="E450" s="147" t="str">
        <f>IF($C450="","",VLOOKUP($C450,'Tracking List'!$A$5:$AL$883,E$4,FALSE))</f>
        <v/>
      </c>
      <c r="F450" s="147" t="str">
        <f>IF($C450="","",VLOOKUP($C450,'Tracking List'!$A$5:$AL$883,F$4,FALSE))</f>
        <v/>
      </c>
      <c r="G450" s="147" t="str">
        <f>IF($C450="","",VLOOKUP($C450,'Tracking List'!$A$5:$AL$883,G$4,FALSE))</f>
        <v/>
      </c>
      <c r="H450" s="147" t="str">
        <f>IF($C450="","",VLOOKUP($C450,'Tracking List'!$A$5:$AL$883,H$4,FALSE))</f>
        <v/>
      </c>
      <c r="I450" s="147" t="str">
        <f>IF($C450="","",VLOOKUP($C450,'Tracking List'!$A$5:$AL$883,I$4,FALSE))</f>
        <v/>
      </c>
      <c r="J450" s="147" t="str">
        <f>IF($C450="","",VLOOKUP($C450,'Tracking List'!$A$5:$AL$883,J$4,FALSE))</f>
        <v/>
      </c>
      <c r="K450" s="147" t="str">
        <f>IF($C450="","",VLOOKUP($C450,'Tracking List'!$A$5:$AL$883,K$4,FALSE))</f>
        <v/>
      </c>
      <c r="L450" s="168" t="str">
        <f>IF($C450="","",VLOOKUP($C450,'Tracking List'!$A$5:$AL$883,L$4,FALSE))</f>
        <v/>
      </c>
      <c r="M450" s="147" t="str">
        <f>IF($C450="","",VLOOKUP($C450,'Tracking List'!$A$5:$AL$883,M$4,FALSE))</f>
        <v/>
      </c>
      <c r="N450" s="148" t="str">
        <f>IF($C450="","",IF(VLOOKUP($C450,'Tracking List'!$A$5:$AL$883,N$3,FALSE)&gt;0,"Y",VLOOKUP($C450,'Tracking List'!$A$5:$AL$883,N$4,FALSE)))</f>
        <v/>
      </c>
      <c r="O450" s="148" t="str">
        <f>IF($C450="","",IF(VLOOKUP($C450,'Tracking List'!$A$5:$AL$883,O$3,FALSE)&gt;0,"Y",VLOOKUP($C450,'Tracking List'!$A$5:$AL$883,O$4,FALSE)))</f>
        <v/>
      </c>
      <c r="P450" s="147" t="str">
        <f>IF($C450="","",IF(VLOOKUP($C450,'Tracking List'!$A$5:$AL$883,P$4,FALSE)&gt;0,"Y",""))</f>
        <v/>
      </c>
      <c r="Q450" s="149"/>
      <c r="R450" s="166" t="str">
        <f>IF($C450="","",VLOOKUP($C450,'Tracking List'!$A$5:$AL$883,R$4,FALSE))</f>
        <v/>
      </c>
    </row>
    <row r="451" spans="3:18">
      <c r="C451" s="146"/>
      <c r="D451" s="147" t="str">
        <f>IF($C451="","",VLOOKUP($C451,'Tracking List'!$A$5:$AL$883,D$4,FALSE))</f>
        <v/>
      </c>
      <c r="E451" s="147" t="str">
        <f>IF($C451="","",VLOOKUP($C451,'Tracking List'!$A$5:$AL$883,E$4,FALSE))</f>
        <v/>
      </c>
      <c r="F451" s="147" t="str">
        <f>IF($C451="","",VLOOKUP($C451,'Tracking List'!$A$5:$AL$883,F$4,FALSE))</f>
        <v/>
      </c>
      <c r="G451" s="147" t="str">
        <f>IF($C451="","",VLOOKUP($C451,'Tracking List'!$A$5:$AL$883,G$4,FALSE))</f>
        <v/>
      </c>
      <c r="H451" s="147" t="str">
        <f>IF($C451="","",VLOOKUP($C451,'Tracking List'!$A$5:$AL$883,H$4,FALSE))</f>
        <v/>
      </c>
      <c r="I451" s="147" t="str">
        <f>IF($C451="","",VLOOKUP($C451,'Tracking List'!$A$5:$AL$883,I$4,FALSE))</f>
        <v/>
      </c>
      <c r="J451" s="147" t="str">
        <f>IF($C451="","",VLOOKUP($C451,'Tracking List'!$A$5:$AL$883,J$4,FALSE))</f>
        <v/>
      </c>
      <c r="K451" s="147" t="str">
        <f>IF($C451="","",VLOOKUP($C451,'Tracking List'!$A$5:$AL$883,K$4,FALSE))</f>
        <v/>
      </c>
      <c r="L451" s="168" t="str">
        <f>IF($C451="","",VLOOKUP($C451,'Tracking List'!$A$5:$AL$883,L$4,FALSE))</f>
        <v/>
      </c>
      <c r="M451" s="147" t="str">
        <f>IF($C451="","",VLOOKUP($C451,'Tracking List'!$A$5:$AL$883,M$4,FALSE))</f>
        <v/>
      </c>
      <c r="N451" s="148" t="str">
        <f>IF($C451="","",IF(VLOOKUP($C451,'Tracking List'!$A$5:$AL$883,N$3,FALSE)&gt;0,"Y",VLOOKUP($C451,'Tracking List'!$A$5:$AL$883,N$4,FALSE)))</f>
        <v/>
      </c>
      <c r="O451" s="148" t="str">
        <f>IF($C451="","",IF(VLOOKUP($C451,'Tracking List'!$A$5:$AL$883,O$3,FALSE)&gt;0,"Y",VLOOKUP($C451,'Tracking List'!$A$5:$AL$883,O$4,FALSE)))</f>
        <v/>
      </c>
      <c r="P451" s="147" t="str">
        <f>IF($C451="","",IF(VLOOKUP($C451,'Tracking List'!$A$5:$AL$883,P$4,FALSE)&gt;0,"Y",""))</f>
        <v/>
      </c>
      <c r="Q451" s="149"/>
      <c r="R451" s="166" t="str">
        <f>IF($C451="","",VLOOKUP($C451,'Tracking List'!$A$5:$AL$883,R$4,FALSE))</f>
        <v/>
      </c>
    </row>
    <row r="452" spans="3:18">
      <c r="C452" s="146"/>
      <c r="D452" s="147" t="str">
        <f>IF($C452="","",VLOOKUP($C452,'Tracking List'!$A$5:$AL$883,D$4,FALSE))</f>
        <v/>
      </c>
      <c r="E452" s="147" t="str">
        <f>IF($C452="","",VLOOKUP($C452,'Tracking List'!$A$5:$AL$883,E$4,FALSE))</f>
        <v/>
      </c>
      <c r="F452" s="147" t="str">
        <f>IF($C452="","",VLOOKUP($C452,'Tracking List'!$A$5:$AL$883,F$4,FALSE))</f>
        <v/>
      </c>
      <c r="G452" s="147" t="str">
        <f>IF($C452="","",VLOOKUP($C452,'Tracking List'!$A$5:$AL$883,G$4,FALSE))</f>
        <v/>
      </c>
      <c r="H452" s="147" t="str">
        <f>IF($C452="","",VLOOKUP($C452,'Tracking List'!$A$5:$AL$883,H$4,FALSE))</f>
        <v/>
      </c>
      <c r="I452" s="147" t="str">
        <f>IF($C452="","",VLOOKUP($C452,'Tracking List'!$A$5:$AL$883,I$4,FALSE))</f>
        <v/>
      </c>
      <c r="J452" s="147" t="str">
        <f>IF($C452="","",VLOOKUP($C452,'Tracking List'!$A$5:$AL$883,J$4,FALSE))</f>
        <v/>
      </c>
      <c r="K452" s="147" t="str">
        <f>IF($C452="","",VLOOKUP($C452,'Tracking List'!$A$5:$AL$883,K$4,FALSE))</f>
        <v/>
      </c>
      <c r="L452" s="168" t="str">
        <f>IF($C452="","",VLOOKUP($C452,'Tracking List'!$A$5:$AL$883,L$4,FALSE))</f>
        <v/>
      </c>
      <c r="M452" s="147" t="str">
        <f>IF($C452="","",VLOOKUP($C452,'Tracking List'!$A$5:$AL$883,M$4,FALSE))</f>
        <v/>
      </c>
      <c r="N452" s="148" t="str">
        <f>IF($C452="","",IF(VLOOKUP($C452,'Tracking List'!$A$5:$AL$883,N$3,FALSE)&gt;0,"Y",VLOOKUP($C452,'Tracking List'!$A$5:$AL$883,N$4,FALSE)))</f>
        <v/>
      </c>
      <c r="O452" s="148" t="str">
        <f>IF($C452="","",IF(VLOOKUP($C452,'Tracking List'!$A$5:$AL$883,O$3,FALSE)&gt;0,"Y",VLOOKUP($C452,'Tracking List'!$A$5:$AL$883,O$4,FALSE)))</f>
        <v/>
      </c>
      <c r="P452" s="147" t="str">
        <f>IF($C452="","",IF(VLOOKUP($C452,'Tracking List'!$A$5:$AL$883,P$4,FALSE)&gt;0,"Y",""))</f>
        <v/>
      </c>
      <c r="Q452" s="149"/>
      <c r="R452" s="166" t="str">
        <f>IF($C452="","",VLOOKUP($C452,'Tracking List'!$A$5:$AL$883,R$4,FALSE))</f>
        <v/>
      </c>
    </row>
    <row r="453" spans="3:18">
      <c r="C453" s="146"/>
      <c r="D453" s="147" t="str">
        <f>IF($C453="","",VLOOKUP($C453,'Tracking List'!$A$5:$AL$883,D$4,FALSE))</f>
        <v/>
      </c>
      <c r="E453" s="147" t="str">
        <f>IF($C453="","",VLOOKUP($C453,'Tracking List'!$A$5:$AL$883,E$4,FALSE))</f>
        <v/>
      </c>
      <c r="F453" s="147" t="str">
        <f>IF($C453="","",VLOOKUP($C453,'Tracking List'!$A$5:$AL$883,F$4,FALSE))</f>
        <v/>
      </c>
      <c r="G453" s="147" t="str">
        <f>IF($C453="","",VLOOKUP($C453,'Tracking List'!$A$5:$AL$883,G$4,FALSE))</f>
        <v/>
      </c>
      <c r="H453" s="147" t="str">
        <f>IF($C453="","",VLOOKUP($C453,'Tracking List'!$A$5:$AL$883,H$4,FALSE))</f>
        <v/>
      </c>
      <c r="I453" s="147" t="str">
        <f>IF($C453="","",VLOOKUP($C453,'Tracking List'!$A$5:$AL$883,I$4,FALSE))</f>
        <v/>
      </c>
      <c r="J453" s="147" t="str">
        <f>IF($C453="","",VLOOKUP($C453,'Tracking List'!$A$5:$AL$883,J$4,FALSE))</f>
        <v/>
      </c>
      <c r="K453" s="147" t="str">
        <f>IF($C453="","",VLOOKUP($C453,'Tracking List'!$A$5:$AL$883,K$4,FALSE))</f>
        <v/>
      </c>
      <c r="L453" s="168" t="str">
        <f>IF($C453="","",VLOOKUP($C453,'Tracking List'!$A$5:$AL$883,L$4,FALSE))</f>
        <v/>
      </c>
      <c r="M453" s="147" t="str">
        <f>IF($C453="","",VLOOKUP($C453,'Tracking List'!$A$5:$AL$883,M$4,FALSE))</f>
        <v/>
      </c>
      <c r="N453" s="148" t="str">
        <f>IF($C453="","",IF(VLOOKUP($C453,'Tracking List'!$A$5:$AL$883,N$3,FALSE)&gt;0,"Y",VLOOKUP($C453,'Tracking List'!$A$5:$AL$883,N$4,FALSE)))</f>
        <v/>
      </c>
      <c r="O453" s="148" t="str">
        <f>IF($C453="","",IF(VLOOKUP($C453,'Tracking List'!$A$5:$AL$883,O$3,FALSE)&gt;0,"Y",VLOOKUP($C453,'Tracking List'!$A$5:$AL$883,O$4,FALSE)))</f>
        <v/>
      </c>
      <c r="P453" s="147" t="str">
        <f>IF($C453="","",IF(VLOOKUP($C453,'Tracking List'!$A$5:$AL$883,P$4,FALSE)&gt;0,"Y",""))</f>
        <v/>
      </c>
      <c r="Q453" s="149"/>
      <c r="R453" s="166" t="str">
        <f>IF($C453="","",VLOOKUP($C453,'Tracking List'!$A$5:$AL$883,R$4,FALSE))</f>
        <v/>
      </c>
    </row>
    <row r="454" spans="3:18">
      <c r="C454" s="146"/>
      <c r="D454" s="147" t="str">
        <f>IF($C454="","",VLOOKUP($C454,'Tracking List'!$A$5:$AL$883,D$4,FALSE))</f>
        <v/>
      </c>
      <c r="E454" s="147" t="str">
        <f>IF($C454="","",VLOOKUP($C454,'Tracking List'!$A$5:$AL$883,E$4,FALSE))</f>
        <v/>
      </c>
      <c r="F454" s="147" t="str">
        <f>IF($C454="","",VLOOKUP($C454,'Tracking List'!$A$5:$AL$883,F$4,FALSE))</f>
        <v/>
      </c>
      <c r="G454" s="147" t="str">
        <f>IF($C454="","",VLOOKUP($C454,'Tracking List'!$A$5:$AL$883,G$4,FALSE))</f>
        <v/>
      </c>
      <c r="H454" s="147" t="str">
        <f>IF($C454="","",VLOOKUP($C454,'Tracking List'!$A$5:$AL$883,H$4,FALSE))</f>
        <v/>
      </c>
      <c r="I454" s="147" t="str">
        <f>IF($C454="","",VLOOKUP($C454,'Tracking List'!$A$5:$AL$883,I$4,FALSE))</f>
        <v/>
      </c>
      <c r="J454" s="147" t="str">
        <f>IF($C454="","",VLOOKUP($C454,'Tracking List'!$A$5:$AL$883,J$4,FALSE))</f>
        <v/>
      </c>
      <c r="K454" s="147" t="str">
        <f>IF($C454="","",VLOOKUP($C454,'Tracking List'!$A$5:$AL$883,K$4,FALSE))</f>
        <v/>
      </c>
      <c r="L454" s="168" t="str">
        <f>IF($C454="","",VLOOKUP($C454,'Tracking List'!$A$5:$AL$883,L$4,FALSE))</f>
        <v/>
      </c>
      <c r="M454" s="147" t="str">
        <f>IF($C454="","",VLOOKUP($C454,'Tracking List'!$A$5:$AL$883,M$4,FALSE))</f>
        <v/>
      </c>
      <c r="N454" s="148" t="str">
        <f>IF($C454="","",IF(VLOOKUP($C454,'Tracking List'!$A$5:$AL$883,N$3,FALSE)&gt;0,"Y",VLOOKUP($C454,'Tracking List'!$A$5:$AL$883,N$4,FALSE)))</f>
        <v/>
      </c>
      <c r="O454" s="148" t="str">
        <f>IF($C454="","",IF(VLOOKUP($C454,'Tracking List'!$A$5:$AL$883,O$3,FALSE)&gt;0,"Y",VLOOKUP($C454,'Tracking List'!$A$5:$AL$883,O$4,FALSE)))</f>
        <v/>
      </c>
      <c r="P454" s="147" t="str">
        <f>IF($C454="","",IF(VLOOKUP($C454,'Tracking List'!$A$5:$AL$883,P$4,FALSE)&gt;0,"Y",""))</f>
        <v/>
      </c>
      <c r="Q454" s="149"/>
      <c r="R454" s="166" t="str">
        <f>IF($C454="","",VLOOKUP($C454,'Tracking List'!$A$5:$AL$883,R$4,FALSE))</f>
        <v/>
      </c>
    </row>
    <row r="455" spans="3:18">
      <c r="C455" s="146"/>
      <c r="D455" s="147" t="str">
        <f>IF($C455="","",VLOOKUP($C455,'Tracking List'!$A$5:$AL$883,D$4,FALSE))</f>
        <v/>
      </c>
      <c r="E455" s="147" t="str">
        <f>IF($C455="","",VLOOKUP($C455,'Tracking List'!$A$5:$AL$883,E$4,FALSE))</f>
        <v/>
      </c>
      <c r="F455" s="147" t="str">
        <f>IF($C455="","",VLOOKUP($C455,'Tracking List'!$A$5:$AL$883,F$4,FALSE))</f>
        <v/>
      </c>
      <c r="G455" s="147" t="str">
        <f>IF($C455="","",VLOOKUP($C455,'Tracking List'!$A$5:$AL$883,G$4,FALSE))</f>
        <v/>
      </c>
      <c r="H455" s="147" t="str">
        <f>IF($C455="","",VLOOKUP($C455,'Tracking List'!$A$5:$AL$883,H$4,FALSE))</f>
        <v/>
      </c>
      <c r="I455" s="147" t="str">
        <f>IF($C455="","",VLOOKUP($C455,'Tracking List'!$A$5:$AL$883,I$4,FALSE))</f>
        <v/>
      </c>
      <c r="J455" s="147" t="str">
        <f>IF($C455="","",VLOOKUP($C455,'Tracking List'!$A$5:$AL$883,J$4,FALSE))</f>
        <v/>
      </c>
      <c r="K455" s="147" t="str">
        <f>IF($C455="","",VLOOKUP($C455,'Tracking List'!$A$5:$AL$883,K$4,FALSE))</f>
        <v/>
      </c>
      <c r="L455" s="168" t="str">
        <f>IF($C455="","",VLOOKUP($C455,'Tracking List'!$A$5:$AL$883,L$4,FALSE))</f>
        <v/>
      </c>
      <c r="M455" s="147" t="str">
        <f>IF($C455="","",VLOOKUP($C455,'Tracking List'!$A$5:$AL$883,M$4,FALSE))</f>
        <v/>
      </c>
      <c r="N455" s="148" t="str">
        <f>IF($C455="","",IF(VLOOKUP($C455,'Tracking List'!$A$5:$AL$883,N$3,FALSE)&gt;0,"Y",VLOOKUP($C455,'Tracking List'!$A$5:$AL$883,N$4,FALSE)))</f>
        <v/>
      </c>
      <c r="O455" s="148" t="str">
        <f>IF($C455="","",IF(VLOOKUP($C455,'Tracking List'!$A$5:$AL$883,O$3,FALSE)&gt;0,"Y",VLOOKUP($C455,'Tracking List'!$A$5:$AL$883,O$4,FALSE)))</f>
        <v/>
      </c>
      <c r="P455" s="147" t="str">
        <f>IF($C455="","",IF(VLOOKUP($C455,'Tracking List'!$A$5:$AL$883,P$4,FALSE)&gt;0,"Y",""))</f>
        <v/>
      </c>
      <c r="Q455" s="149"/>
      <c r="R455" s="166" t="str">
        <f>IF($C455="","",VLOOKUP($C455,'Tracking List'!$A$5:$AL$883,R$4,FALSE))</f>
        <v/>
      </c>
    </row>
    <row r="456" spans="3:18">
      <c r="C456" s="146"/>
      <c r="D456" s="147" t="str">
        <f>IF($C456="","",VLOOKUP($C456,'Tracking List'!$A$5:$AL$883,D$4,FALSE))</f>
        <v/>
      </c>
      <c r="E456" s="147" t="str">
        <f>IF($C456="","",VLOOKUP($C456,'Tracking List'!$A$5:$AL$883,E$4,FALSE))</f>
        <v/>
      </c>
      <c r="F456" s="147" t="str">
        <f>IF($C456="","",VLOOKUP($C456,'Tracking List'!$A$5:$AL$883,F$4,FALSE))</f>
        <v/>
      </c>
      <c r="G456" s="147" t="str">
        <f>IF($C456="","",VLOOKUP($C456,'Tracking List'!$A$5:$AL$883,G$4,FALSE))</f>
        <v/>
      </c>
      <c r="H456" s="147" t="str">
        <f>IF($C456="","",VLOOKUP($C456,'Tracking List'!$A$5:$AL$883,H$4,FALSE))</f>
        <v/>
      </c>
      <c r="I456" s="147" t="str">
        <f>IF($C456="","",VLOOKUP($C456,'Tracking List'!$A$5:$AL$883,I$4,FALSE))</f>
        <v/>
      </c>
      <c r="J456" s="147" t="str">
        <f>IF($C456="","",VLOOKUP($C456,'Tracking List'!$A$5:$AL$883,J$4,FALSE))</f>
        <v/>
      </c>
      <c r="K456" s="147" t="str">
        <f>IF($C456="","",VLOOKUP($C456,'Tracking List'!$A$5:$AL$883,K$4,FALSE))</f>
        <v/>
      </c>
      <c r="L456" s="168" t="str">
        <f>IF($C456="","",VLOOKUP($C456,'Tracking List'!$A$5:$AL$883,L$4,FALSE))</f>
        <v/>
      </c>
      <c r="M456" s="147" t="str">
        <f>IF($C456="","",VLOOKUP($C456,'Tracking List'!$A$5:$AL$883,M$4,FALSE))</f>
        <v/>
      </c>
      <c r="N456" s="148" t="str">
        <f>IF($C456="","",IF(VLOOKUP($C456,'Tracking List'!$A$5:$AL$883,N$3,FALSE)&gt;0,"Y",VLOOKUP($C456,'Tracking List'!$A$5:$AL$883,N$4,FALSE)))</f>
        <v/>
      </c>
      <c r="O456" s="148" t="str">
        <f>IF($C456="","",IF(VLOOKUP($C456,'Tracking List'!$A$5:$AL$883,O$3,FALSE)&gt;0,"Y",VLOOKUP($C456,'Tracking List'!$A$5:$AL$883,O$4,FALSE)))</f>
        <v/>
      </c>
      <c r="P456" s="147" t="str">
        <f>IF($C456="","",IF(VLOOKUP($C456,'Tracking List'!$A$5:$AL$883,P$4,FALSE)&gt;0,"Y",""))</f>
        <v/>
      </c>
      <c r="Q456" s="149"/>
      <c r="R456" s="166" t="str">
        <f>IF($C456="","",VLOOKUP($C456,'Tracking List'!$A$5:$AL$883,R$4,FALSE))</f>
        <v/>
      </c>
    </row>
    <row r="457" spans="3:18">
      <c r="C457" s="146"/>
      <c r="D457" s="147" t="str">
        <f>IF($C457="","",VLOOKUP($C457,'Tracking List'!$A$5:$AL$883,D$4,FALSE))</f>
        <v/>
      </c>
      <c r="E457" s="147" t="str">
        <f>IF($C457="","",VLOOKUP($C457,'Tracking List'!$A$5:$AL$883,E$4,FALSE))</f>
        <v/>
      </c>
      <c r="F457" s="147" t="str">
        <f>IF($C457="","",VLOOKUP($C457,'Tracking List'!$A$5:$AL$883,F$4,FALSE))</f>
        <v/>
      </c>
      <c r="G457" s="147" t="str">
        <f>IF($C457="","",VLOOKUP($C457,'Tracking List'!$A$5:$AL$883,G$4,FALSE))</f>
        <v/>
      </c>
      <c r="H457" s="147" t="str">
        <f>IF($C457="","",VLOOKUP($C457,'Tracking List'!$A$5:$AL$883,H$4,FALSE))</f>
        <v/>
      </c>
      <c r="I457" s="147" t="str">
        <f>IF($C457="","",VLOOKUP($C457,'Tracking List'!$A$5:$AL$883,I$4,FALSE))</f>
        <v/>
      </c>
      <c r="J457" s="147" t="str">
        <f>IF($C457="","",VLOOKUP($C457,'Tracking List'!$A$5:$AL$883,J$4,FALSE))</f>
        <v/>
      </c>
      <c r="K457" s="147" t="str">
        <f>IF($C457="","",VLOOKUP($C457,'Tracking List'!$A$5:$AL$883,K$4,FALSE))</f>
        <v/>
      </c>
      <c r="L457" s="168" t="str">
        <f>IF($C457="","",VLOOKUP($C457,'Tracking List'!$A$5:$AL$883,L$4,FALSE))</f>
        <v/>
      </c>
      <c r="M457" s="147" t="str">
        <f>IF($C457="","",VLOOKUP($C457,'Tracking List'!$A$5:$AL$883,M$4,FALSE))</f>
        <v/>
      </c>
      <c r="N457" s="148" t="str">
        <f>IF($C457="","",IF(VLOOKUP($C457,'Tracking List'!$A$5:$AL$883,N$3,FALSE)&gt;0,"Y",VLOOKUP($C457,'Tracking List'!$A$5:$AL$883,N$4,FALSE)))</f>
        <v/>
      </c>
      <c r="O457" s="148" t="str">
        <f>IF($C457="","",IF(VLOOKUP($C457,'Tracking List'!$A$5:$AL$883,O$3,FALSE)&gt;0,"Y",VLOOKUP($C457,'Tracking List'!$A$5:$AL$883,O$4,FALSE)))</f>
        <v/>
      </c>
      <c r="P457" s="147" t="str">
        <f>IF($C457="","",IF(VLOOKUP($C457,'Tracking List'!$A$5:$AL$883,P$4,FALSE)&gt;0,"Y",""))</f>
        <v/>
      </c>
      <c r="Q457" s="149"/>
      <c r="R457" s="166" t="str">
        <f>IF($C457="","",VLOOKUP($C457,'Tracking List'!$A$5:$AL$883,R$4,FALSE))</f>
        <v/>
      </c>
    </row>
    <row r="458" spans="3:18">
      <c r="C458" s="146"/>
      <c r="D458" s="147" t="str">
        <f>IF($C458="","",VLOOKUP($C458,'Tracking List'!$A$5:$AL$883,D$4,FALSE))</f>
        <v/>
      </c>
      <c r="E458" s="147" t="str">
        <f>IF($C458="","",VLOOKUP($C458,'Tracking List'!$A$5:$AL$883,E$4,FALSE))</f>
        <v/>
      </c>
      <c r="F458" s="147" t="str">
        <f>IF($C458="","",VLOOKUP($C458,'Tracking List'!$A$5:$AL$883,F$4,FALSE))</f>
        <v/>
      </c>
      <c r="G458" s="147" t="str">
        <f>IF($C458="","",VLOOKUP($C458,'Tracking List'!$A$5:$AL$883,G$4,FALSE))</f>
        <v/>
      </c>
      <c r="H458" s="147" t="str">
        <f>IF($C458="","",VLOOKUP($C458,'Tracking List'!$A$5:$AL$883,H$4,FALSE))</f>
        <v/>
      </c>
      <c r="I458" s="147" t="str">
        <f>IF($C458="","",VLOOKUP($C458,'Tracking List'!$A$5:$AL$883,I$4,FALSE))</f>
        <v/>
      </c>
      <c r="J458" s="147" t="str">
        <f>IF($C458="","",VLOOKUP($C458,'Tracking List'!$A$5:$AL$883,J$4,FALSE))</f>
        <v/>
      </c>
      <c r="K458" s="147" t="str">
        <f>IF($C458="","",VLOOKUP($C458,'Tracking List'!$A$5:$AL$883,K$4,FALSE))</f>
        <v/>
      </c>
      <c r="L458" s="168" t="str">
        <f>IF($C458="","",VLOOKUP($C458,'Tracking List'!$A$5:$AL$883,L$4,FALSE))</f>
        <v/>
      </c>
      <c r="M458" s="147" t="str">
        <f>IF($C458="","",VLOOKUP($C458,'Tracking List'!$A$5:$AL$883,M$4,FALSE))</f>
        <v/>
      </c>
      <c r="N458" s="148" t="str">
        <f>IF($C458="","",IF(VLOOKUP($C458,'Tracking List'!$A$5:$AL$883,N$3,FALSE)&gt;0,"Y",VLOOKUP($C458,'Tracking List'!$A$5:$AL$883,N$4,FALSE)))</f>
        <v/>
      </c>
      <c r="O458" s="148" t="str">
        <f>IF($C458="","",IF(VLOOKUP($C458,'Tracking List'!$A$5:$AL$883,O$3,FALSE)&gt;0,"Y",VLOOKUP($C458,'Tracking List'!$A$5:$AL$883,O$4,FALSE)))</f>
        <v/>
      </c>
      <c r="P458" s="147" t="str">
        <f>IF($C458="","",IF(VLOOKUP($C458,'Tracking List'!$A$5:$AL$883,P$4,FALSE)&gt;0,"Y",""))</f>
        <v/>
      </c>
      <c r="Q458" s="149"/>
      <c r="R458" s="166" t="str">
        <f>IF($C458="","",VLOOKUP($C458,'Tracking List'!$A$5:$AL$883,R$4,FALSE))</f>
        <v/>
      </c>
    </row>
    <row r="459" spans="3:18">
      <c r="C459" s="146"/>
      <c r="D459" s="147" t="str">
        <f>IF($C459="","",VLOOKUP($C459,'Tracking List'!$A$5:$AL$883,D$4,FALSE))</f>
        <v/>
      </c>
      <c r="E459" s="147" t="str">
        <f>IF($C459="","",VLOOKUP($C459,'Tracking List'!$A$5:$AL$883,E$4,FALSE))</f>
        <v/>
      </c>
      <c r="F459" s="147" t="str">
        <f>IF($C459="","",VLOOKUP($C459,'Tracking List'!$A$5:$AL$883,F$4,FALSE))</f>
        <v/>
      </c>
      <c r="G459" s="147" t="str">
        <f>IF($C459="","",VLOOKUP($C459,'Tracking List'!$A$5:$AL$883,G$4,FALSE))</f>
        <v/>
      </c>
      <c r="H459" s="147" t="str">
        <f>IF($C459="","",VLOOKUP($C459,'Tracking List'!$A$5:$AL$883,H$4,FALSE))</f>
        <v/>
      </c>
      <c r="I459" s="147" t="str">
        <f>IF($C459="","",VLOOKUP($C459,'Tracking List'!$A$5:$AL$883,I$4,FALSE))</f>
        <v/>
      </c>
      <c r="J459" s="147" t="str">
        <f>IF($C459="","",VLOOKUP($C459,'Tracking List'!$A$5:$AL$883,J$4,FALSE))</f>
        <v/>
      </c>
      <c r="K459" s="147" t="str">
        <f>IF($C459="","",VLOOKUP($C459,'Tracking List'!$A$5:$AL$883,K$4,FALSE))</f>
        <v/>
      </c>
      <c r="L459" s="168" t="str">
        <f>IF($C459="","",VLOOKUP($C459,'Tracking List'!$A$5:$AL$883,L$4,FALSE))</f>
        <v/>
      </c>
      <c r="M459" s="147" t="str">
        <f>IF($C459="","",VLOOKUP($C459,'Tracking List'!$A$5:$AL$883,M$4,FALSE))</f>
        <v/>
      </c>
      <c r="N459" s="148" t="str">
        <f>IF($C459="","",IF(VLOOKUP($C459,'Tracking List'!$A$5:$AL$883,N$3,FALSE)&gt;0,"Y",VLOOKUP($C459,'Tracking List'!$A$5:$AL$883,N$4,FALSE)))</f>
        <v/>
      </c>
      <c r="O459" s="148" t="str">
        <f>IF($C459="","",IF(VLOOKUP($C459,'Tracking List'!$A$5:$AL$883,O$3,FALSE)&gt;0,"Y",VLOOKUP($C459,'Tracking List'!$A$5:$AL$883,O$4,FALSE)))</f>
        <v/>
      </c>
      <c r="P459" s="147" t="str">
        <f>IF($C459="","",IF(VLOOKUP($C459,'Tracking List'!$A$5:$AL$883,P$4,FALSE)&gt;0,"Y",""))</f>
        <v/>
      </c>
      <c r="Q459" s="149"/>
      <c r="R459" s="166" t="str">
        <f>IF($C459="","",VLOOKUP($C459,'Tracking List'!$A$5:$AL$883,R$4,FALSE))</f>
        <v/>
      </c>
    </row>
    <row r="460" spans="3:18">
      <c r="C460" s="146"/>
      <c r="D460" s="147" t="str">
        <f>IF($C460="","",VLOOKUP($C460,'Tracking List'!$A$5:$AL$883,D$4,FALSE))</f>
        <v/>
      </c>
      <c r="E460" s="147" t="str">
        <f>IF($C460="","",VLOOKUP($C460,'Tracking List'!$A$5:$AL$883,E$4,FALSE))</f>
        <v/>
      </c>
      <c r="F460" s="147" t="str">
        <f>IF($C460="","",VLOOKUP($C460,'Tracking List'!$A$5:$AL$883,F$4,FALSE))</f>
        <v/>
      </c>
      <c r="G460" s="147" t="str">
        <f>IF($C460="","",VLOOKUP($C460,'Tracking List'!$A$5:$AL$883,G$4,FALSE))</f>
        <v/>
      </c>
      <c r="H460" s="147" t="str">
        <f>IF($C460="","",VLOOKUP($C460,'Tracking List'!$A$5:$AL$883,H$4,FALSE))</f>
        <v/>
      </c>
      <c r="I460" s="147" t="str">
        <f>IF($C460="","",VLOOKUP($C460,'Tracking List'!$A$5:$AL$883,I$4,FALSE))</f>
        <v/>
      </c>
      <c r="J460" s="147" t="str">
        <f>IF($C460="","",VLOOKUP($C460,'Tracking List'!$A$5:$AL$883,J$4,FALSE))</f>
        <v/>
      </c>
      <c r="K460" s="147" t="str">
        <f>IF($C460="","",VLOOKUP($C460,'Tracking List'!$A$5:$AL$883,K$4,FALSE))</f>
        <v/>
      </c>
      <c r="L460" s="168" t="str">
        <f>IF($C460="","",VLOOKUP($C460,'Tracking List'!$A$5:$AL$883,L$4,FALSE))</f>
        <v/>
      </c>
      <c r="M460" s="147" t="str">
        <f>IF($C460="","",VLOOKUP($C460,'Tracking List'!$A$5:$AL$883,M$4,FALSE))</f>
        <v/>
      </c>
      <c r="N460" s="148" t="str">
        <f>IF($C460="","",IF(VLOOKUP($C460,'Tracking List'!$A$5:$AL$883,N$3,FALSE)&gt;0,"Y",VLOOKUP($C460,'Tracking List'!$A$5:$AL$883,N$4,FALSE)))</f>
        <v/>
      </c>
      <c r="O460" s="148" t="str">
        <f>IF($C460="","",IF(VLOOKUP($C460,'Tracking List'!$A$5:$AL$883,O$3,FALSE)&gt;0,"Y",VLOOKUP($C460,'Tracking List'!$A$5:$AL$883,O$4,FALSE)))</f>
        <v/>
      </c>
      <c r="P460" s="147" t="str">
        <f>IF($C460="","",IF(VLOOKUP($C460,'Tracking List'!$A$5:$AL$883,P$4,FALSE)&gt;0,"Y",""))</f>
        <v/>
      </c>
      <c r="Q460" s="149"/>
      <c r="R460" s="166" t="str">
        <f>IF($C460="","",VLOOKUP($C460,'Tracking List'!$A$5:$AL$883,R$4,FALSE))</f>
        <v/>
      </c>
    </row>
    <row r="461" spans="3:18">
      <c r="C461" s="146"/>
      <c r="D461" s="147" t="str">
        <f>IF($C461="","",VLOOKUP($C461,'Tracking List'!$A$5:$AL$883,D$4,FALSE))</f>
        <v/>
      </c>
      <c r="E461" s="147" t="str">
        <f>IF($C461="","",VLOOKUP($C461,'Tracking List'!$A$5:$AL$883,E$4,FALSE))</f>
        <v/>
      </c>
      <c r="F461" s="147" t="str">
        <f>IF($C461="","",VLOOKUP($C461,'Tracking List'!$A$5:$AL$883,F$4,FALSE))</f>
        <v/>
      </c>
      <c r="G461" s="147" t="str">
        <f>IF($C461="","",VLOOKUP($C461,'Tracking List'!$A$5:$AL$883,G$4,FALSE))</f>
        <v/>
      </c>
      <c r="H461" s="147" t="str">
        <f>IF($C461="","",VLOOKUP($C461,'Tracking List'!$A$5:$AL$883,H$4,FALSE))</f>
        <v/>
      </c>
      <c r="I461" s="147" t="str">
        <f>IF($C461="","",VLOOKUP($C461,'Tracking List'!$A$5:$AL$883,I$4,FALSE))</f>
        <v/>
      </c>
      <c r="J461" s="147" t="str">
        <f>IF($C461="","",VLOOKUP($C461,'Tracking List'!$A$5:$AL$883,J$4,FALSE))</f>
        <v/>
      </c>
      <c r="K461" s="147" t="str">
        <f>IF($C461="","",VLOOKUP($C461,'Tracking List'!$A$5:$AL$883,K$4,FALSE))</f>
        <v/>
      </c>
      <c r="L461" s="168" t="str">
        <f>IF($C461="","",VLOOKUP($C461,'Tracking List'!$A$5:$AL$883,L$4,FALSE))</f>
        <v/>
      </c>
      <c r="M461" s="147" t="str">
        <f>IF($C461="","",VLOOKUP($C461,'Tracking List'!$A$5:$AL$883,M$4,FALSE))</f>
        <v/>
      </c>
      <c r="N461" s="148" t="str">
        <f>IF($C461="","",IF(VLOOKUP($C461,'Tracking List'!$A$5:$AL$883,N$3,FALSE)&gt;0,"Y",VLOOKUP($C461,'Tracking List'!$A$5:$AL$883,N$4,FALSE)))</f>
        <v/>
      </c>
      <c r="O461" s="148" t="str">
        <f>IF($C461="","",IF(VLOOKUP($C461,'Tracking List'!$A$5:$AL$883,O$3,FALSE)&gt;0,"Y",VLOOKUP($C461,'Tracking List'!$A$5:$AL$883,O$4,FALSE)))</f>
        <v/>
      </c>
      <c r="P461" s="147" t="str">
        <f>IF($C461="","",IF(VLOOKUP($C461,'Tracking List'!$A$5:$AL$883,P$4,FALSE)&gt;0,"Y",""))</f>
        <v/>
      </c>
      <c r="Q461" s="149"/>
      <c r="R461" s="166" t="str">
        <f>IF($C461="","",VLOOKUP($C461,'Tracking List'!$A$5:$AL$883,R$4,FALSE))</f>
        <v/>
      </c>
    </row>
    <row r="462" spans="3:18">
      <c r="C462" s="146"/>
      <c r="D462" s="147" t="str">
        <f>IF($C462="","",VLOOKUP($C462,'Tracking List'!$A$5:$AL$883,D$4,FALSE))</f>
        <v/>
      </c>
      <c r="E462" s="147" t="str">
        <f>IF($C462="","",VLOOKUP($C462,'Tracking List'!$A$5:$AL$883,E$4,FALSE))</f>
        <v/>
      </c>
      <c r="F462" s="147" t="str">
        <f>IF($C462="","",VLOOKUP($C462,'Tracking List'!$A$5:$AL$883,F$4,FALSE))</f>
        <v/>
      </c>
      <c r="G462" s="147" t="str">
        <f>IF($C462="","",VLOOKUP($C462,'Tracking List'!$A$5:$AL$883,G$4,FALSE))</f>
        <v/>
      </c>
      <c r="H462" s="147" t="str">
        <f>IF($C462="","",VLOOKUP($C462,'Tracking List'!$A$5:$AL$883,H$4,FALSE))</f>
        <v/>
      </c>
      <c r="I462" s="147" t="str">
        <f>IF($C462="","",VLOOKUP($C462,'Tracking List'!$A$5:$AL$883,I$4,FALSE))</f>
        <v/>
      </c>
      <c r="J462" s="147" t="str">
        <f>IF($C462="","",VLOOKUP($C462,'Tracking List'!$A$5:$AL$883,J$4,FALSE))</f>
        <v/>
      </c>
      <c r="K462" s="147" t="str">
        <f>IF($C462="","",VLOOKUP($C462,'Tracking List'!$A$5:$AL$883,K$4,FALSE))</f>
        <v/>
      </c>
      <c r="L462" s="168" t="str">
        <f>IF($C462="","",VLOOKUP($C462,'Tracking List'!$A$5:$AL$883,L$4,FALSE))</f>
        <v/>
      </c>
      <c r="M462" s="147" t="str">
        <f>IF($C462="","",VLOOKUP($C462,'Tracking List'!$A$5:$AL$883,M$4,FALSE))</f>
        <v/>
      </c>
      <c r="N462" s="148" t="str">
        <f>IF($C462="","",IF(VLOOKUP($C462,'Tracking List'!$A$5:$AL$883,N$3,FALSE)&gt;0,"Y",VLOOKUP($C462,'Tracking List'!$A$5:$AL$883,N$4,FALSE)))</f>
        <v/>
      </c>
      <c r="O462" s="148" t="str">
        <f>IF($C462="","",IF(VLOOKUP($C462,'Tracking List'!$A$5:$AL$883,O$3,FALSE)&gt;0,"Y",VLOOKUP($C462,'Tracking List'!$A$5:$AL$883,O$4,FALSE)))</f>
        <v/>
      </c>
      <c r="P462" s="147" t="str">
        <f>IF($C462="","",IF(VLOOKUP($C462,'Tracking List'!$A$5:$AL$883,P$4,FALSE)&gt;0,"Y",""))</f>
        <v/>
      </c>
      <c r="Q462" s="149"/>
      <c r="R462" s="166" t="str">
        <f>IF($C462="","",VLOOKUP($C462,'Tracking List'!$A$5:$AL$883,R$4,FALSE))</f>
        <v/>
      </c>
    </row>
    <row r="463" spans="3:18">
      <c r="C463" s="146"/>
      <c r="D463" s="147" t="str">
        <f>IF($C463="","",VLOOKUP($C463,'Tracking List'!$A$5:$AL$883,D$4,FALSE))</f>
        <v/>
      </c>
      <c r="E463" s="147" t="str">
        <f>IF($C463="","",VLOOKUP($C463,'Tracking List'!$A$5:$AL$883,E$4,FALSE))</f>
        <v/>
      </c>
      <c r="F463" s="147" t="str">
        <f>IF($C463="","",VLOOKUP($C463,'Tracking List'!$A$5:$AL$883,F$4,FALSE))</f>
        <v/>
      </c>
      <c r="G463" s="147" t="str">
        <f>IF($C463="","",VLOOKUP($C463,'Tracking List'!$A$5:$AL$883,G$4,FALSE))</f>
        <v/>
      </c>
      <c r="H463" s="147" t="str">
        <f>IF($C463="","",VLOOKUP($C463,'Tracking List'!$A$5:$AL$883,H$4,FALSE))</f>
        <v/>
      </c>
      <c r="I463" s="147" t="str">
        <f>IF($C463="","",VLOOKUP($C463,'Tracking List'!$A$5:$AL$883,I$4,FALSE))</f>
        <v/>
      </c>
      <c r="J463" s="147" t="str">
        <f>IF($C463="","",VLOOKUP($C463,'Tracking List'!$A$5:$AL$883,J$4,FALSE))</f>
        <v/>
      </c>
      <c r="K463" s="147" t="str">
        <f>IF($C463="","",VLOOKUP($C463,'Tracking List'!$A$5:$AL$883,K$4,FALSE))</f>
        <v/>
      </c>
      <c r="L463" s="168" t="str">
        <f>IF($C463="","",VLOOKUP($C463,'Tracking List'!$A$5:$AL$883,L$4,FALSE))</f>
        <v/>
      </c>
      <c r="M463" s="147" t="str">
        <f>IF($C463="","",VLOOKUP($C463,'Tracking List'!$A$5:$AL$883,M$4,FALSE))</f>
        <v/>
      </c>
      <c r="N463" s="148" t="str">
        <f>IF($C463="","",IF(VLOOKUP($C463,'Tracking List'!$A$5:$AL$883,N$3,FALSE)&gt;0,"Y",VLOOKUP($C463,'Tracking List'!$A$5:$AL$883,N$4,FALSE)))</f>
        <v/>
      </c>
      <c r="O463" s="148" t="str">
        <f>IF($C463="","",IF(VLOOKUP($C463,'Tracking List'!$A$5:$AL$883,O$3,FALSE)&gt;0,"Y",VLOOKUP($C463,'Tracking List'!$A$5:$AL$883,O$4,FALSE)))</f>
        <v/>
      </c>
      <c r="P463" s="147" t="str">
        <f>IF($C463="","",IF(VLOOKUP($C463,'Tracking List'!$A$5:$AL$883,P$4,FALSE)&gt;0,"Y",""))</f>
        <v/>
      </c>
      <c r="Q463" s="149"/>
      <c r="R463" s="166" t="str">
        <f>IF($C463="","",VLOOKUP($C463,'Tracking List'!$A$5:$AL$883,R$4,FALSE))</f>
        <v/>
      </c>
    </row>
    <row r="464" spans="3:18">
      <c r="C464" s="146"/>
      <c r="D464" s="147" t="str">
        <f>IF($C464="","",VLOOKUP($C464,'Tracking List'!$A$5:$AL$883,D$4,FALSE))</f>
        <v/>
      </c>
      <c r="E464" s="147" t="str">
        <f>IF($C464="","",VLOOKUP($C464,'Tracking List'!$A$5:$AL$883,E$4,FALSE))</f>
        <v/>
      </c>
      <c r="F464" s="147" t="str">
        <f>IF($C464="","",VLOOKUP($C464,'Tracking List'!$A$5:$AL$883,F$4,FALSE))</f>
        <v/>
      </c>
      <c r="G464" s="147" t="str">
        <f>IF($C464="","",VLOOKUP($C464,'Tracking List'!$A$5:$AL$883,G$4,FALSE))</f>
        <v/>
      </c>
      <c r="H464" s="147" t="str">
        <f>IF($C464="","",VLOOKUP($C464,'Tracking List'!$A$5:$AL$883,H$4,FALSE))</f>
        <v/>
      </c>
      <c r="I464" s="147" t="str">
        <f>IF($C464="","",VLOOKUP($C464,'Tracking List'!$A$5:$AL$883,I$4,FALSE))</f>
        <v/>
      </c>
      <c r="J464" s="147" t="str">
        <f>IF($C464="","",VLOOKUP($C464,'Tracking List'!$A$5:$AL$883,J$4,FALSE))</f>
        <v/>
      </c>
      <c r="K464" s="147" t="str">
        <f>IF($C464="","",VLOOKUP($C464,'Tracking List'!$A$5:$AL$883,K$4,FALSE))</f>
        <v/>
      </c>
      <c r="L464" s="168" t="str">
        <f>IF($C464="","",VLOOKUP($C464,'Tracking List'!$A$5:$AL$883,L$4,FALSE))</f>
        <v/>
      </c>
      <c r="M464" s="147" t="str">
        <f>IF($C464="","",VLOOKUP($C464,'Tracking List'!$A$5:$AL$883,M$4,FALSE))</f>
        <v/>
      </c>
      <c r="N464" s="148" t="str">
        <f>IF($C464="","",IF(VLOOKUP($C464,'Tracking List'!$A$5:$AL$883,N$3,FALSE)&gt;0,"Y",VLOOKUP($C464,'Tracking List'!$A$5:$AL$883,N$4,FALSE)))</f>
        <v/>
      </c>
      <c r="O464" s="148" t="str">
        <f>IF($C464="","",IF(VLOOKUP($C464,'Tracking List'!$A$5:$AL$883,O$3,FALSE)&gt;0,"Y",VLOOKUP($C464,'Tracking List'!$A$5:$AL$883,O$4,FALSE)))</f>
        <v/>
      </c>
      <c r="P464" s="147" t="str">
        <f>IF($C464="","",IF(VLOOKUP($C464,'Tracking List'!$A$5:$AL$883,P$4,FALSE)&gt;0,"Y",""))</f>
        <v/>
      </c>
      <c r="Q464" s="149"/>
      <c r="R464" s="166" t="str">
        <f>IF($C464="","",VLOOKUP($C464,'Tracking List'!$A$5:$AL$883,R$4,FALSE))</f>
        <v/>
      </c>
    </row>
    <row r="465" spans="3:18">
      <c r="C465" s="146"/>
      <c r="D465" s="147" t="str">
        <f>IF($C465="","",VLOOKUP($C465,'Tracking List'!$A$5:$AL$883,D$4,FALSE))</f>
        <v/>
      </c>
      <c r="E465" s="147" t="str">
        <f>IF($C465="","",VLOOKUP($C465,'Tracking List'!$A$5:$AL$883,E$4,FALSE))</f>
        <v/>
      </c>
      <c r="F465" s="147" t="str">
        <f>IF($C465="","",VLOOKUP($C465,'Tracking List'!$A$5:$AL$883,F$4,FALSE))</f>
        <v/>
      </c>
      <c r="G465" s="147" t="str">
        <f>IF($C465="","",VLOOKUP($C465,'Tracking List'!$A$5:$AL$883,G$4,FALSE))</f>
        <v/>
      </c>
      <c r="H465" s="147" t="str">
        <f>IF($C465="","",VLOOKUP($C465,'Tracking List'!$A$5:$AL$883,H$4,FALSE))</f>
        <v/>
      </c>
      <c r="I465" s="147" t="str">
        <f>IF($C465="","",VLOOKUP($C465,'Tracking List'!$A$5:$AL$883,I$4,FALSE))</f>
        <v/>
      </c>
      <c r="J465" s="147" t="str">
        <f>IF($C465="","",VLOOKUP($C465,'Tracking List'!$A$5:$AL$883,J$4,FALSE))</f>
        <v/>
      </c>
      <c r="K465" s="147" t="str">
        <f>IF($C465="","",VLOOKUP($C465,'Tracking List'!$A$5:$AL$883,K$4,FALSE))</f>
        <v/>
      </c>
      <c r="L465" s="168" t="str">
        <f>IF($C465="","",VLOOKUP($C465,'Tracking List'!$A$5:$AL$883,L$4,FALSE))</f>
        <v/>
      </c>
      <c r="M465" s="147" t="str">
        <f>IF($C465="","",VLOOKUP($C465,'Tracking List'!$A$5:$AL$883,M$4,FALSE))</f>
        <v/>
      </c>
      <c r="N465" s="148" t="str">
        <f>IF($C465="","",IF(VLOOKUP($C465,'Tracking List'!$A$5:$AL$883,N$3,FALSE)&gt;0,"Y",VLOOKUP($C465,'Tracking List'!$A$5:$AL$883,N$4,FALSE)))</f>
        <v/>
      </c>
      <c r="O465" s="148" t="str">
        <f>IF($C465="","",IF(VLOOKUP($C465,'Tracking List'!$A$5:$AL$883,O$3,FALSE)&gt;0,"Y",VLOOKUP($C465,'Tracking List'!$A$5:$AL$883,O$4,FALSE)))</f>
        <v/>
      </c>
      <c r="P465" s="147" t="str">
        <f>IF($C465="","",IF(VLOOKUP($C465,'Tracking List'!$A$5:$AL$883,P$4,FALSE)&gt;0,"Y",""))</f>
        <v/>
      </c>
      <c r="Q465" s="149"/>
      <c r="R465" s="166" t="str">
        <f>IF($C465="","",VLOOKUP($C465,'Tracking List'!$A$5:$AL$883,R$4,FALSE))</f>
        <v/>
      </c>
    </row>
    <row r="466" spans="3:18">
      <c r="C466" s="146"/>
      <c r="D466" s="147" t="str">
        <f>IF($C466="","",VLOOKUP($C466,'Tracking List'!$A$5:$AL$883,D$4,FALSE))</f>
        <v/>
      </c>
      <c r="E466" s="147" t="str">
        <f>IF($C466="","",VLOOKUP($C466,'Tracking List'!$A$5:$AL$883,E$4,FALSE))</f>
        <v/>
      </c>
      <c r="F466" s="147" t="str">
        <f>IF($C466="","",VLOOKUP($C466,'Tracking List'!$A$5:$AL$883,F$4,FALSE))</f>
        <v/>
      </c>
      <c r="G466" s="147" t="str">
        <f>IF($C466="","",VLOOKUP($C466,'Tracking List'!$A$5:$AL$883,G$4,FALSE))</f>
        <v/>
      </c>
      <c r="H466" s="147" t="str">
        <f>IF($C466="","",VLOOKUP($C466,'Tracking List'!$A$5:$AL$883,H$4,FALSE))</f>
        <v/>
      </c>
      <c r="I466" s="147" t="str">
        <f>IF($C466="","",VLOOKUP($C466,'Tracking List'!$A$5:$AL$883,I$4,FALSE))</f>
        <v/>
      </c>
      <c r="J466" s="147" t="str">
        <f>IF($C466="","",VLOOKUP($C466,'Tracking List'!$A$5:$AL$883,J$4,FALSE))</f>
        <v/>
      </c>
      <c r="K466" s="147" t="str">
        <f>IF($C466="","",VLOOKUP($C466,'Tracking List'!$A$5:$AL$883,K$4,FALSE))</f>
        <v/>
      </c>
      <c r="L466" s="168" t="str">
        <f>IF($C466="","",VLOOKUP($C466,'Tracking List'!$A$5:$AL$883,L$4,FALSE))</f>
        <v/>
      </c>
      <c r="M466" s="147" t="str">
        <f>IF($C466="","",VLOOKUP($C466,'Tracking List'!$A$5:$AL$883,M$4,FALSE))</f>
        <v/>
      </c>
      <c r="N466" s="148" t="str">
        <f>IF($C466="","",IF(VLOOKUP($C466,'Tracking List'!$A$5:$AL$883,N$3,FALSE)&gt;0,"Y",VLOOKUP($C466,'Tracking List'!$A$5:$AL$883,N$4,FALSE)))</f>
        <v/>
      </c>
      <c r="O466" s="148" t="str">
        <f>IF($C466="","",IF(VLOOKUP($C466,'Tracking List'!$A$5:$AL$883,O$3,FALSE)&gt;0,"Y",VLOOKUP($C466,'Tracking List'!$A$5:$AL$883,O$4,FALSE)))</f>
        <v/>
      </c>
      <c r="P466" s="147" t="str">
        <f>IF($C466="","",IF(VLOOKUP($C466,'Tracking List'!$A$5:$AL$883,P$4,FALSE)&gt;0,"Y",""))</f>
        <v/>
      </c>
      <c r="Q466" s="149"/>
      <c r="R466" s="166" t="str">
        <f>IF($C466="","",VLOOKUP($C466,'Tracking List'!$A$5:$AL$883,R$4,FALSE))</f>
        <v/>
      </c>
    </row>
    <row r="467" spans="3:18">
      <c r="C467" s="146"/>
      <c r="D467" s="147" t="str">
        <f>IF($C467="","",VLOOKUP($C467,'Tracking List'!$A$5:$AL$883,D$4,FALSE))</f>
        <v/>
      </c>
      <c r="E467" s="147" t="str">
        <f>IF($C467="","",VLOOKUP($C467,'Tracking List'!$A$5:$AL$883,E$4,FALSE))</f>
        <v/>
      </c>
      <c r="F467" s="147" t="str">
        <f>IF($C467="","",VLOOKUP($C467,'Tracking List'!$A$5:$AL$883,F$4,FALSE))</f>
        <v/>
      </c>
      <c r="G467" s="147" t="str">
        <f>IF($C467="","",VLOOKUP($C467,'Tracking List'!$A$5:$AL$883,G$4,FALSE))</f>
        <v/>
      </c>
      <c r="H467" s="147" t="str">
        <f>IF($C467="","",VLOOKUP($C467,'Tracking List'!$A$5:$AL$883,H$4,FALSE))</f>
        <v/>
      </c>
      <c r="I467" s="147" t="str">
        <f>IF($C467="","",VLOOKUP($C467,'Tracking List'!$A$5:$AL$883,I$4,FALSE))</f>
        <v/>
      </c>
      <c r="J467" s="147" t="str">
        <f>IF($C467="","",VLOOKUP($C467,'Tracking List'!$A$5:$AL$883,J$4,FALSE))</f>
        <v/>
      </c>
      <c r="K467" s="147" t="str">
        <f>IF($C467="","",VLOOKUP($C467,'Tracking List'!$A$5:$AL$883,K$4,FALSE))</f>
        <v/>
      </c>
      <c r="L467" s="168" t="str">
        <f>IF($C467="","",VLOOKUP($C467,'Tracking List'!$A$5:$AL$883,L$4,FALSE))</f>
        <v/>
      </c>
      <c r="M467" s="147" t="str">
        <f>IF($C467="","",VLOOKUP($C467,'Tracking List'!$A$5:$AL$883,M$4,FALSE))</f>
        <v/>
      </c>
      <c r="N467" s="148" t="str">
        <f>IF($C467="","",IF(VLOOKUP($C467,'Tracking List'!$A$5:$AL$883,N$3,FALSE)&gt;0,"Y",VLOOKUP($C467,'Tracking List'!$A$5:$AL$883,N$4,FALSE)))</f>
        <v/>
      </c>
      <c r="O467" s="148" t="str">
        <f>IF($C467="","",IF(VLOOKUP($C467,'Tracking List'!$A$5:$AL$883,O$3,FALSE)&gt;0,"Y",VLOOKUP($C467,'Tracking List'!$A$5:$AL$883,O$4,FALSE)))</f>
        <v/>
      </c>
      <c r="P467" s="147" t="str">
        <f>IF($C467="","",IF(VLOOKUP($C467,'Tracking List'!$A$5:$AL$883,P$4,FALSE)&gt;0,"Y",""))</f>
        <v/>
      </c>
      <c r="Q467" s="149"/>
      <c r="R467" s="166" t="str">
        <f>IF($C467="","",VLOOKUP($C467,'Tracking List'!$A$5:$AL$883,R$4,FALSE))</f>
        <v/>
      </c>
    </row>
    <row r="468" spans="3:18">
      <c r="C468" s="146"/>
      <c r="D468" s="147" t="str">
        <f>IF($C468="","",VLOOKUP($C468,'Tracking List'!$A$5:$AL$883,D$4,FALSE))</f>
        <v/>
      </c>
      <c r="E468" s="147" t="str">
        <f>IF($C468="","",VLOOKUP($C468,'Tracking List'!$A$5:$AL$883,E$4,FALSE))</f>
        <v/>
      </c>
      <c r="F468" s="147" t="str">
        <f>IF($C468="","",VLOOKUP($C468,'Tracking List'!$A$5:$AL$883,F$4,FALSE))</f>
        <v/>
      </c>
      <c r="G468" s="147" t="str">
        <f>IF($C468="","",VLOOKUP($C468,'Tracking List'!$A$5:$AL$883,G$4,FALSE))</f>
        <v/>
      </c>
      <c r="H468" s="147" t="str">
        <f>IF($C468="","",VLOOKUP($C468,'Tracking List'!$A$5:$AL$883,H$4,FALSE))</f>
        <v/>
      </c>
      <c r="I468" s="147" t="str">
        <f>IF($C468="","",VLOOKUP($C468,'Tracking List'!$A$5:$AL$883,I$4,FALSE))</f>
        <v/>
      </c>
      <c r="J468" s="147" t="str">
        <f>IF($C468="","",VLOOKUP($C468,'Tracking List'!$A$5:$AL$883,J$4,FALSE))</f>
        <v/>
      </c>
      <c r="K468" s="147" t="str">
        <f>IF($C468="","",VLOOKUP($C468,'Tracking List'!$A$5:$AL$883,K$4,FALSE))</f>
        <v/>
      </c>
      <c r="L468" s="168" t="str">
        <f>IF($C468="","",VLOOKUP($C468,'Tracking List'!$A$5:$AL$883,L$4,FALSE))</f>
        <v/>
      </c>
      <c r="M468" s="147" t="str">
        <f>IF($C468="","",VLOOKUP($C468,'Tracking List'!$A$5:$AL$883,M$4,FALSE))</f>
        <v/>
      </c>
      <c r="N468" s="148" t="str">
        <f>IF($C468="","",IF(VLOOKUP($C468,'Tracking List'!$A$5:$AL$883,N$3,FALSE)&gt;0,"Y",VLOOKUP($C468,'Tracking List'!$A$5:$AL$883,N$4,FALSE)))</f>
        <v/>
      </c>
      <c r="O468" s="148" t="str">
        <f>IF($C468="","",IF(VLOOKUP($C468,'Tracking List'!$A$5:$AL$883,O$3,FALSE)&gt;0,"Y",VLOOKUP($C468,'Tracking List'!$A$5:$AL$883,O$4,FALSE)))</f>
        <v/>
      </c>
      <c r="P468" s="147" t="str">
        <f>IF($C468="","",IF(VLOOKUP($C468,'Tracking List'!$A$5:$AL$883,P$4,FALSE)&gt;0,"Y",""))</f>
        <v/>
      </c>
      <c r="Q468" s="149"/>
      <c r="R468" s="166" t="str">
        <f>IF($C468="","",VLOOKUP($C468,'Tracking List'!$A$5:$AL$883,R$4,FALSE))</f>
        <v/>
      </c>
    </row>
    <row r="469" spans="3:18">
      <c r="C469" s="146"/>
      <c r="D469" s="147" t="str">
        <f>IF($C469="","",VLOOKUP($C469,'Tracking List'!$A$5:$AL$883,D$4,FALSE))</f>
        <v/>
      </c>
      <c r="E469" s="147" t="str">
        <f>IF($C469="","",VLOOKUP($C469,'Tracking List'!$A$5:$AL$883,E$4,FALSE))</f>
        <v/>
      </c>
      <c r="F469" s="147" t="str">
        <f>IF($C469="","",VLOOKUP($C469,'Tracking List'!$A$5:$AL$883,F$4,FALSE))</f>
        <v/>
      </c>
      <c r="G469" s="147" t="str">
        <f>IF($C469="","",VLOOKUP($C469,'Tracking List'!$A$5:$AL$883,G$4,FALSE))</f>
        <v/>
      </c>
      <c r="H469" s="147" t="str">
        <f>IF($C469="","",VLOOKUP($C469,'Tracking List'!$A$5:$AL$883,H$4,FALSE))</f>
        <v/>
      </c>
      <c r="I469" s="147" t="str">
        <f>IF($C469="","",VLOOKUP($C469,'Tracking List'!$A$5:$AL$883,I$4,FALSE))</f>
        <v/>
      </c>
      <c r="J469" s="147" t="str">
        <f>IF($C469="","",VLOOKUP($C469,'Tracking List'!$A$5:$AL$883,J$4,FALSE))</f>
        <v/>
      </c>
      <c r="K469" s="147" t="str">
        <f>IF($C469="","",VLOOKUP($C469,'Tracking List'!$A$5:$AL$883,K$4,FALSE))</f>
        <v/>
      </c>
      <c r="L469" s="168" t="str">
        <f>IF($C469="","",VLOOKUP($C469,'Tracking List'!$A$5:$AL$883,L$4,FALSE))</f>
        <v/>
      </c>
      <c r="M469" s="147" t="str">
        <f>IF($C469="","",VLOOKUP($C469,'Tracking List'!$A$5:$AL$883,M$4,FALSE))</f>
        <v/>
      </c>
      <c r="N469" s="148" t="str">
        <f>IF($C469="","",IF(VLOOKUP($C469,'Tracking List'!$A$5:$AL$883,N$3,FALSE)&gt;0,"Y",VLOOKUP($C469,'Tracking List'!$A$5:$AL$883,N$4,FALSE)))</f>
        <v/>
      </c>
      <c r="O469" s="148" t="str">
        <f>IF($C469="","",IF(VLOOKUP($C469,'Tracking List'!$A$5:$AL$883,O$3,FALSE)&gt;0,"Y",VLOOKUP($C469,'Tracking List'!$A$5:$AL$883,O$4,FALSE)))</f>
        <v/>
      </c>
      <c r="P469" s="147" t="str">
        <f>IF($C469="","",IF(VLOOKUP($C469,'Tracking List'!$A$5:$AL$883,P$4,FALSE)&gt;0,"Y",""))</f>
        <v/>
      </c>
      <c r="Q469" s="149"/>
      <c r="R469" s="166" t="str">
        <f>IF($C469="","",VLOOKUP($C469,'Tracking List'!$A$5:$AL$883,R$4,FALSE))</f>
        <v/>
      </c>
    </row>
    <row r="470" spans="3:18">
      <c r="C470" s="146"/>
      <c r="D470" s="147" t="str">
        <f>IF($C470="","",VLOOKUP($C470,'Tracking List'!$A$5:$AL$883,D$4,FALSE))</f>
        <v/>
      </c>
      <c r="E470" s="147" t="str">
        <f>IF($C470="","",VLOOKUP($C470,'Tracking List'!$A$5:$AL$883,E$4,FALSE))</f>
        <v/>
      </c>
      <c r="F470" s="147" t="str">
        <f>IF($C470="","",VLOOKUP($C470,'Tracking List'!$A$5:$AL$883,F$4,FALSE))</f>
        <v/>
      </c>
      <c r="G470" s="147" t="str">
        <f>IF($C470="","",VLOOKUP($C470,'Tracking List'!$A$5:$AL$883,G$4,FALSE))</f>
        <v/>
      </c>
      <c r="H470" s="147" t="str">
        <f>IF($C470="","",VLOOKUP($C470,'Tracking List'!$A$5:$AL$883,H$4,FALSE))</f>
        <v/>
      </c>
      <c r="I470" s="147" t="str">
        <f>IF($C470="","",VLOOKUP($C470,'Tracking List'!$A$5:$AL$883,I$4,FALSE))</f>
        <v/>
      </c>
      <c r="J470" s="147" t="str">
        <f>IF($C470="","",VLOOKUP($C470,'Tracking List'!$A$5:$AL$883,J$4,FALSE))</f>
        <v/>
      </c>
      <c r="K470" s="147" t="str">
        <f>IF($C470="","",VLOOKUP($C470,'Tracking List'!$A$5:$AL$883,K$4,FALSE))</f>
        <v/>
      </c>
      <c r="L470" s="168" t="str">
        <f>IF($C470="","",VLOOKUP($C470,'Tracking List'!$A$5:$AL$883,L$4,FALSE))</f>
        <v/>
      </c>
      <c r="M470" s="147" t="str">
        <f>IF($C470="","",VLOOKUP($C470,'Tracking List'!$A$5:$AL$883,M$4,FALSE))</f>
        <v/>
      </c>
      <c r="N470" s="148" t="str">
        <f>IF($C470="","",IF(VLOOKUP($C470,'Tracking List'!$A$5:$AL$883,N$3,FALSE)&gt;0,"Y",VLOOKUP($C470,'Tracking List'!$A$5:$AL$883,N$4,FALSE)))</f>
        <v/>
      </c>
      <c r="O470" s="148" t="str">
        <f>IF($C470="","",IF(VLOOKUP($C470,'Tracking List'!$A$5:$AL$883,O$3,FALSE)&gt;0,"Y",VLOOKUP($C470,'Tracking List'!$A$5:$AL$883,O$4,FALSE)))</f>
        <v/>
      </c>
      <c r="P470" s="147" t="str">
        <f>IF($C470="","",IF(VLOOKUP($C470,'Tracking List'!$A$5:$AL$883,P$4,FALSE)&gt;0,"Y",""))</f>
        <v/>
      </c>
      <c r="Q470" s="149"/>
      <c r="R470" s="166" t="str">
        <f>IF($C470="","",VLOOKUP($C470,'Tracking List'!$A$5:$AL$883,R$4,FALSE))</f>
        <v/>
      </c>
    </row>
    <row r="471" spans="3:18">
      <c r="C471" s="146"/>
      <c r="D471" s="147" t="str">
        <f>IF($C471="","",VLOOKUP($C471,'Tracking List'!$A$5:$AL$883,D$4,FALSE))</f>
        <v/>
      </c>
      <c r="E471" s="147" t="str">
        <f>IF($C471="","",VLOOKUP($C471,'Tracking List'!$A$5:$AL$883,E$4,FALSE))</f>
        <v/>
      </c>
      <c r="F471" s="147" t="str">
        <f>IF($C471="","",VLOOKUP($C471,'Tracking List'!$A$5:$AL$883,F$4,FALSE))</f>
        <v/>
      </c>
      <c r="G471" s="147" t="str">
        <f>IF($C471="","",VLOOKUP($C471,'Tracking List'!$A$5:$AL$883,G$4,FALSE))</f>
        <v/>
      </c>
      <c r="H471" s="147" t="str">
        <f>IF($C471="","",VLOOKUP($C471,'Tracking List'!$A$5:$AL$883,H$4,FALSE))</f>
        <v/>
      </c>
      <c r="I471" s="147" t="str">
        <f>IF($C471="","",VLOOKUP($C471,'Tracking List'!$A$5:$AL$883,I$4,FALSE))</f>
        <v/>
      </c>
      <c r="J471" s="147" t="str">
        <f>IF($C471="","",VLOOKUP($C471,'Tracking List'!$A$5:$AL$883,J$4,FALSE))</f>
        <v/>
      </c>
      <c r="K471" s="147" t="str">
        <f>IF($C471="","",VLOOKUP($C471,'Tracking List'!$A$5:$AL$883,K$4,FALSE))</f>
        <v/>
      </c>
      <c r="L471" s="168" t="str">
        <f>IF($C471="","",VLOOKUP($C471,'Tracking List'!$A$5:$AL$883,L$4,FALSE))</f>
        <v/>
      </c>
      <c r="M471" s="147" t="str">
        <f>IF($C471="","",VLOOKUP($C471,'Tracking List'!$A$5:$AL$883,M$4,FALSE))</f>
        <v/>
      </c>
      <c r="N471" s="148" t="str">
        <f>IF($C471="","",IF(VLOOKUP($C471,'Tracking List'!$A$5:$AL$883,N$3,FALSE)&gt;0,"Y",VLOOKUP($C471,'Tracking List'!$A$5:$AL$883,N$4,FALSE)))</f>
        <v/>
      </c>
      <c r="O471" s="148" t="str">
        <f>IF($C471="","",IF(VLOOKUP($C471,'Tracking List'!$A$5:$AL$883,O$3,FALSE)&gt;0,"Y",VLOOKUP($C471,'Tracking List'!$A$5:$AL$883,O$4,FALSE)))</f>
        <v/>
      </c>
      <c r="P471" s="147" t="str">
        <f>IF($C471="","",IF(VLOOKUP($C471,'Tracking List'!$A$5:$AL$883,P$4,FALSE)&gt;0,"Y",""))</f>
        <v/>
      </c>
      <c r="Q471" s="149"/>
      <c r="R471" s="166" t="str">
        <f>IF($C471="","",VLOOKUP($C471,'Tracking List'!$A$5:$AL$883,R$4,FALSE))</f>
        <v/>
      </c>
    </row>
    <row r="472" spans="3:18">
      <c r="C472" s="146"/>
      <c r="D472" s="147" t="str">
        <f>IF($C472="","",VLOOKUP($C472,'Tracking List'!$A$5:$AL$883,D$4,FALSE))</f>
        <v/>
      </c>
      <c r="E472" s="147" t="str">
        <f>IF($C472="","",VLOOKUP($C472,'Tracking List'!$A$5:$AL$883,E$4,FALSE))</f>
        <v/>
      </c>
      <c r="F472" s="147" t="str">
        <f>IF($C472="","",VLOOKUP($C472,'Tracking List'!$A$5:$AL$883,F$4,FALSE))</f>
        <v/>
      </c>
      <c r="G472" s="147" t="str">
        <f>IF($C472="","",VLOOKUP($C472,'Tracking List'!$A$5:$AL$883,G$4,FALSE))</f>
        <v/>
      </c>
      <c r="H472" s="147" t="str">
        <f>IF($C472="","",VLOOKUP($C472,'Tracking List'!$A$5:$AL$883,H$4,FALSE))</f>
        <v/>
      </c>
      <c r="I472" s="147" t="str">
        <f>IF($C472="","",VLOOKUP($C472,'Tracking List'!$A$5:$AL$883,I$4,FALSE))</f>
        <v/>
      </c>
      <c r="J472" s="147" t="str">
        <f>IF($C472="","",VLOOKUP($C472,'Tracking List'!$A$5:$AL$883,J$4,FALSE))</f>
        <v/>
      </c>
      <c r="K472" s="147" t="str">
        <f>IF($C472="","",VLOOKUP($C472,'Tracking List'!$A$5:$AL$883,K$4,FALSE))</f>
        <v/>
      </c>
      <c r="L472" s="168" t="str">
        <f>IF($C472="","",VLOOKUP($C472,'Tracking List'!$A$5:$AL$883,L$4,FALSE))</f>
        <v/>
      </c>
      <c r="M472" s="147" t="str">
        <f>IF($C472="","",VLOOKUP($C472,'Tracking List'!$A$5:$AL$883,M$4,FALSE))</f>
        <v/>
      </c>
      <c r="N472" s="148" t="str">
        <f>IF($C472="","",IF(VLOOKUP($C472,'Tracking List'!$A$5:$AL$883,N$3,FALSE)&gt;0,"Y",VLOOKUP($C472,'Tracking List'!$A$5:$AL$883,N$4,FALSE)))</f>
        <v/>
      </c>
      <c r="O472" s="148" t="str">
        <f>IF($C472="","",IF(VLOOKUP($C472,'Tracking List'!$A$5:$AL$883,O$3,FALSE)&gt;0,"Y",VLOOKUP($C472,'Tracking List'!$A$5:$AL$883,O$4,FALSE)))</f>
        <v/>
      </c>
      <c r="P472" s="147" t="str">
        <f>IF($C472="","",IF(VLOOKUP($C472,'Tracking List'!$A$5:$AL$883,P$4,FALSE)&gt;0,"Y",""))</f>
        <v/>
      </c>
      <c r="Q472" s="149"/>
      <c r="R472" s="166" t="str">
        <f>IF($C472="","",VLOOKUP($C472,'Tracking List'!$A$5:$AL$883,R$4,FALSE))</f>
        <v/>
      </c>
    </row>
    <row r="473" spans="3:18">
      <c r="C473" s="146"/>
      <c r="D473" s="147" t="str">
        <f>IF($C473="","",VLOOKUP($C473,'Tracking List'!$A$5:$AL$883,D$4,FALSE))</f>
        <v/>
      </c>
      <c r="E473" s="147" t="str">
        <f>IF($C473="","",VLOOKUP($C473,'Tracking List'!$A$5:$AL$883,E$4,FALSE))</f>
        <v/>
      </c>
      <c r="F473" s="147" t="str">
        <f>IF($C473="","",VLOOKUP($C473,'Tracking List'!$A$5:$AL$883,F$4,FALSE))</f>
        <v/>
      </c>
      <c r="G473" s="147" t="str">
        <f>IF($C473="","",VLOOKUP($C473,'Tracking List'!$A$5:$AL$883,G$4,FALSE))</f>
        <v/>
      </c>
      <c r="H473" s="147" t="str">
        <f>IF($C473="","",VLOOKUP($C473,'Tracking List'!$A$5:$AL$883,H$4,FALSE))</f>
        <v/>
      </c>
      <c r="I473" s="147" t="str">
        <f>IF($C473="","",VLOOKUP($C473,'Tracking List'!$A$5:$AL$883,I$4,FALSE))</f>
        <v/>
      </c>
      <c r="J473" s="147" t="str">
        <f>IF($C473="","",VLOOKUP($C473,'Tracking List'!$A$5:$AL$883,J$4,FALSE))</f>
        <v/>
      </c>
      <c r="K473" s="147" t="str">
        <f>IF($C473="","",VLOOKUP($C473,'Tracking List'!$A$5:$AL$883,K$4,FALSE))</f>
        <v/>
      </c>
      <c r="L473" s="168" t="str">
        <f>IF($C473="","",VLOOKUP($C473,'Tracking List'!$A$5:$AL$883,L$4,FALSE))</f>
        <v/>
      </c>
      <c r="M473" s="147" t="str">
        <f>IF($C473="","",VLOOKUP($C473,'Tracking List'!$A$5:$AL$883,M$4,FALSE))</f>
        <v/>
      </c>
      <c r="N473" s="148" t="str">
        <f>IF($C473="","",IF(VLOOKUP($C473,'Tracking List'!$A$5:$AL$883,N$3,FALSE)&gt;0,"Y",VLOOKUP($C473,'Tracking List'!$A$5:$AL$883,N$4,FALSE)))</f>
        <v/>
      </c>
      <c r="O473" s="148" t="str">
        <f>IF($C473="","",IF(VLOOKUP($C473,'Tracking List'!$A$5:$AL$883,O$3,FALSE)&gt;0,"Y",VLOOKUP($C473,'Tracking List'!$A$5:$AL$883,O$4,FALSE)))</f>
        <v/>
      </c>
      <c r="P473" s="147" t="str">
        <f>IF($C473="","",IF(VLOOKUP($C473,'Tracking List'!$A$5:$AL$883,P$4,FALSE)&gt;0,"Y",""))</f>
        <v/>
      </c>
      <c r="Q473" s="149"/>
      <c r="R473" s="166" t="str">
        <f>IF($C473="","",VLOOKUP($C473,'Tracking List'!$A$5:$AL$883,R$4,FALSE))</f>
        <v/>
      </c>
    </row>
    <row r="474" spans="3:18">
      <c r="C474" s="146"/>
      <c r="D474" s="147" t="str">
        <f>IF($C474="","",VLOOKUP($C474,'Tracking List'!$A$5:$AL$883,D$4,FALSE))</f>
        <v/>
      </c>
      <c r="E474" s="147" t="str">
        <f>IF($C474="","",VLOOKUP($C474,'Tracking List'!$A$5:$AL$883,E$4,FALSE))</f>
        <v/>
      </c>
      <c r="F474" s="147" t="str">
        <f>IF($C474="","",VLOOKUP($C474,'Tracking List'!$A$5:$AL$883,F$4,FALSE))</f>
        <v/>
      </c>
      <c r="G474" s="147" t="str">
        <f>IF($C474="","",VLOOKUP($C474,'Tracking List'!$A$5:$AL$883,G$4,FALSE))</f>
        <v/>
      </c>
      <c r="H474" s="147" t="str">
        <f>IF($C474="","",VLOOKUP($C474,'Tracking List'!$A$5:$AL$883,H$4,FALSE))</f>
        <v/>
      </c>
      <c r="I474" s="147" t="str">
        <f>IF($C474="","",VLOOKUP($C474,'Tracking List'!$A$5:$AL$883,I$4,FALSE))</f>
        <v/>
      </c>
      <c r="J474" s="147" t="str">
        <f>IF($C474="","",VLOOKUP($C474,'Tracking List'!$A$5:$AL$883,J$4,FALSE))</f>
        <v/>
      </c>
      <c r="K474" s="147" t="str">
        <f>IF($C474="","",VLOOKUP($C474,'Tracking List'!$A$5:$AL$883,K$4,FALSE))</f>
        <v/>
      </c>
      <c r="L474" s="168" t="str">
        <f>IF($C474="","",VLOOKUP($C474,'Tracking List'!$A$5:$AL$883,L$4,FALSE))</f>
        <v/>
      </c>
      <c r="M474" s="147" t="str">
        <f>IF($C474="","",VLOOKUP($C474,'Tracking List'!$A$5:$AL$883,M$4,FALSE))</f>
        <v/>
      </c>
      <c r="N474" s="148" t="str">
        <f>IF($C474="","",IF(VLOOKUP($C474,'Tracking List'!$A$5:$AL$883,N$3,FALSE)&gt;0,"Y",VLOOKUP($C474,'Tracking List'!$A$5:$AL$883,N$4,FALSE)))</f>
        <v/>
      </c>
      <c r="O474" s="148" t="str">
        <f>IF($C474="","",IF(VLOOKUP($C474,'Tracking List'!$A$5:$AL$883,O$3,FALSE)&gt;0,"Y",VLOOKUP($C474,'Tracking List'!$A$5:$AL$883,O$4,FALSE)))</f>
        <v/>
      </c>
      <c r="P474" s="147" t="str">
        <f>IF($C474="","",IF(VLOOKUP($C474,'Tracking List'!$A$5:$AL$883,P$4,FALSE)&gt;0,"Y",""))</f>
        <v/>
      </c>
      <c r="Q474" s="149"/>
      <c r="R474" s="166" t="str">
        <f>IF($C474="","",VLOOKUP($C474,'Tracking List'!$A$5:$AL$883,R$4,FALSE))</f>
        <v/>
      </c>
    </row>
    <row r="475" spans="3:18">
      <c r="C475" s="146"/>
      <c r="D475" s="147" t="str">
        <f>IF($C475="","",VLOOKUP($C475,'Tracking List'!$A$5:$AL$883,D$4,FALSE))</f>
        <v/>
      </c>
      <c r="E475" s="147" t="str">
        <f>IF($C475="","",VLOOKUP($C475,'Tracking List'!$A$5:$AL$883,E$4,FALSE))</f>
        <v/>
      </c>
      <c r="F475" s="147" t="str">
        <f>IF($C475="","",VLOOKUP($C475,'Tracking List'!$A$5:$AL$883,F$4,FALSE))</f>
        <v/>
      </c>
      <c r="G475" s="147" t="str">
        <f>IF($C475="","",VLOOKUP($C475,'Tracking List'!$A$5:$AL$883,G$4,FALSE))</f>
        <v/>
      </c>
      <c r="H475" s="147" t="str">
        <f>IF($C475="","",VLOOKUP($C475,'Tracking List'!$A$5:$AL$883,H$4,FALSE))</f>
        <v/>
      </c>
      <c r="I475" s="147" t="str">
        <f>IF($C475="","",VLOOKUP($C475,'Tracking List'!$A$5:$AL$883,I$4,FALSE))</f>
        <v/>
      </c>
      <c r="J475" s="147" t="str">
        <f>IF($C475="","",VLOOKUP($C475,'Tracking List'!$A$5:$AL$883,J$4,FALSE))</f>
        <v/>
      </c>
      <c r="K475" s="147" t="str">
        <f>IF($C475="","",VLOOKUP($C475,'Tracking List'!$A$5:$AL$883,K$4,FALSE))</f>
        <v/>
      </c>
      <c r="L475" s="168" t="str">
        <f>IF($C475="","",VLOOKUP($C475,'Tracking List'!$A$5:$AL$883,L$4,FALSE))</f>
        <v/>
      </c>
      <c r="M475" s="147" t="str">
        <f>IF($C475="","",VLOOKUP($C475,'Tracking List'!$A$5:$AL$883,M$4,FALSE))</f>
        <v/>
      </c>
      <c r="N475" s="148" t="str">
        <f>IF($C475="","",IF(VLOOKUP($C475,'Tracking List'!$A$5:$AL$883,N$3,FALSE)&gt;0,"Y",VLOOKUP($C475,'Tracking List'!$A$5:$AL$883,N$4,FALSE)))</f>
        <v/>
      </c>
      <c r="O475" s="148" t="str">
        <f>IF($C475="","",IF(VLOOKUP($C475,'Tracking List'!$A$5:$AL$883,O$3,FALSE)&gt;0,"Y",VLOOKUP($C475,'Tracking List'!$A$5:$AL$883,O$4,FALSE)))</f>
        <v/>
      </c>
      <c r="P475" s="147" t="str">
        <f>IF($C475="","",IF(VLOOKUP($C475,'Tracking List'!$A$5:$AL$883,P$4,FALSE)&gt;0,"Y",""))</f>
        <v/>
      </c>
      <c r="Q475" s="149"/>
      <c r="R475" s="166" t="str">
        <f>IF($C475="","",VLOOKUP($C475,'Tracking List'!$A$5:$AL$883,R$4,FALSE))</f>
        <v/>
      </c>
    </row>
    <row r="476" spans="3:18">
      <c r="C476" s="146"/>
      <c r="D476" s="147" t="str">
        <f>IF($C476="","",VLOOKUP($C476,'Tracking List'!$A$5:$AL$883,D$4,FALSE))</f>
        <v/>
      </c>
      <c r="E476" s="147" t="str">
        <f>IF($C476="","",VLOOKUP($C476,'Tracking List'!$A$5:$AL$883,E$4,FALSE))</f>
        <v/>
      </c>
      <c r="F476" s="147" t="str">
        <f>IF($C476="","",VLOOKUP($C476,'Tracking List'!$A$5:$AL$883,F$4,FALSE))</f>
        <v/>
      </c>
      <c r="G476" s="147" t="str">
        <f>IF($C476="","",VLOOKUP($C476,'Tracking List'!$A$5:$AL$883,G$4,FALSE))</f>
        <v/>
      </c>
      <c r="H476" s="147" t="str">
        <f>IF($C476="","",VLOOKUP($C476,'Tracking List'!$A$5:$AL$883,H$4,FALSE))</f>
        <v/>
      </c>
      <c r="I476" s="147" t="str">
        <f>IF($C476="","",VLOOKUP($C476,'Tracking List'!$A$5:$AL$883,I$4,FALSE))</f>
        <v/>
      </c>
      <c r="J476" s="147" t="str">
        <f>IF($C476="","",VLOOKUP($C476,'Tracking List'!$A$5:$AL$883,J$4,FALSE))</f>
        <v/>
      </c>
      <c r="K476" s="147" t="str">
        <f>IF($C476="","",VLOOKUP($C476,'Tracking List'!$A$5:$AL$883,K$4,FALSE))</f>
        <v/>
      </c>
      <c r="L476" s="168" t="str">
        <f>IF($C476="","",VLOOKUP($C476,'Tracking List'!$A$5:$AL$883,L$4,FALSE))</f>
        <v/>
      </c>
      <c r="M476" s="147" t="str">
        <f>IF($C476="","",VLOOKUP($C476,'Tracking List'!$A$5:$AL$883,M$4,FALSE))</f>
        <v/>
      </c>
      <c r="N476" s="148" t="str">
        <f>IF($C476="","",IF(VLOOKUP($C476,'Tracking List'!$A$5:$AL$883,N$3,FALSE)&gt;0,"Y",VLOOKUP($C476,'Tracking List'!$A$5:$AL$883,N$4,FALSE)))</f>
        <v/>
      </c>
      <c r="O476" s="148" t="str">
        <f>IF($C476="","",IF(VLOOKUP($C476,'Tracking List'!$A$5:$AL$883,O$3,FALSE)&gt;0,"Y",VLOOKUP($C476,'Tracking List'!$A$5:$AL$883,O$4,FALSE)))</f>
        <v/>
      </c>
      <c r="P476" s="147" t="str">
        <f>IF($C476="","",IF(VLOOKUP($C476,'Tracking List'!$A$5:$AL$883,P$4,FALSE)&gt;0,"Y",""))</f>
        <v/>
      </c>
      <c r="Q476" s="149"/>
      <c r="R476" s="166" t="str">
        <f>IF($C476="","",VLOOKUP($C476,'Tracking List'!$A$5:$AL$883,R$4,FALSE))</f>
        <v/>
      </c>
    </row>
    <row r="477" spans="3:18">
      <c r="C477" s="146"/>
      <c r="D477" s="147" t="str">
        <f>IF($C477="","",VLOOKUP($C477,'Tracking List'!$A$5:$AL$883,D$4,FALSE))</f>
        <v/>
      </c>
      <c r="E477" s="147" t="str">
        <f>IF($C477="","",VLOOKUP($C477,'Tracking List'!$A$5:$AL$883,E$4,FALSE))</f>
        <v/>
      </c>
      <c r="F477" s="147" t="str">
        <f>IF($C477="","",VLOOKUP($C477,'Tracking List'!$A$5:$AL$883,F$4,FALSE))</f>
        <v/>
      </c>
      <c r="G477" s="147" t="str">
        <f>IF($C477="","",VLOOKUP($C477,'Tracking List'!$A$5:$AL$883,G$4,FALSE))</f>
        <v/>
      </c>
      <c r="H477" s="147" t="str">
        <f>IF($C477="","",VLOOKUP($C477,'Tracking List'!$A$5:$AL$883,H$4,FALSE))</f>
        <v/>
      </c>
      <c r="I477" s="147" t="str">
        <f>IF($C477="","",VLOOKUP($C477,'Tracking List'!$A$5:$AL$883,I$4,FALSE))</f>
        <v/>
      </c>
      <c r="J477" s="147" t="str">
        <f>IF($C477="","",VLOOKUP($C477,'Tracking List'!$A$5:$AL$883,J$4,FALSE))</f>
        <v/>
      </c>
      <c r="K477" s="147" t="str">
        <f>IF($C477="","",VLOOKUP($C477,'Tracking List'!$A$5:$AL$883,K$4,FALSE))</f>
        <v/>
      </c>
      <c r="L477" s="168" t="str">
        <f>IF($C477="","",VLOOKUP($C477,'Tracking List'!$A$5:$AL$883,L$4,FALSE))</f>
        <v/>
      </c>
      <c r="M477" s="147" t="str">
        <f>IF($C477="","",VLOOKUP($C477,'Tracking List'!$A$5:$AL$883,M$4,FALSE))</f>
        <v/>
      </c>
      <c r="N477" s="148" t="str">
        <f>IF($C477="","",IF(VLOOKUP($C477,'Tracking List'!$A$5:$AL$883,N$3,FALSE)&gt;0,"Y",VLOOKUP($C477,'Tracking List'!$A$5:$AL$883,N$4,FALSE)))</f>
        <v/>
      </c>
      <c r="O477" s="148" t="str">
        <f>IF($C477="","",IF(VLOOKUP($C477,'Tracking List'!$A$5:$AL$883,O$3,FALSE)&gt;0,"Y",VLOOKUP($C477,'Tracking List'!$A$5:$AL$883,O$4,FALSE)))</f>
        <v/>
      </c>
      <c r="P477" s="147" t="str">
        <f>IF($C477="","",IF(VLOOKUP($C477,'Tracking List'!$A$5:$AL$883,P$4,FALSE)&gt;0,"Y",""))</f>
        <v/>
      </c>
      <c r="Q477" s="149"/>
      <c r="R477" s="166" t="str">
        <f>IF($C477="","",VLOOKUP($C477,'Tracking List'!$A$5:$AL$883,R$4,FALSE))</f>
        <v/>
      </c>
    </row>
    <row r="478" spans="3:18">
      <c r="C478" s="146"/>
      <c r="D478" s="147" t="str">
        <f>IF($C478="","",VLOOKUP($C478,'Tracking List'!$A$5:$AL$883,D$4,FALSE))</f>
        <v/>
      </c>
      <c r="E478" s="147" t="str">
        <f>IF($C478="","",VLOOKUP($C478,'Tracking List'!$A$5:$AL$883,E$4,FALSE))</f>
        <v/>
      </c>
      <c r="F478" s="147" t="str">
        <f>IF($C478="","",VLOOKUP($C478,'Tracking List'!$A$5:$AL$883,F$4,FALSE))</f>
        <v/>
      </c>
      <c r="G478" s="147" t="str">
        <f>IF($C478="","",VLOOKUP($C478,'Tracking List'!$A$5:$AL$883,G$4,FALSE))</f>
        <v/>
      </c>
      <c r="H478" s="147" t="str">
        <f>IF($C478="","",VLOOKUP($C478,'Tracking List'!$A$5:$AL$883,H$4,FALSE))</f>
        <v/>
      </c>
      <c r="I478" s="147" t="str">
        <f>IF($C478="","",VLOOKUP($C478,'Tracking List'!$A$5:$AL$883,I$4,FALSE))</f>
        <v/>
      </c>
      <c r="J478" s="147" t="str">
        <f>IF($C478="","",VLOOKUP($C478,'Tracking List'!$A$5:$AL$883,J$4,FALSE))</f>
        <v/>
      </c>
      <c r="K478" s="147" t="str">
        <f>IF($C478="","",VLOOKUP($C478,'Tracking List'!$A$5:$AL$883,K$4,FALSE))</f>
        <v/>
      </c>
      <c r="L478" s="168" t="str">
        <f>IF($C478="","",VLOOKUP($C478,'Tracking List'!$A$5:$AL$883,L$4,FALSE))</f>
        <v/>
      </c>
      <c r="M478" s="147" t="str">
        <f>IF($C478="","",VLOOKUP($C478,'Tracking List'!$A$5:$AL$883,M$4,FALSE))</f>
        <v/>
      </c>
      <c r="N478" s="148" t="str">
        <f>IF($C478="","",IF(VLOOKUP($C478,'Tracking List'!$A$5:$AL$883,N$3,FALSE)&gt;0,"Y",VLOOKUP($C478,'Tracking List'!$A$5:$AL$883,N$4,FALSE)))</f>
        <v/>
      </c>
      <c r="O478" s="148" t="str">
        <f>IF($C478="","",IF(VLOOKUP($C478,'Tracking List'!$A$5:$AL$883,O$3,FALSE)&gt;0,"Y",VLOOKUP($C478,'Tracking List'!$A$5:$AL$883,O$4,FALSE)))</f>
        <v/>
      </c>
      <c r="P478" s="147" t="str">
        <f>IF($C478="","",IF(VLOOKUP($C478,'Tracking List'!$A$5:$AL$883,P$4,FALSE)&gt;0,"Y",""))</f>
        <v/>
      </c>
      <c r="Q478" s="149"/>
      <c r="R478" s="166" t="str">
        <f>IF($C478="","",VLOOKUP($C478,'Tracking List'!$A$5:$AL$883,R$4,FALSE))</f>
        <v/>
      </c>
    </row>
    <row r="479" spans="3:18">
      <c r="C479" s="146"/>
      <c r="D479" s="147" t="str">
        <f>IF($C479="","",VLOOKUP($C479,'Tracking List'!$A$5:$AL$883,D$4,FALSE))</f>
        <v/>
      </c>
      <c r="E479" s="147" t="str">
        <f>IF($C479="","",VLOOKUP($C479,'Tracking List'!$A$5:$AL$883,E$4,FALSE))</f>
        <v/>
      </c>
      <c r="F479" s="147" t="str">
        <f>IF($C479="","",VLOOKUP($C479,'Tracking List'!$A$5:$AL$883,F$4,FALSE))</f>
        <v/>
      </c>
      <c r="G479" s="147" t="str">
        <f>IF($C479="","",VLOOKUP($C479,'Tracking List'!$A$5:$AL$883,G$4,FALSE))</f>
        <v/>
      </c>
      <c r="H479" s="147" t="str">
        <f>IF($C479="","",VLOOKUP($C479,'Tracking List'!$A$5:$AL$883,H$4,FALSE))</f>
        <v/>
      </c>
      <c r="I479" s="147" t="str">
        <f>IF($C479="","",VLOOKUP($C479,'Tracking List'!$A$5:$AL$883,I$4,FALSE))</f>
        <v/>
      </c>
      <c r="J479" s="147" t="str">
        <f>IF($C479="","",VLOOKUP($C479,'Tracking List'!$A$5:$AL$883,J$4,FALSE))</f>
        <v/>
      </c>
      <c r="K479" s="147" t="str">
        <f>IF($C479="","",VLOOKUP($C479,'Tracking List'!$A$5:$AL$883,K$4,FALSE))</f>
        <v/>
      </c>
      <c r="L479" s="168" t="str">
        <f>IF($C479="","",VLOOKUP($C479,'Tracking List'!$A$5:$AL$883,L$4,FALSE))</f>
        <v/>
      </c>
      <c r="M479" s="147" t="str">
        <f>IF($C479="","",VLOOKUP($C479,'Tracking List'!$A$5:$AL$883,M$4,FALSE))</f>
        <v/>
      </c>
      <c r="N479" s="148" t="str">
        <f>IF($C479="","",IF(VLOOKUP($C479,'Tracking List'!$A$5:$AL$883,N$3,FALSE)&gt;0,"Y",VLOOKUP($C479,'Tracking List'!$A$5:$AL$883,N$4,FALSE)))</f>
        <v/>
      </c>
      <c r="O479" s="148" t="str">
        <f>IF($C479="","",IF(VLOOKUP($C479,'Tracking List'!$A$5:$AL$883,O$3,FALSE)&gt;0,"Y",VLOOKUP($C479,'Tracking List'!$A$5:$AL$883,O$4,FALSE)))</f>
        <v/>
      </c>
      <c r="P479" s="147" t="str">
        <f>IF($C479="","",IF(VLOOKUP($C479,'Tracking List'!$A$5:$AL$883,P$4,FALSE)&gt;0,"Y",""))</f>
        <v/>
      </c>
      <c r="Q479" s="149"/>
      <c r="R479" s="166" t="str">
        <f>IF($C479="","",VLOOKUP($C479,'Tracking List'!$A$5:$AL$883,R$4,FALSE))</f>
        <v/>
      </c>
    </row>
    <row r="480" spans="3:18">
      <c r="C480" s="146"/>
      <c r="D480" s="147" t="str">
        <f>IF($C480="","",VLOOKUP($C480,'Tracking List'!$A$5:$AL$883,D$4,FALSE))</f>
        <v/>
      </c>
      <c r="E480" s="147" t="str">
        <f>IF($C480="","",VLOOKUP($C480,'Tracking List'!$A$5:$AL$883,E$4,FALSE))</f>
        <v/>
      </c>
      <c r="F480" s="147" t="str">
        <f>IF($C480="","",VLOOKUP($C480,'Tracking List'!$A$5:$AL$883,F$4,FALSE))</f>
        <v/>
      </c>
      <c r="G480" s="147" t="str">
        <f>IF($C480="","",VLOOKUP($C480,'Tracking List'!$A$5:$AL$883,G$4,FALSE))</f>
        <v/>
      </c>
      <c r="H480" s="147" t="str">
        <f>IF($C480="","",VLOOKUP($C480,'Tracking List'!$A$5:$AL$883,H$4,FALSE))</f>
        <v/>
      </c>
      <c r="I480" s="147" t="str">
        <f>IF($C480="","",VLOOKUP($C480,'Tracking List'!$A$5:$AL$883,I$4,FALSE))</f>
        <v/>
      </c>
      <c r="J480" s="147" t="str">
        <f>IF($C480="","",VLOOKUP($C480,'Tracking List'!$A$5:$AL$883,J$4,FALSE))</f>
        <v/>
      </c>
      <c r="K480" s="147" t="str">
        <f>IF($C480="","",VLOOKUP($C480,'Tracking List'!$A$5:$AL$883,K$4,FALSE))</f>
        <v/>
      </c>
      <c r="L480" s="168" t="str">
        <f>IF($C480="","",VLOOKUP($C480,'Tracking List'!$A$5:$AL$883,L$4,FALSE))</f>
        <v/>
      </c>
      <c r="M480" s="147" t="str">
        <f>IF($C480="","",VLOOKUP($C480,'Tracking List'!$A$5:$AL$883,M$4,FALSE))</f>
        <v/>
      </c>
      <c r="N480" s="148" t="str">
        <f>IF($C480="","",IF(VLOOKUP($C480,'Tracking List'!$A$5:$AL$883,N$3,FALSE)&gt;0,"Y",VLOOKUP($C480,'Tracking List'!$A$5:$AL$883,N$4,FALSE)))</f>
        <v/>
      </c>
      <c r="O480" s="148" t="str">
        <f>IF($C480="","",IF(VLOOKUP($C480,'Tracking List'!$A$5:$AL$883,O$3,FALSE)&gt;0,"Y",VLOOKUP($C480,'Tracking List'!$A$5:$AL$883,O$4,FALSE)))</f>
        <v/>
      </c>
      <c r="P480" s="147" t="str">
        <f>IF($C480="","",IF(VLOOKUP($C480,'Tracking List'!$A$5:$AL$883,P$4,FALSE)&gt;0,"Y",""))</f>
        <v/>
      </c>
      <c r="Q480" s="149"/>
      <c r="R480" s="166" t="str">
        <f>IF($C480="","",VLOOKUP($C480,'Tracking List'!$A$5:$AL$883,R$4,FALSE))</f>
        <v/>
      </c>
    </row>
    <row r="481" spans="3:18">
      <c r="C481" s="146"/>
      <c r="D481" s="147" t="str">
        <f>IF($C481="","",VLOOKUP($C481,'Tracking List'!$A$5:$AL$883,D$4,FALSE))</f>
        <v/>
      </c>
      <c r="E481" s="147" t="str">
        <f>IF($C481="","",VLOOKUP($C481,'Tracking List'!$A$5:$AL$883,E$4,FALSE))</f>
        <v/>
      </c>
      <c r="F481" s="147" t="str">
        <f>IF($C481="","",VLOOKUP($C481,'Tracking List'!$A$5:$AL$883,F$4,FALSE))</f>
        <v/>
      </c>
      <c r="G481" s="147" t="str">
        <f>IF($C481="","",VLOOKUP($C481,'Tracking List'!$A$5:$AL$883,G$4,FALSE))</f>
        <v/>
      </c>
      <c r="H481" s="147" t="str">
        <f>IF($C481="","",VLOOKUP($C481,'Tracking List'!$A$5:$AL$883,H$4,FALSE))</f>
        <v/>
      </c>
      <c r="I481" s="147" t="str">
        <f>IF($C481="","",VLOOKUP($C481,'Tracking List'!$A$5:$AL$883,I$4,FALSE))</f>
        <v/>
      </c>
      <c r="J481" s="147" t="str">
        <f>IF($C481="","",VLOOKUP($C481,'Tracking List'!$A$5:$AL$883,J$4,FALSE))</f>
        <v/>
      </c>
      <c r="K481" s="147" t="str">
        <f>IF($C481="","",VLOOKUP($C481,'Tracking List'!$A$5:$AL$883,K$4,FALSE))</f>
        <v/>
      </c>
      <c r="L481" s="168" t="str">
        <f>IF($C481="","",VLOOKUP($C481,'Tracking List'!$A$5:$AL$883,L$4,FALSE))</f>
        <v/>
      </c>
      <c r="M481" s="147" t="str">
        <f>IF($C481="","",VLOOKUP($C481,'Tracking List'!$A$5:$AL$883,M$4,FALSE))</f>
        <v/>
      </c>
      <c r="N481" s="148" t="str">
        <f>IF($C481="","",IF(VLOOKUP($C481,'Tracking List'!$A$5:$AL$883,N$3,FALSE)&gt;0,"Y",VLOOKUP($C481,'Tracking List'!$A$5:$AL$883,N$4,FALSE)))</f>
        <v/>
      </c>
      <c r="O481" s="148" t="str">
        <f>IF($C481="","",IF(VLOOKUP($C481,'Tracking List'!$A$5:$AL$883,O$3,FALSE)&gt;0,"Y",VLOOKUP($C481,'Tracking List'!$A$5:$AL$883,O$4,FALSE)))</f>
        <v/>
      </c>
      <c r="P481" s="147" t="str">
        <f>IF($C481="","",IF(VLOOKUP($C481,'Tracking List'!$A$5:$AL$883,P$4,FALSE)&gt;0,"Y",""))</f>
        <v/>
      </c>
      <c r="Q481" s="149"/>
      <c r="R481" s="166" t="str">
        <f>IF($C481="","",VLOOKUP($C481,'Tracking List'!$A$5:$AL$883,R$4,FALSE))</f>
        <v/>
      </c>
    </row>
    <row r="482" spans="3:18">
      <c r="C482" s="146"/>
      <c r="D482" s="147" t="str">
        <f>IF($C482="","",VLOOKUP($C482,'Tracking List'!$A$5:$AL$883,D$4,FALSE))</f>
        <v/>
      </c>
      <c r="E482" s="147" t="str">
        <f>IF($C482="","",VLOOKUP($C482,'Tracking List'!$A$5:$AL$883,E$4,FALSE))</f>
        <v/>
      </c>
      <c r="F482" s="147" t="str">
        <f>IF($C482="","",VLOOKUP($C482,'Tracking List'!$A$5:$AL$883,F$4,FALSE))</f>
        <v/>
      </c>
      <c r="G482" s="147" t="str">
        <f>IF($C482="","",VLOOKUP($C482,'Tracking List'!$A$5:$AL$883,G$4,FALSE))</f>
        <v/>
      </c>
      <c r="H482" s="147" t="str">
        <f>IF($C482="","",VLOOKUP($C482,'Tracking List'!$A$5:$AL$883,H$4,FALSE))</f>
        <v/>
      </c>
      <c r="I482" s="147" t="str">
        <f>IF($C482="","",VLOOKUP($C482,'Tracking List'!$A$5:$AL$883,I$4,FALSE))</f>
        <v/>
      </c>
      <c r="J482" s="147" t="str">
        <f>IF($C482="","",VLOOKUP($C482,'Tracking List'!$A$5:$AL$883,J$4,FALSE))</f>
        <v/>
      </c>
      <c r="K482" s="147" t="str">
        <f>IF($C482="","",VLOOKUP($C482,'Tracking List'!$A$5:$AL$883,K$4,FALSE))</f>
        <v/>
      </c>
      <c r="L482" s="168" t="str">
        <f>IF($C482="","",VLOOKUP($C482,'Tracking List'!$A$5:$AL$883,L$4,FALSE))</f>
        <v/>
      </c>
      <c r="M482" s="147" t="str">
        <f>IF($C482="","",VLOOKUP($C482,'Tracking List'!$A$5:$AL$883,M$4,FALSE))</f>
        <v/>
      </c>
      <c r="N482" s="148" t="str">
        <f>IF($C482="","",IF(VLOOKUP($C482,'Tracking List'!$A$5:$AL$883,N$3,FALSE)&gt;0,"Y",VLOOKUP($C482,'Tracking List'!$A$5:$AL$883,N$4,FALSE)))</f>
        <v/>
      </c>
      <c r="O482" s="148" t="str">
        <f>IF($C482="","",IF(VLOOKUP($C482,'Tracking List'!$A$5:$AL$883,O$3,FALSE)&gt;0,"Y",VLOOKUP($C482,'Tracking List'!$A$5:$AL$883,O$4,FALSE)))</f>
        <v/>
      </c>
      <c r="P482" s="147" t="str">
        <f>IF($C482="","",IF(VLOOKUP($C482,'Tracking List'!$A$5:$AL$883,P$4,FALSE)&gt;0,"Y",""))</f>
        <v/>
      </c>
      <c r="Q482" s="149"/>
      <c r="R482" s="166" t="str">
        <f>IF($C482="","",VLOOKUP($C482,'Tracking List'!$A$5:$AL$883,R$4,FALSE))</f>
        <v/>
      </c>
    </row>
    <row r="483" spans="3:18">
      <c r="C483" s="146"/>
      <c r="D483" s="147" t="str">
        <f>IF($C483="","",VLOOKUP($C483,'Tracking List'!$A$5:$AL$883,D$4,FALSE))</f>
        <v/>
      </c>
      <c r="E483" s="147" t="str">
        <f>IF($C483="","",VLOOKUP($C483,'Tracking List'!$A$5:$AL$883,E$4,FALSE))</f>
        <v/>
      </c>
      <c r="F483" s="147" t="str">
        <f>IF($C483="","",VLOOKUP($C483,'Tracking List'!$A$5:$AL$883,F$4,FALSE))</f>
        <v/>
      </c>
      <c r="G483" s="147" t="str">
        <f>IF($C483="","",VLOOKUP($C483,'Tracking List'!$A$5:$AL$883,G$4,FALSE))</f>
        <v/>
      </c>
      <c r="H483" s="147" t="str">
        <f>IF($C483="","",VLOOKUP($C483,'Tracking List'!$A$5:$AL$883,H$4,FALSE))</f>
        <v/>
      </c>
      <c r="I483" s="147" t="str">
        <f>IF($C483="","",VLOOKUP($C483,'Tracking List'!$A$5:$AL$883,I$4,FALSE))</f>
        <v/>
      </c>
      <c r="J483" s="147" t="str">
        <f>IF($C483="","",VLOOKUP($C483,'Tracking List'!$A$5:$AL$883,J$4,FALSE))</f>
        <v/>
      </c>
      <c r="K483" s="147" t="str">
        <f>IF($C483="","",VLOOKUP($C483,'Tracking List'!$A$5:$AL$883,K$4,FALSE))</f>
        <v/>
      </c>
      <c r="L483" s="168" t="str">
        <f>IF($C483="","",VLOOKUP($C483,'Tracking List'!$A$5:$AL$883,L$4,FALSE))</f>
        <v/>
      </c>
      <c r="M483" s="147" t="str">
        <f>IF($C483="","",VLOOKUP($C483,'Tracking List'!$A$5:$AL$883,M$4,FALSE))</f>
        <v/>
      </c>
      <c r="N483" s="148" t="str">
        <f>IF($C483="","",IF(VLOOKUP($C483,'Tracking List'!$A$5:$AL$883,N$3,FALSE)&gt;0,"Y",VLOOKUP($C483,'Tracking List'!$A$5:$AL$883,N$4,FALSE)))</f>
        <v/>
      </c>
      <c r="O483" s="148" t="str">
        <f>IF($C483="","",IF(VLOOKUP($C483,'Tracking List'!$A$5:$AL$883,O$3,FALSE)&gt;0,"Y",VLOOKUP($C483,'Tracking List'!$A$5:$AL$883,O$4,FALSE)))</f>
        <v/>
      </c>
      <c r="P483" s="147" t="str">
        <f>IF($C483="","",IF(VLOOKUP($C483,'Tracking List'!$A$5:$AL$883,P$4,FALSE)&gt;0,"Y",""))</f>
        <v/>
      </c>
      <c r="Q483" s="149"/>
      <c r="R483" s="166" t="str">
        <f>IF($C483="","",VLOOKUP($C483,'Tracking List'!$A$5:$AL$883,R$4,FALSE))</f>
        <v/>
      </c>
    </row>
    <row r="484" spans="3:18">
      <c r="C484" s="146"/>
      <c r="D484" s="147" t="str">
        <f>IF($C484="","",VLOOKUP($C484,'Tracking List'!$A$5:$AL$883,D$4,FALSE))</f>
        <v/>
      </c>
      <c r="E484" s="147" t="str">
        <f>IF($C484="","",VLOOKUP($C484,'Tracking List'!$A$5:$AL$883,E$4,FALSE))</f>
        <v/>
      </c>
      <c r="F484" s="147" t="str">
        <f>IF($C484="","",VLOOKUP($C484,'Tracking List'!$A$5:$AL$883,F$4,FALSE))</f>
        <v/>
      </c>
      <c r="G484" s="147" t="str">
        <f>IF($C484="","",VLOOKUP($C484,'Tracking List'!$A$5:$AL$883,G$4,FALSE))</f>
        <v/>
      </c>
      <c r="H484" s="147" t="str">
        <f>IF($C484="","",VLOOKUP($C484,'Tracking List'!$A$5:$AL$883,H$4,FALSE))</f>
        <v/>
      </c>
      <c r="I484" s="147" t="str">
        <f>IF($C484="","",VLOOKUP($C484,'Tracking List'!$A$5:$AL$883,I$4,FALSE))</f>
        <v/>
      </c>
      <c r="J484" s="147" t="str">
        <f>IF($C484="","",VLOOKUP($C484,'Tracking List'!$A$5:$AL$883,J$4,FALSE))</f>
        <v/>
      </c>
      <c r="K484" s="147" t="str">
        <f>IF($C484="","",VLOOKUP($C484,'Tracking List'!$A$5:$AL$883,K$4,FALSE))</f>
        <v/>
      </c>
      <c r="L484" s="168" t="str">
        <f>IF($C484="","",VLOOKUP($C484,'Tracking List'!$A$5:$AL$883,L$4,FALSE))</f>
        <v/>
      </c>
      <c r="M484" s="147" t="str">
        <f>IF($C484="","",VLOOKUP($C484,'Tracking List'!$A$5:$AL$883,M$4,FALSE))</f>
        <v/>
      </c>
      <c r="N484" s="148" t="str">
        <f>IF($C484="","",IF(VLOOKUP($C484,'Tracking List'!$A$5:$AL$883,N$3,FALSE)&gt;0,"Y",VLOOKUP($C484,'Tracking List'!$A$5:$AL$883,N$4,FALSE)))</f>
        <v/>
      </c>
      <c r="O484" s="148" t="str">
        <f>IF($C484="","",IF(VLOOKUP($C484,'Tracking List'!$A$5:$AL$883,O$3,FALSE)&gt;0,"Y",VLOOKUP($C484,'Tracking List'!$A$5:$AL$883,O$4,FALSE)))</f>
        <v/>
      </c>
      <c r="P484" s="147" t="str">
        <f>IF($C484="","",IF(VLOOKUP($C484,'Tracking List'!$A$5:$AL$883,P$4,FALSE)&gt;0,"Y",""))</f>
        <v/>
      </c>
      <c r="Q484" s="149"/>
      <c r="R484" s="166" t="str">
        <f>IF($C484="","",VLOOKUP($C484,'Tracking List'!$A$5:$AL$883,R$4,FALSE))</f>
        <v/>
      </c>
    </row>
    <row r="485" spans="3:18">
      <c r="C485" s="146"/>
      <c r="D485" s="147" t="str">
        <f>IF($C485="","",VLOOKUP($C485,'Tracking List'!$A$5:$AL$883,D$4,FALSE))</f>
        <v/>
      </c>
      <c r="E485" s="147" t="str">
        <f>IF($C485="","",VLOOKUP($C485,'Tracking List'!$A$5:$AL$883,E$4,FALSE))</f>
        <v/>
      </c>
      <c r="F485" s="147" t="str">
        <f>IF($C485="","",VLOOKUP($C485,'Tracking List'!$A$5:$AL$883,F$4,FALSE))</f>
        <v/>
      </c>
      <c r="G485" s="147" t="str">
        <f>IF($C485="","",VLOOKUP($C485,'Tracking List'!$A$5:$AL$883,G$4,FALSE))</f>
        <v/>
      </c>
      <c r="H485" s="147" t="str">
        <f>IF($C485="","",VLOOKUP($C485,'Tracking List'!$A$5:$AL$883,H$4,FALSE))</f>
        <v/>
      </c>
      <c r="I485" s="147" t="str">
        <f>IF($C485="","",VLOOKUP($C485,'Tracking List'!$A$5:$AL$883,I$4,FALSE))</f>
        <v/>
      </c>
      <c r="J485" s="147" t="str">
        <f>IF($C485="","",VLOOKUP($C485,'Tracking List'!$A$5:$AL$883,J$4,FALSE))</f>
        <v/>
      </c>
      <c r="K485" s="147" t="str">
        <f>IF($C485="","",VLOOKUP($C485,'Tracking List'!$A$5:$AL$883,K$4,FALSE))</f>
        <v/>
      </c>
      <c r="L485" s="168" t="str">
        <f>IF($C485="","",VLOOKUP($C485,'Tracking List'!$A$5:$AL$883,L$4,FALSE))</f>
        <v/>
      </c>
      <c r="M485" s="147" t="str">
        <f>IF($C485="","",VLOOKUP($C485,'Tracking List'!$A$5:$AL$883,M$4,FALSE))</f>
        <v/>
      </c>
      <c r="N485" s="148" t="str">
        <f>IF($C485="","",IF(VLOOKUP($C485,'Tracking List'!$A$5:$AL$883,N$3,FALSE)&gt;0,"Y",VLOOKUP($C485,'Tracking List'!$A$5:$AL$883,N$4,FALSE)))</f>
        <v/>
      </c>
      <c r="O485" s="148" t="str">
        <f>IF($C485="","",IF(VLOOKUP($C485,'Tracking List'!$A$5:$AL$883,O$3,FALSE)&gt;0,"Y",VLOOKUP($C485,'Tracking List'!$A$5:$AL$883,O$4,FALSE)))</f>
        <v/>
      </c>
      <c r="P485" s="147" t="str">
        <f>IF($C485="","",IF(VLOOKUP($C485,'Tracking List'!$A$5:$AL$883,P$4,FALSE)&gt;0,"Y",""))</f>
        <v/>
      </c>
      <c r="Q485" s="149"/>
      <c r="R485" s="166" t="str">
        <f>IF($C485="","",VLOOKUP($C485,'Tracking List'!$A$5:$AL$883,R$4,FALSE))</f>
        <v/>
      </c>
    </row>
    <row r="486" spans="3:18">
      <c r="C486" s="146"/>
      <c r="D486" s="147" t="str">
        <f>IF($C486="","",VLOOKUP($C486,'Tracking List'!$A$5:$AL$883,D$4,FALSE))</f>
        <v/>
      </c>
      <c r="E486" s="147" t="str">
        <f>IF($C486="","",VLOOKUP($C486,'Tracking List'!$A$5:$AL$883,E$4,FALSE))</f>
        <v/>
      </c>
      <c r="F486" s="147" t="str">
        <f>IF($C486="","",VLOOKUP($C486,'Tracking List'!$A$5:$AL$883,F$4,FALSE))</f>
        <v/>
      </c>
      <c r="G486" s="147" t="str">
        <f>IF($C486="","",VLOOKUP($C486,'Tracking List'!$A$5:$AL$883,G$4,FALSE))</f>
        <v/>
      </c>
      <c r="H486" s="147" t="str">
        <f>IF($C486="","",VLOOKUP($C486,'Tracking List'!$A$5:$AL$883,H$4,FALSE))</f>
        <v/>
      </c>
      <c r="I486" s="147" t="str">
        <f>IF($C486="","",VLOOKUP($C486,'Tracking List'!$A$5:$AL$883,I$4,FALSE))</f>
        <v/>
      </c>
      <c r="J486" s="147" t="str">
        <f>IF($C486="","",VLOOKUP($C486,'Tracking List'!$A$5:$AL$883,J$4,FALSE))</f>
        <v/>
      </c>
      <c r="K486" s="147" t="str">
        <f>IF($C486="","",VLOOKUP($C486,'Tracking List'!$A$5:$AL$883,K$4,FALSE))</f>
        <v/>
      </c>
      <c r="L486" s="168" t="str">
        <f>IF($C486="","",VLOOKUP($C486,'Tracking List'!$A$5:$AL$883,L$4,FALSE))</f>
        <v/>
      </c>
      <c r="M486" s="147" t="str">
        <f>IF($C486="","",VLOOKUP($C486,'Tracking List'!$A$5:$AL$883,M$4,FALSE))</f>
        <v/>
      </c>
      <c r="N486" s="148" t="str">
        <f>IF($C486="","",IF(VLOOKUP($C486,'Tracking List'!$A$5:$AL$883,N$3,FALSE)&gt;0,"Y",VLOOKUP($C486,'Tracking List'!$A$5:$AL$883,N$4,FALSE)))</f>
        <v/>
      </c>
      <c r="O486" s="148" t="str">
        <f>IF($C486="","",IF(VLOOKUP($C486,'Tracking List'!$A$5:$AL$883,O$3,FALSE)&gt;0,"Y",VLOOKUP($C486,'Tracking List'!$A$5:$AL$883,O$4,FALSE)))</f>
        <v/>
      </c>
      <c r="P486" s="147" t="str">
        <f>IF($C486="","",IF(VLOOKUP($C486,'Tracking List'!$A$5:$AL$883,P$4,FALSE)&gt;0,"Y",""))</f>
        <v/>
      </c>
      <c r="Q486" s="149"/>
      <c r="R486" s="166" t="str">
        <f>IF($C486="","",VLOOKUP($C486,'Tracking List'!$A$5:$AL$883,R$4,FALSE))</f>
        <v/>
      </c>
    </row>
    <row r="487" spans="3:18">
      <c r="C487" s="146"/>
      <c r="D487" s="147" t="str">
        <f>IF($C487="","",VLOOKUP($C487,'Tracking List'!$A$5:$AL$883,D$4,FALSE))</f>
        <v/>
      </c>
      <c r="E487" s="147" t="str">
        <f>IF($C487="","",VLOOKUP($C487,'Tracking List'!$A$5:$AL$883,E$4,FALSE))</f>
        <v/>
      </c>
      <c r="F487" s="147" t="str">
        <f>IF($C487="","",VLOOKUP($C487,'Tracking List'!$A$5:$AL$883,F$4,FALSE))</f>
        <v/>
      </c>
      <c r="G487" s="147" t="str">
        <f>IF($C487="","",VLOOKUP($C487,'Tracking List'!$A$5:$AL$883,G$4,FALSE))</f>
        <v/>
      </c>
      <c r="H487" s="147" t="str">
        <f>IF($C487="","",VLOOKUP($C487,'Tracking List'!$A$5:$AL$883,H$4,FALSE))</f>
        <v/>
      </c>
      <c r="I487" s="147" t="str">
        <f>IF($C487="","",VLOOKUP($C487,'Tracking List'!$A$5:$AL$883,I$4,FALSE))</f>
        <v/>
      </c>
      <c r="J487" s="147" t="str">
        <f>IF($C487="","",VLOOKUP($C487,'Tracking List'!$A$5:$AL$883,J$4,FALSE))</f>
        <v/>
      </c>
      <c r="K487" s="147" t="str">
        <f>IF($C487="","",VLOOKUP($C487,'Tracking List'!$A$5:$AL$883,K$4,FALSE))</f>
        <v/>
      </c>
      <c r="L487" s="168" t="str">
        <f>IF($C487="","",VLOOKUP($C487,'Tracking List'!$A$5:$AL$883,L$4,FALSE))</f>
        <v/>
      </c>
      <c r="M487" s="147" t="str">
        <f>IF($C487="","",VLOOKUP($C487,'Tracking List'!$A$5:$AL$883,M$4,FALSE))</f>
        <v/>
      </c>
      <c r="N487" s="148" t="str">
        <f>IF($C487="","",IF(VLOOKUP($C487,'Tracking List'!$A$5:$AL$883,N$3,FALSE)&gt;0,"Y",VLOOKUP($C487,'Tracking List'!$A$5:$AL$883,N$4,FALSE)))</f>
        <v/>
      </c>
      <c r="O487" s="148" t="str">
        <f>IF($C487="","",IF(VLOOKUP($C487,'Tracking List'!$A$5:$AL$883,O$3,FALSE)&gt;0,"Y",VLOOKUP($C487,'Tracking List'!$A$5:$AL$883,O$4,FALSE)))</f>
        <v/>
      </c>
      <c r="P487" s="147" t="str">
        <f>IF($C487="","",IF(VLOOKUP($C487,'Tracking List'!$A$5:$AL$883,P$4,FALSE)&gt;0,"Y",""))</f>
        <v/>
      </c>
      <c r="Q487" s="149"/>
      <c r="R487" s="166" t="str">
        <f>IF($C487="","",VLOOKUP($C487,'Tracking List'!$A$5:$AL$883,R$4,FALSE))</f>
        <v/>
      </c>
    </row>
    <row r="488" spans="3:18">
      <c r="C488" s="146"/>
      <c r="D488" s="147" t="str">
        <f>IF($C488="","",VLOOKUP($C488,'Tracking List'!$A$5:$AL$883,D$4,FALSE))</f>
        <v/>
      </c>
      <c r="E488" s="147" t="str">
        <f>IF($C488="","",VLOOKUP($C488,'Tracking List'!$A$5:$AL$883,E$4,FALSE))</f>
        <v/>
      </c>
      <c r="F488" s="147" t="str">
        <f>IF($C488="","",VLOOKUP($C488,'Tracking List'!$A$5:$AL$883,F$4,FALSE))</f>
        <v/>
      </c>
      <c r="G488" s="147" t="str">
        <f>IF($C488="","",VLOOKUP($C488,'Tracking List'!$A$5:$AL$883,G$4,FALSE))</f>
        <v/>
      </c>
      <c r="H488" s="147" t="str">
        <f>IF($C488="","",VLOOKUP($C488,'Tracking List'!$A$5:$AL$883,H$4,FALSE))</f>
        <v/>
      </c>
      <c r="I488" s="147" t="str">
        <f>IF($C488="","",VLOOKUP($C488,'Tracking List'!$A$5:$AL$883,I$4,FALSE))</f>
        <v/>
      </c>
      <c r="J488" s="147" t="str">
        <f>IF($C488="","",VLOOKUP($C488,'Tracking List'!$A$5:$AL$883,J$4,FALSE))</f>
        <v/>
      </c>
      <c r="K488" s="147" t="str">
        <f>IF($C488="","",VLOOKUP($C488,'Tracking List'!$A$5:$AL$883,K$4,FALSE))</f>
        <v/>
      </c>
      <c r="L488" s="168" t="str">
        <f>IF($C488="","",VLOOKUP($C488,'Tracking List'!$A$5:$AL$883,L$4,FALSE))</f>
        <v/>
      </c>
      <c r="M488" s="147" t="str">
        <f>IF($C488="","",VLOOKUP($C488,'Tracking List'!$A$5:$AL$883,M$4,FALSE))</f>
        <v/>
      </c>
      <c r="N488" s="148" t="str">
        <f>IF($C488="","",IF(VLOOKUP($C488,'Tracking List'!$A$5:$AL$883,N$3,FALSE)&gt;0,"Y",VLOOKUP($C488,'Tracking List'!$A$5:$AL$883,N$4,FALSE)))</f>
        <v/>
      </c>
      <c r="O488" s="148" t="str">
        <f>IF($C488="","",IF(VLOOKUP($C488,'Tracking List'!$A$5:$AL$883,O$3,FALSE)&gt;0,"Y",VLOOKUP($C488,'Tracking List'!$A$5:$AL$883,O$4,FALSE)))</f>
        <v/>
      </c>
      <c r="P488" s="147" t="str">
        <f>IF($C488="","",IF(VLOOKUP($C488,'Tracking List'!$A$5:$AL$883,P$4,FALSE)&gt;0,"Y",""))</f>
        <v/>
      </c>
      <c r="Q488" s="149"/>
      <c r="R488" s="166" t="str">
        <f>IF($C488="","",VLOOKUP($C488,'Tracking List'!$A$5:$AL$883,R$4,FALSE))</f>
        <v/>
      </c>
    </row>
    <row r="489" spans="3:18">
      <c r="C489" s="146"/>
      <c r="D489" s="147" t="str">
        <f>IF($C489="","",VLOOKUP($C489,'Tracking List'!$A$5:$AL$883,D$4,FALSE))</f>
        <v/>
      </c>
      <c r="E489" s="147" t="str">
        <f>IF($C489="","",VLOOKUP($C489,'Tracking List'!$A$5:$AL$883,E$4,FALSE))</f>
        <v/>
      </c>
      <c r="F489" s="147" t="str">
        <f>IF($C489="","",VLOOKUP($C489,'Tracking List'!$A$5:$AL$883,F$4,FALSE))</f>
        <v/>
      </c>
      <c r="G489" s="147" t="str">
        <f>IF($C489="","",VLOOKUP($C489,'Tracking List'!$A$5:$AL$883,G$4,FALSE))</f>
        <v/>
      </c>
      <c r="H489" s="147" t="str">
        <f>IF($C489="","",VLOOKUP($C489,'Tracking List'!$A$5:$AL$883,H$4,FALSE))</f>
        <v/>
      </c>
      <c r="I489" s="147" t="str">
        <f>IF($C489="","",VLOOKUP($C489,'Tracking List'!$A$5:$AL$883,I$4,FALSE))</f>
        <v/>
      </c>
      <c r="J489" s="147" t="str">
        <f>IF($C489="","",VLOOKUP($C489,'Tracking List'!$A$5:$AL$883,J$4,FALSE))</f>
        <v/>
      </c>
      <c r="K489" s="147" t="str">
        <f>IF($C489="","",VLOOKUP($C489,'Tracking List'!$A$5:$AL$883,K$4,FALSE))</f>
        <v/>
      </c>
      <c r="L489" s="168" t="str">
        <f>IF($C489="","",VLOOKUP($C489,'Tracking List'!$A$5:$AL$883,L$4,FALSE))</f>
        <v/>
      </c>
      <c r="M489" s="147" t="str">
        <f>IF($C489="","",VLOOKUP($C489,'Tracking List'!$A$5:$AL$883,M$4,FALSE))</f>
        <v/>
      </c>
      <c r="N489" s="148" t="str">
        <f>IF($C489="","",IF(VLOOKUP($C489,'Tracking List'!$A$5:$AL$883,N$3,FALSE)&gt;0,"Y",VLOOKUP($C489,'Tracking List'!$A$5:$AL$883,N$4,FALSE)))</f>
        <v/>
      </c>
      <c r="O489" s="148" t="str">
        <f>IF($C489="","",IF(VLOOKUP($C489,'Tracking List'!$A$5:$AL$883,O$3,FALSE)&gt;0,"Y",VLOOKUP($C489,'Tracking List'!$A$5:$AL$883,O$4,FALSE)))</f>
        <v/>
      </c>
      <c r="P489" s="147" t="str">
        <f>IF($C489="","",IF(VLOOKUP($C489,'Tracking List'!$A$5:$AL$883,P$4,FALSE)&gt;0,"Y",""))</f>
        <v/>
      </c>
      <c r="Q489" s="149"/>
      <c r="R489" s="166" t="str">
        <f>IF($C489="","",VLOOKUP($C489,'Tracking List'!$A$5:$AL$883,R$4,FALSE))</f>
        <v/>
      </c>
    </row>
    <row r="490" spans="3:18">
      <c r="C490" s="146"/>
      <c r="D490" s="147" t="str">
        <f>IF($C490="","",VLOOKUP($C490,'Tracking List'!$A$5:$AL$883,D$4,FALSE))</f>
        <v/>
      </c>
      <c r="E490" s="147" t="str">
        <f>IF($C490="","",VLOOKUP($C490,'Tracking List'!$A$5:$AL$883,E$4,FALSE))</f>
        <v/>
      </c>
      <c r="F490" s="147" t="str">
        <f>IF($C490="","",VLOOKUP($C490,'Tracking List'!$A$5:$AL$883,F$4,FALSE))</f>
        <v/>
      </c>
      <c r="G490" s="147" t="str">
        <f>IF($C490="","",VLOOKUP($C490,'Tracking List'!$A$5:$AL$883,G$4,FALSE))</f>
        <v/>
      </c>
      <c r="H490" s="147" t="str">
        <f>IF($C490="","",VLOOKUP($C490,'Tracking List'!$A$5:$AL$883,H$4,FALSE))</f>
        <v/>
      </c>
      <c r="I490" s="147" t="str">
        <f>IF($C490="","",VLOOKUP($C490,'Tracking List'!$A$5:$AL$883,I$4,FALSE))</f>
        <v/>
      </c>
      <c r="J490" s="147" t="str">
        <f>IF($C490="","",VLOOKUP($C490,'Tracking List'!$A$5:$AL$883,J$4,FALSE))</f>
        <v/>
      </c>
      <c r="K490" s="147" t="str">
        <f>IF($C490="","",VLOOKUP($C490,'Tracking List'!$A$5:$AL$883,K$4,FALSE))</f>
        <v/>
      </c>
      <c r="L490" s="168" t="str">
        <f>IF($C490="","",VLOOKUP($C490,'Tracking List'!$A$5:$AL$883,L$4,FALSE))</f>
        <v/>
      </c>
      <c r="M490" s="147" t="str">
        <f>IF($C490="","",VLOOKUP($C490,'Tracking List'!$A$5:$AL$883,M$4,FALSE))</f>
        <v/>
      </c>
      <c r="N490" s="148" t="str">
        <f>IF($C490="","",IF(VLOOKUP($C490,'Tracking List'!$A$5:$AL$883,N$3,FALSE)&gt;0,"Y",VLOOKUP($C490,'Tracking List'!$A$5:$AL$883,N$4,FALSE)))</f>
        <v/>
      </c>
      <c r="O490" s="148" t="str">
        <f>IF($C490="","",IF(VLOOKUP($C490,'Tracking List'!$A$5:$AL$883,O$3,FALSE)&gt;0,"Y",VLOOKUP($C490,'Tracking List'!$A$5:$AL$883,O$4,FALSE)))</f>
        <v/>
      </c>
      <c r="P490" s="147" t="str">
        <f>IF($C490="","",IF(VLOOKUP($C490,'Tracking List'!$A$5:$AL$883,P$4,FALSE)&gt;0,"Y",""))</f>
        <v/>
      </c>
      <c r="Q490" s="149"/>
      <c r="R490" s="166" t="str">
        <f>IF($C490="","",VLOOKUP($C490,'Tracking List'!$A$5:$AL$883,R$4,FALSE))</f>
        <v/>
      </c>
    </row>
    <row r="491" spans="3:18">
      <c r="C491" s="146"/>
      <c r="D491" s="147" t="str">
        <f>IF($C491="","",VLOOKUP($C491,'Tracking List'!$A$5:$AL$883,D$4,FALSE))</f>
        <v/>
      </c>
      <c r="E491" s="147" t="str">
        <f>IF($C491="","",VLOOKUP($C491,'Tracking List'!$A$5:$AL$883,E$4,FALSE))</f>
        <v/>
      </c>
      <c r="F491" s="147" t="str">
        <f>IF($C491="","",VLOOKUP($C491,'Tracking List'!$A$5:$AL$883,F$4,FALSE))</f>
        <v/>
      </c>
      <c r="G491" s="147" t="str">
        <f>IF($C491="","",VLOOKUP($C491,'Tracking List'!$A$5:$AL$883,G$4,FALSE))</f>
        <v/>
      </c>
      <c r="H491" s="147" t="str">
        <f>IF($C491="","",VLOOKUP($C491,'Tracking List'!$A$5:$AL$883,H$4,FALSE))</f>
        <v/>
      </c>
      <c r="I491" s="147" t="str">
        <f>IF($C491="","",VLOOKUP($C491,'Tracking List'!$A$5:$AL$883,I$4,FALSE))</f>
        <v/>
      </c>
      <c r="J491" s="147" t="str">
        <f>IF($C491="","",VLOOKUP($C491,'Tracking List'!$A$5:$AL$883,J$4,FALSE))</f>
        <v/>
      </c>
      <c r="K491" s="147" t="str">
        <f>IF($C491="","",VLOOKUP($C491,'Tracking List'!$A$5:$AL$883,K$4,FALSE))</f>
        <v/>
      </c>
      <c r="L491" s="168" t="str">
        <f>IF($C491="","",VLOOKUP($C491,'Tracking List'!$A$5:$AL$883,L$4,FALSE))</f>
        <v/>
      </c>
      <c r="M491" s="147" t="str">
        <f>IF($C491="","",VLOOKUP($C491,'Tracking List'!$A$5:$AL$883,M$4,FALSE))</f>
        <v/>
      </c>
      <c r="N491" s="148" t="str">
        <f>IF($C491="","",IF(VLOOKUP($C491,'Tracking List'!$A$5:$AL$883,N$3,FALSE)&gt;0,"Y",VLOOKUP($C491,'Tracking List'!$A$5:$AL$883,N$4,FALSE)))</f>
        <v/>
      </c>
      <c r="O491" s="148" t="str">
        <f>IF($C491="","",IF(VLOOKUP($C491,'Tracking List'!$A$5:$AL$883,O$3,FALSE)&gt;0,"Y",VLOOKUP($C491,'Tracking List'!$A$5:$AL$883,O$4,FALSE)))</f>
        <v/>
      </c>
      <c r="P491" s="147" t="str">
        <f>IF($C491="","",IF(VLOOKUP($C491,'Tracking List'!$A$5:$AL$883,P$4,FALSE)&gt;0,"Y",""))</f>
        <v/>
      </c>
      <c r="Q491" s="149"/>
      <c r="R491" s="166" t="str">
        <f>IF($C491="","",VLOOKUP($C491,'Tracking List'!$A$5:$AL$883,R$4,FALSE))</f>
        <v/>
      </c>
    </row>
    <row r="492" spans="3:18">
      <c r="C492" s="146"/>
      <c r="D492" s="147" t="str">
        <f>IF($C492="","",VLOOKUP($C492,'Tracking List'!$A$5:$AL$883,D$4,FALSE))</f>
        <v/>
      </c>
      <c r="E492" s="147" t="str">
        <f>IF($C492="","",VLOOKUP($C492,'Tracking List'!$A$5:$AL$883,E$4,FALSE))</f>
        <v/>
      </c>
      <c r="F492" s="147" t="str">
        <f>IF($C492="","",VLOOKUP($C492,'Tracking List'!$A$5:$AL$883,F$4,FALSE))</f>
        <v/>
      </c>
      <c r="G492" s="147" t="str">
        <f>IF($C492="","",VLOOKUP($C492,'Tracking List'!$A$5:$AL$883,G$4,FALSE))</f>
        <v/>
      </c>
      <c r="H492" s="147" t="str">
        <f>IF($C492="","",VLOOKUP($C492,'Tracking List'!$A$5:$AL$883,H$4,FALSE))</f>
        <v/>
      </c>
      <c r="I492" s="147" t="str">
        <f>IF($C492="","",VLOOKUP($C492,'Tracking List'!$A$5:$AL$883,I$4,FALSE))</f>
        <v/>
      </c>
      <c r="J492" s="147" t="str">
        <f>IF($C492="","",VLOOKUP($C492,'Tracking List'!$A$5:$AL$883,J$4,FALSE))</f>
        <v/>
      </c>
      <c r="K492" s="147" t="str">
        <f>IF($C492="","",VLOOKUP($C492,'Tracking List'!$A$5:$AL$883,K$4,FALSE))</f>
        <v/>
      </c>
      <c r="L492" s="168" t="str">
        <f>IF($C492="","",VLOOKUP($C492,'Tracking List'!$A$5:$AL$883,L$4,FALSE))</f>
        <v/>
      </c>
      <c r="M492" s="147" t="str">
        <f>IF($C492="","",VLOOKUP($C492,'Tracking List'!$A$5:$AL$883,M$4,FALSE))</f>
        <v/>
      </c>
      <c r="N492" s="148" t="str">
        <f>IF($C492="","",IF(VLOOKUP($C492,'Tracking List'!$A$5:$AL$883,N$3,FALSE)&gt;0,"Y",VLOOKUP($C492,'Tracking List'!$A$5:$AL$883,N$4,FALSE)))</f>
        <v/>
      </c>
      <c r="O492" s="148" t="str">
        <f>IF($C492="","",IF(VLOOKUP($C492,'Tracking List'!$A$5:$AL$883,O$3,FALSE)&gt;0,"Y",VLOOKUP($C492,'Tracking List'!$A$5:$AL$883,O$4,FALSE)))</f>
        <v/>
      </c>
      <c r="P492" s="147" t="str">
        <f>IF($C492="","",IF(VLOOKUP($C492,'Tracking List'!$A$5:$AL$883,P$4,FALSE)&gt;0,"Y",""))</f>
        <v/>
      </c>
      <c r="Q492" s="149"/>
      <c r="R492" s="166" t="str">
        <f>IF($C492="","",VLOOKUP($C492,'Tracking List'!$A$5:$AL$883,R$4,FALSE))</f>
        <v/>
      </c>
    </row>
    <row r="493" spans="3:18">
      <c r="C493" s="146"/>
      <c r="D493" s="147" t="str">
        <f>IF($C493="","",VLOOKUP($C493,'Tracking List'!$A$5:$AL$883,D$4,FALSE))</f>
        <v/>
      </c>
      <c r="E493" s="147" t="str">
        <f>IF($C493="","",VLOOKUP($C493,'Tracking List'!$A$5:$AL$883,E$4,FALSE))</f>
        <v/>
      </c>
      <c r="F493" s="147" t="str">
        <f>IF($C493="","",VLOOKUP($C493,'Tracking List'!$A$5:$AL$883,F$4,FALSE))</f>
        <v/>
      </c>
      <c r="G493" s="147" t="str">
        <f>IF($C493="","",VLOOKUP($C493,'Tracking List'!$A$5:$AL$883,G$4,FALSE))</f>
        <v/>
      </c>
      <c r="H493" s="147" t="str">
        <f>IF($C493="","",VLOOKUP($C493,'Tracking List'!$A$5:$AL$883,H$4,FALSE))</f>
        <v/>
      </c>
      <c r="I493" s="147" t="str">
        <f>IF($C493="","",VLOOKUP($C493,'Tracking List'!$A$5:$AL$883,I$4,FALSE))</f>
        <v/>
      </c>
      <c r="J493" s="147" t="str">
        <f>IF($C493="","",VLOOKUP($C493,'Tracking List'!$A$5:$AL$883,J$4,FALSE))</f>
        <v/>
      </c>
      <c r="K493" s="147" t="str">
        <f>IF($C493="","",VLOOKUP($C493,'Tracking List'!$A$5:$AL$883,K$4,FALSE))</f>
        <v/>
      </c>
      <c r="L493" s="168" t="str">
        <f>IF($C493="","",VLOOKUP($C493,'Tracking List'!$A$5:$AL$883,L$4,FALSE))</f>
        <v/>
      </c>
      <c r="M493" s="147" t="str">
        <f>IF($C493="","",VLOOKUP($C493,'Tracking List'!$A$5:$AL$883,M$4,FALSE))</f>
        <v/>
      </c>
      <c r="N493" s="148" t="str">
        <f>IF($C493="","",IF(VLOOKUP($C493,'Tracking List'!$A$5:$AL$883,N$3,FALSE)&gt;0,"Y",VLOOKUP($C493,'Tracking List'!$A$5:$AL$883,N$4,FALSE)))</f>
        <v/>
      </c>
      <c r="O493" s="148" t="str">
        <f>IF($C493="","",IF(VLOOKUP($C493,'Tracking List'!$A$5:$AL$883,O$3,FALSE)&gt;0,"Y",VLOOKUP($C493,'Tracking List'!$A$5:$AL$883,O$4,FALSE)))</f>
        <v/>
      </c>
      <c r="P493" s="147" t="str">
        <f>IF($C493="","",IF(VLOOKUP($C493,'Tracking List'!$A$5:$AL$883,P$4,FALSE)&gt;0,"Y",""))</f>
        <v/>
      </c>
      <c r="Q493" s="149"/>
      <c r="R493" s="166" t="str">
        <f>IF($C493="","",VLOOKUP($C493,'Tracking List'!$A$5:$AL$883,R$4,FALSE))</f>
        <v/>
      </c>
    </row>
    <row r="494" spans="3:18">
      <c r="C494" s="146"/>
      <c r="D494" s="147" t="str">
        <f>IF($C494="","",VLOOKUP($C494,'Tracking List'!$A$5:$AL$883,D$4,FALSE))</f>
        <v/>
      </c>
      <c r="E494" s="147" t="str">
        <f>IF($C494="","",VLOOKUP($C494,'Tracking List'!$A$5:$AL$883,E$4,FALSE))</f>
        <v/>
      </c>
      <c r="F494" s="147" t="str">
        <f>IF($C494="","",VLOOKUP($C494,'Tracking List'!$A$5:$AL$883,F$4,FALSE))</f>
        <v/>
      </c>
      <c r="G494" s="147" t="str">
        <f>IF($C494="","",VLOOKUP($C494,'Tracking List'!$A$5:$AL$883,G$4,FALSE))</f>
        <v/>
      </c>
      <c r="H494" s="147" t="str">
        <f>IF($C494="","",VLOOKUP($C494,'Tracking List'!$A$5:$AL$883,H$4,FALSE))</f>
        <v/>
      </c>
      <c r="I494" s="147" t="str">
        <f>IF($C494="","",VLOOKUP($C494,'Tracking List'!$A$5:$AL$883,I$4,FALSE))</f>
        <v/>
      </c>
      <c r="J494" s="147" t="str">
        <f>IF($C494="","",VLOOKUP($C494,'Tracking List'!$A$5:$AL$883,J$4,FALSE))</f>
        <v/>
      </c>
      <c r="K494" s="147" t="str">
        <f>IF($C494="","",VLOOKUP($C494,'Tracking List'!$A$5:$AL$883,K$4,FALSE))</f>
        <v/>
      </c>
      <c r="L494" s="168" t="str">
        <f>IF($C494="","",VLOOKUP($C494,'Tracking List'!$A$5:$AL$883,L$4,FALSE))</f>
        <v/>
      </c>
      <c r="M494" s="147" t="str">
        <f>IF($C494="","",VLOOKUP($C494,'Tracking List'!$A$5:$AL$883,M$4,FALSE))</f>
        <v/>
      </c>
      <c r="N494" s="148" t="str">
        <f>IF($C494="","",IF(VLOOKUP($C494,'Tracking List'!$A$5:$AL$883,N$3,FALSE)&gt;0,"Y",VLOOKUP($C494,'Tracking List'!$A$5:$AL$883,N$4,FALSE)))</f>
        <v/>
      </c>
      <c r="O494" s="148" t="str">
        <f>IF($C494="","",IF(VLOOKUP($C494,'Tracking List'!$A$5:$AL$883,O$3,FALSE)&gt;0,"Y",VLOOKUP($C494,'Tracking List'!$A$5:$AL$883,O$4,FALSE)))</f>
        <v/>
      </c>
      <c r="P494" s="147" t="str">
        <f>IF($C494="","",IF(VLOOKUP($C494,'Tracking List'!$A$5:$AL$883,P$4,FALSE)&gt;0,"Y",""))</f>
        <v/>
      </c>
      <c r="Q494" s="149"/>
      <c r="R494" s="166" t="str">
        <f>IF($C494="","",VLOOKUP($C494,'Tracking List'!$A$5:$AL$883,R$4,FALSE))</f>
        <v/>
      </c>
    </row>
    <row r="495" spans="3:18">
      <c r="C495" s="146"/>
      <c r="D495" s="147" t="str">
        <f>IF($C495="","",VLOOKUP($C495,'Tracking List'!$A$5:$AL$883,D$4,FALSE))</f>
        <v/>
      </c>
      <c r="E495" s="147" t="str">
        <f>IF($C495="","",VLOOKUP($C495,'Tracking List'!$A$5:$AL$883,E$4,FALSE))</f>
        <v/>
      </c>
      <c r="F495" s="147" t="str">
        <f>IF($C495="","",VLOOKUP($C495,'Tracking List'!$A$5:$AL$883,F$4,FALSE))</f>
        <v/>
      </c>
      <c r="G495" s="147" t="str">
        <f>IF($C495="","",VLOOKUP($C495,'Tracking List'!$A$5:$AL$883,G$4,FALSE))</f>
        <v/>
      </c>
      <c r="H495" s="147" t="str">
        <f>IF($C495="","",VLOOKUP($C495,'Tracking List'!$A$5:$AL$883,H$4,FALSE))</f>
        <v/>
      </c>
      <c r="I495" s="147" t="str">
        <f>IF($C495="","",VLOOKUP($C495,'Tracking List'!$A$5:$AL$883,I$4,FALSE))</f>
        <v/>
      </c>
      <c r="J495" s="147" t="str">
        <f>IF($C495="","",VLOOKUP($C495,'Tracking List'!$A$5:$AL$883,J$4,FALSE))</f>
        <v/>
      </c>
      <c r="K495" s="147" t="str">
        <f>IF($C495="","",VLOOKUP($C495,'Tracking List'!$A$5:$AL$883,K$4,FALSE))</f>
        <v/>
      </c>
      <c r="L495" s="168" t="str">
        <f>IF($C495="","",VLOOKUP($C495,'Tracking List'!$A$5:$AL$883,L$4,FALSE))</f>
        <v/>
      </c>
      <c r="M495" s="147" t="str">
        <f>IF($C495="","",VLOOKUP($C495,'Tracking List'!$A$5:$AL$883,M$4,FALSE))</f>
        <v/>
      </c>
      <c r="N495" s="148" t="str">
        <f>IF($C495="","",IF(VLOOKUP($C495,'Tracking List'!$A$5:$AL$883,N$3,FALSE)&gt;0,"Y",VLOOKUP($C495,'Tracking List'!$A$5:$AL$883,N$4,FALSE)))</f>
        <v/>
      </c>
      <c r="O495" s="148" t="str">
        <f>IF($C495="","",IF(VLOOKUP($C495,'Tracking List'!$A$5:$AL$883,O$3,FALSE)&gt;0,"Y",VLOOKUP($C495,'Tracking List'!$A$5:$AL$883,O$4,FALSE)))</f>
        <v/>
      </c>
      <c r="P495" s="147" t="str">
        <f>IF($C495="","",IF(VLOOKUP($C495,'Tracking List'!$A$5:$AL$883,P$4,FALSE)&gt;0,"Y",""))</f>
        <v/>
      </c>
      <c r="Q495" s="149"/>
      <c r="R495" s="166" t="str">
        <f>IF($C495="","",VLOOKUP($C495,'Tracking List'!$A$5:$AL$883,R$4,FALSE))</f>
        <v/>
      </c>
    </row>
    <row r="496" spans="3:18">
      <c r="C496" s="146"/>
      <c r="D496" s="147" t="str">
        <f>IF($C496="","",VLOOKUP($C496,'Tracking List'!$A$5:$AL$883,D$4,FALSE))</f>
        <v/>
      </c>
      <c r="E496" s="147" t="str">
        <f>IF($C496="","",VLOOKUP($C496,'Tracking List'!$A$5:$AL$883,E$4,FALSE))</f>
        <v/>
      </c>
      <c r="F496" s="147" t="str">
        <f>IF($C496="","",VLOOKUP($C496,'Tracking List'!$A$5:$AL$883,F$4,FALSE))</f>
        <v/>
      </c>
      <c r="G496" s="147" t="str">
        <f>IF($C496="","",VLOOKUP($C496,'Tracking List'!$A$5:$AL$883,G$4,FALSE))</f>
        <v/>
      </c>
      <c r="H496" s="147" t="str">
        <f>IF($C496="","",VLOOKUP($C496,'Tracking List'!$A$5:$AL$883,H$4,FALSE))</f>
        <v/>
      </c>
      <c r="I496" s="147" t="str">
        <f>IF($C496="","",VLOOKUP($C496,'Tracking List'!$A$5:$AL$883,I$4,FALSE))</f>
        <v/>
      </c>
      <c r="J496" s="147" t="str">
        <f>IF($C496="","",VLOOKUP($C496,'Tracking List'!$A$5:$AL$883,J$4,FALSE))</f>
        <v/>
      </c>
      <c r="K496" s="147" t="str">
        <f>IF($C496="","",VLOOKUP($C496,'Tracking List'!$A$5:$AL$883,K$4,FALSE))</f>
        <v/>
      </c>
      <c r="L496" s="168" t="str">
        <f>IF($C496="","",VLOOKUP($C496,'Tracking List'!$A$5:$AL$883,L$4,FALSE))</f>
        <v/>
      </c>
      <c r="M496" s="147" t="str">
        <f>IF($C496="","",VLOOKUP($C496,'Tracking List'!$A$5:$AL$883,M$4,FALSE))</f>
        <v/>
      </c>
      <c r="N496" s="148" t="str">
        <f>IF($C496="","",IF(VLOOKUP($C496,'Tracking List'!$A$5:$AL$883,N$3,FALSE)&gt;0,"Y",VLOOKUP($C496,'Tracking List'!$A$5:$AL$883,N$4,FALSE)))</f>
        <v/>
      </c>
      <c r="O496" s="148" t="str">
        <f>IF($C496="","",IF(VLOOKUP($C496,'Tracking List'!$A$5:$AL$883,O$3,FALSE)&gt;0,"Y",VLOOKUP($C496,'Tracking List'!$A$5:$AL$883,O$4,FALSE)))</f>
        <v/>
      </c>
      <c r="P496" s="147" t="str">
        <f>IF($C496="","",IF(VLOOKUP($C496,'Tracking List'!$A$5:$AL$883,P$4,FALSE)&gt;0,"Y",""))</f>
        <v/>
      </c>
      <c r="Q496" s="149"/>
      <c r="R496" s="166" t="str">
        <f>IF($C496="","",VLOOKUP($C496,'Tracking List'!$A$5:$AL$883,R$4,FALSE))</f>
        <v/>
      </c>
    </row>
    <row r="497" spans="3:18">
      <c r="C497" s="146"/>
      <c r="D497" s="147" t="str">
        <f>IF($C497="","",VLOOKUP($C497,'Tracking List'!$A$5:$AL$883,D$4,FALSE))</f>
        <v/>
      </c>
      <c r="E497" s="147" t="str">
        <f>IF($C497="","",VLOOKUP($C497,'Tracking List'!$A$5:$AL$883,E$4,FALSE))</f>
        <v/>
      </c>
      <c r="F497" s="147" t="str">
        <f>IF($C497="","",VLOOKUP($C497,'Tracking List'!$A$5:$AL$883,F$4,FALSE))</f>
        <v/>
      </c>
      <c r="G497" s="147" t="str">
        <f>IF($C497="","",VLOOKUP($C497,'Tracking List'!$A$5:$AL$883,G$4,FALSE))</f>
        <v/>
      </c>
      <c r="H497" s="147" t="str">
        <f>IF($C497="","",VLOOKUP($C497,'Tracking List'!$A$5:$AL$883,H$4,FALSE))</f>
        <v/>
      </c>
      <c r="I497" s="147" t="str">
        <f>IF($C497="","",VLOOKUP($C497,'Tracking List'!$A$5:$AL$883,I$4,FALSE))</f>
        <v/>
      </c>
      <c r="J497" s="147" t="str">
        <f>IF($C497="","",VLOOKUP($C497,'Tracking List'!$A$5:$AL$883,J$4,FALSE))</f>
        <v/>
      </c>
      <c r="K497" s="147" t="str">
        <f>IF($C497="","",VLOOKUP($C497,'Tracking List'!$A$5:$AL$883,K$4,FALSE))</f>
        <v/>
      </c>
      <c r="L497" s="168" t="str">
        <f>IF($C497="","",VLOOKUP($C497,'Tracking List'!$A$5:$AL$883,L$4,FALSE))</f>
        <v/>
      </c>
      <c r="M497" s="147" t="str">
        <f>IF($C497="","",VLOOKUP($C497,'Tracking List'!$A$5:$AL$883,M$4,FALSE))</f>
        <v/>
      </c>
      <c r="N497" s="148" t="str">
        <f>IF($C497="","",IF(VLOOKUP($C497,'Tracking List'!$A$5:$AL$883,N$3,FALSE)&gt;0,"Y",VLOOKUP($C497,'Tracking List'!$A$5:$AL$883,N$4,FALSE)))</f>
        <v/>
      </c>
      <c r="O497" s="148" t="str">
        <f>IF($C497="","",IF(VLOOKUP($C497,'Tracking List'!$A$5:$AL$883,O$3,FALSE)&gt;0,"Y",VLOOKUP($C497,'Tracking List'!$A$5:$AL$883,O$4,FALSE)))</f>
        <v/>
      </c>
      <c r="P497" s="147" t="str">
        <f>IF($C497="","",IF(VLOOKUP($C497,'Tracking List'!$A$5:$AL$883,P$4,FALSE)&gt;0,"Y",""))</f>
        <v/>
      </c>
      <c r="Q497" s="149"/>
      <c r="R497" s="166" t="str">
        <f>IF($C497="","",VLOOKUP($C497,'Tracking List'!$A$5:$AL$883,R$4,FALSE))</f>
        <v/>
      </c>
    </row>
    <row r="498" spans="3:18">
      <c r="C498" s="146"/>
      <c r="D498" s="147" t="str">
        <f>IF($C498="","",VLOOKUP($C498,'Tracking List'!$A$5:$AL$883,D$4,FALSE))</f>
        <v/>
      </c>
      <c r="E498" s="147" t="str">
        <f>IF($C498="","",VLOOKUP($C498,'Tracking List'!$A$5:$AL$883,E$4,FALSE))</f>
        <v/>
      </c>
      <c r="F498" s="147" t="str">
        <f>IF($C498="","",VLOOKUP($C498,'Tracking List'!$A$5:$AL$883,F$4,FALSE))</f>
        <v/>
      </c>
      <c r="G498" s="147" t="str">
        <f>IF($C498="","",VLOOKUP($C498,'Tracking List'!$A$5:$AL$883,G$4,FALSE))</f>
        <v/>
      </c>
      <c r="H498" s="147" t="str">
        <f>IF($C498="","",VLOOKUP($C498,'Tracking List'!$A$5:$AL$883,H$4,FALSE))</f>
        <v/>
      </c>
      <c r="I498" s="147" t="str">
        <f>IF($C498="","",VLOOKUP($C498,'Tracking List'!$A$5:$AL$883,I$4,FALSE))</f>
        <v/>
      </c>
      <c r="J498" s="147" t="str">
        <f>IF($C498="","",VLOOKUP($C498,'Tracking List'!$A$5:$AL$883,J$4,FALSE))</f>
        <v/>
      </c>
      <c r="K498" s="147" t="str">
        <f>IF($C498="","",VLOOKUP($C498,'Tracking List'!$A$5:$AL$883,K$4,FALSE))</f>
        <v/>
      </c>
      <c r="L498" s="168" t="str">
        <f>IF($C498="","",VLOOKUP($C498,'Tracking List'!$A$5:$AL$883,L$4,FALSE))</f>
        <v/>
      </c>
      <c r="M498" s="147" t="str">
        <f>IF($C498="","",VLOOKUP($C498,'Tracking List'!$A$5:$AL$883,M$4,FALSE))</f>
        <v/>
      </c>
      <c r="N498" s="148" t="str">
        <f>IF($C498="","",IF(VLOOKUP($C498,'Tracking List'!$A$5:$AL$883,N$3,FALSE)&gt;0,"Y",VLOOKUP($C498,'Tracking List'!$A$5:$AL$883,N$4,FALSE)))</f>
        <v/>
      </c>
      <c r="O498" s="148" t="str">
        <f>IF($C498="","",IF(VLOOKUP($C498,'Tracking List'!$A$5:$AL$883,O$3,FALSE)&gt;0,"Y",VLOOKUP($C498,'Tracking List'!$A$5:$AL$883,O$4,FALSE)))</f>
        <v/>
      </c>
      <c r="P498" s="147" t="str">
        <f>IF($C498="","",IF(VLOOKUP($C498,'Tracking List'!$A$5:$AL$883,P$4,FALSE)&gt;0,"Y",""))</f>
        <v/>
      </c>
      <c r="Q498" s="149"/>
      <c r="R498" s="166" t="str">
        <f>IF($C498="","",VLOOKUP($C498,'Tracking List'!$A$5:$AL$883,R$4,FALSE))</f>
        <v/>
      </c>
    </row>
    <row r="499" spans="3:18">
      <c r="C499" s="146"/>
      <c r="D499" s="147" t="str">
        <f>IF($C499="","",VLOOKUP($C499,'Tracking List'!$A$5:$AL$883,D$4,FALSE))</f>
        <v/>
      </c>
      <c r="E499" s="147" t="str">
        <f>IF($C499="","",VLOOKUP($C499,'Tracking List'!$A$5:$AL$883,E$4,FALSE))</f>
        <v/>
      </c>
      <c r="F499" s="147" t="str">
        <f>IF($C499="","",VLOOKUP($C499,'Tracking List'!$A$5:$AL$883,F$4,FALSE))</f>
        <v/>
      </c>
      <c r="G499" s="147" t="str">
        <f>IF($C499="","",VLOOKUP($C499,'Tracking List'!$A$5:$AL$883,G$4,FALSE))</f>
        <v/>
      </c>
      <c r="H499" s="147" t="str">
        <f>IF($C499="","",VLOOKUP($C499,'Tracking List'!$A$5:$AL$883,H$4,FALSE))</f>
        <v/>
      </c>
      <c r="I499" s="147" t="str">
        <f>IF($C499="","",VLOOKUP($C499,'Tracking List'!$A$5:$AL$883,I$4,FALSE))</f>
        <v/>
      </c>
      <c r="J499" s="147" t="str">
        <f>IF($C499="","",VLOOKUP($C499,'Tracking List'!$A$5:$AL$883,J$4,FALSE))</f>
        <v/>
      </c>
      <c r="K499" s="147" t="str">
        <f>IF($C499="","",VLOOKUP($C499,'Tracking List'!$A$5:$AL$883,K$4,FALSE))</f>
        <v/>
      </c>
      <c r="L499" s="168" t="str">
        <f>IF($C499="","",VLOOKUP($C499,'Tracking List'!$A$5:$AL$883,L$4,FALSE))</f>
        <v/>
      </c>
      <c r="M499" s="147" t="str">
        <f>IF($C499="","",VLOOKUP($C499,'Tracking List'!$A$5:$AL$883,M$4,FALSE))</f>
        <v/>
      </c>
      <c r="N499" s="148" t="str">
        <f>IF($C499="","",IF(VLOOKUP($C499,'Tracking List'!$A$5:$AL$883,N$3,FALSE)&gt;0,"Y",VLOOKUP($C499,'Tracking List'!$A$5:$AL$883,N$4,FALSE)))</f>
        <v/>
      </c>
      <c r="O499" s="148" t="str">
        <f>IF($C499="","",IF(VLOOKUP($C499,'Tracking List'!$A$5:$AL$883,O$3,FALSE)&gt;0,"Y",VLOOKUP($C499,'Tracking List'!$A$5:$AL$883,O$4,FALSE)))</f>
        <v/>
      </c>
      <c r="P499" s="147" t="str">
        <f>IF($C499="","",IF(VLOOKUP($C499,'Tracking List'!$A$5:$AL$883,P$4,FALSE)&gt;0,"Y",""))</f>
        <v/>
      </c>
      <c r="Q499" s="149"/>
      <c r="R499" s="166" t="str">
        <f>IF($C499="","",VLOOKUP($C499,'Tracking List'!$A$5:$AL$883,R$4,FALSE))</f>
        <v/>
      </c>
    </row>
    <row r="500" spans="3:18" ht="13.8" thickBot="1">
      <c r="C500" s="155"/>
      <c r="D500" s="156" t="str">
        <f>IF($C500="","",VLOOKUP($C500,'Tracking List'!$A$5:$AL$883,D$4,FALSE))</f>
        <v/>
      </c>
      <c r="E500" s="156" t="str">
        <f>IF($C500="","",VLOOKUP($C500,'Tracking List'!$A$5:$AL$883,E$4,FALSE))</f>
        <v/>
      </c>
      <c r="F500" s="156" t="str">
        <f>IF($C500="","",VLOOKUP($C500,'Tracking List'!$A$5:$AL$883,F$4,FALSE))</f>
        <v/>
      </c>
      <c r="G500" s="156" t="str">
        <f>IF($C500="","",VLOOKUP($C500,'Tracking List'!$A$5:$AL$883,G$4,FALSE))</f>
        <v/>
      </c>
      <c r="H500" s="156" t="str">
        <f>IF($C500="","",VLOOKUP($C500,'Tracking List'!$A$5:$AL$883,H$4,FALSE))</f>
        <v/>
      </c>
      <c r="I500" s="156" t="str">
        <f>IF($C500="","",VLOOKUP($C500,'Tracking List'!$A$5:$AL$883,I$4,FALSE))</f>
        <v/>
      </c>
      <c r="J500" s="156" t="str">
        <f>IF($C500="","",VLOOKUP($C500,'Tracking List'!$A$5:$AL$883,J$4,FALSE))</f>
        <v/>
      </c>
      <c r="K500" s="156" t="str">
        <f>IF($C500="","",VLOOKUP($C500,'Tracking List'!$A$5:$AL$883,K$4,FALSE))</f>
        <v/>
      </c>
      <c r="L500" s="169" t="str">
        <f>IF($C500="","",VLOOKUP($C500,'Tracking List'!$A$5:$AL$883,L$4,FALSE))</f>
        <v/>
      </c>
      <c r="M500" s="156" t="str">
        <f>IF($C500="","",VLOOKUP($C500,'Tracking List'!$A$5:$AL$883,M$4,FALSE))</f>
        <v/>
      </c>
      <c r="N500" s="157" t="str">
        <f>IF($C500="","",IF(VLOOKUP($C500,'Tracking List'!$A$5:$AL$883,N$3,FALSE)&gt;0,"Y",VLOOKUP($C500,'Tracking List'!$A$5:$AL$883,N$4,FALSE)))</f>
        <v/>
      </c>
      <c r="O500" s="157" t="str">
        <f>IF($C500="","",IF(VLOOKUP($C500,'Tracking List'!$A$5:$AL$883,O$3,FALSE)&gt;0,"Y",VLOOKUP($C500,'Tracking List'!$A$5:$AL$883,O$4,FALSE)))</f>
        <v/>
      </c>
      <c r="P500" s="156" t="str">
        <f>IF($C500="","",IF(VLOOKUP($C500,'Tracking List'!$A$5:$AL$883,P$4,FALSE)&gt;0,"Y",""))</f>
        <v/>
      </c>
      <c r="Q500" s="158"/>
      <c r="R500" s="167" t="str">
        <f>IF($C500="","",VLOOKUP($C500,'Tracking List'!$A$5:$AL$883,R$4,FALSE))</f>
        <v/>
      </c>
    </row>
    <row r="501" spans="3:18">
      <c r="C501" s="161"/>
      <c r="D501" s="162"/>
      <c r="E501" s="162"/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0"/>
    </row>
    <row r="502" spans="3:18">
      <c r="C502" s="161"/>
      <c r="D502" s="162"/>
      <c r="E502" s="162"/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0"/>
    </row>
    <row r="503" spans="3:18">
      <c r="C503" s="161"/>
      <c r="D503" s="162"/>
      <c r="E503" s="162"/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0"/>
    </row>
    <row r="504" spans="3:18">
      <c r="C504" s="161"/>
      <c r="D504" s="162"/>
      <c r="E504" s="162"/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0"/>
    </row>
    <row r="505" spans="3:18">
      <c r="C505" s="161"/>
      <c r="D505" s="162"/>
      <c r="E505" s="162"/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0"/>
    </row>
    <row r="506" spans="3:18">
      <c r="C506" s="161"/>
      <c r="D506" s="162"/>
      <c r="E506" s="162"/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0"/>
    </row>
    <row r="507" spans="3:18">
      <c r="C507" s="161"/>
      <c r="D507" s="162"/>
      <c r="E507" s="162"/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0"/>
    </row>
    <row r="508" spans="3:18">
      <c r="C508" s="161"/>
      <c r="D508" s="162"/>
      <c r="E508" s="162"/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0"/>
    </row>
    <row r="509" spans="3:18">
      <c r="C509" s="161"/>
      <c r="D509" s="162"/>
      <c r="E509" s="162"/>
      <c r="F509" s="162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0"/>
    </row>
    <row r="510" spans="3:18">
      <c r="C510" s="161"/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0"/>
    </row>
    <row r="511" spans="3:18">
      <c r="C511" s="161"/>
      <c r="D511" s="162"/>
      <c r="E511" s="162"/>
      <c r="F511" s="162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0"/>
    </row>
    <row r="512" spans="3:18">
      <c r="C512" s="161"/>
      <c r="D512" s="162"/>
      <c r="E512" s="162"/>
      <c r="F512" s="162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0"/>
    </row>
    <row r="513" spans="3:18">
      <c r="C513" s="161"/>
      <c r="D513" s="162"/>
      <c r="E513" s="162"/>
      <c r="F513" s="162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0"/>
    </row>
    <row r="514" spans="3:18">
      <c r="C514" s="161"/>
      <c r="D514" s="162"/>
      <c r="E514" s="162"/>
      <c r="F514" s="162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0"/>
    </row>
    <row r="515" spans="3:18">
      <c r="C515" s="161"/>
      <c r="D515" s="162"/>
      <c r="E515" s="162"/>
      <c r="F515" s="162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0"/>
    </row>
    <row r="516" spans="3:18">
      <c r="C516" s="161"/>
      <c r="D516" s="162"/>
      <c r="E516" s="162"/>
      <c r="F516" s="162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0"/>
    </row>
    <row r="517" spans="3:18">
      <c r="C517" s="161"/>
      <c r="D517" s="162"/>
      <c r="E517" s="162"/>
      <c r="F517" s="162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0"/>
    </row>
    <row r="518" spans="3:18">
      <c r="C518" s="161"/>
      <c r="D518" s="162"/>
      <c r="E518" s="162"/>
      <c r="F518" s="162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0"/>
    </row>
    <row r="519" spans="3:18">
      <c r="C519" s="161"/>
      <c r="D519" s="162"/>
      <c r="E519" s="162"/>
      <c r="F519" s="162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0"/>
    </row>
    <row r="520" spans="3:18">
      <c r="C520" s="161"/>
      <c r="D520" s="162"/>
      <c r="E520" s="162"/>
      <c r="F520" s="162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0"/>
    </row>
    <row r="521" spans="3:18">
      <c r="C521" s="161"/>
      <c r="D521" s="162"/>
      <c r="E521" s="162"/>
      <c r="F521" s="162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0"/>
    </row>
  </sheetData>
  <autoFilter ref="C5:R500">
    <sortState ref="C6:R500">
      <sortCondition descending="1" ref="D6"/>
    </sortState>
  </autoFilter>
  <phoneticPr fontId="52" type="noConversion"/>
  <conditionalFormatting sqref="N6:O500">
    <cfRule type="cellIs" dxfId="383" priority="12" operator="equal">
      <formula>"Y"</formula>
    </cfRule>
  </conditionalFormatting>
  <conditionalFormatting sqref="N6:O500">
    <cfRule type="expression" dxfId="382" priority="2422">
      <formula>AND($K6="Y",N6&gt;$D$3,N6&lt;=$E$3)</formula>
    </cfRule>
    <cfRule type="expression" dxfId="381" priority="2423">
      <formula>AND($K6="Y",N6&gt;$E$3,N6&lt;=$F$3)</formula>
    </cfRule>
    <cfRule type="expression" dxfId="380" priority="2424">
      <formula>AND($K6="Y",N6&lt;=$D$3)</formula>
    </cfRule>
  </conditionalFormatting>
  <pageMargins left="0.7" right="0.7" top="0.75" bottom="0.75" header="0.3" footer="0.3"/>
  <pageSetup paperSize="9" scale="40" orientation="portrait" r:id="rId1"/>
  <rowBreaks count="1" manualBreakCount="1">
    <brk id="116" max="16383" man="1"/>
  </rowBreaks>
  <colBreaks count="1" manualBreakCount="1">
    <brk id="17" max="4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eport_Overdue">
                <anchor>
                  <from>
                    <xdr:col>2</xdr:col>
                    <xdr:colOff>68580</xdr:colOff>
                    <xdr:row>2</xdr:row>
                    <xdr:rowOff>22860</xdr:rowOff>
                  </from>
                  <to>
                    <xdr:col>4</xdr:col>
                    <xdr:colOff>144780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Report_2Weeks_LA">
                <anchor>
                  <from>
                    <xdr:col>4</xdr:col>
                    <xdr:colOff>182880</xdr:colOff>
                    <xdr:row>2</xdr:row>
                    <xdr:rowOff>22860</xdr:rowOff>
                  </from>
                  <to>
                    <xdr:col>5</xdr:col>
                    <xdr:colOff>556260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Report_Print_to_PDF">
                <anchor>
                  <from>
                    <xdr:col>5</xdr:col>
                    <xdr:colOff>594360</xdr:colOff>
                    <xdr:row>2</xdr:row>
                    <xdr:rowOff>22860</xdr:rowOff>
                  </from>
                  <to>
                    <xdr:col>6</xdr:col>
                    <xdr:colOff>152400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erge_Report">
                <anchor>
                  <from>
                    <xdr:col>7</xdr:col>
                    <xdr:colOff>617220</xdr:colOff>
                    <xdr:row>2</xdr:row>
                    <xdr:rowOff>22860</xdr:rowOff>
                  </from>
                  <to>
                    <xdr:col>9</xdr:col>
                    <xdr:colOff>571500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Report_Print_to_XLS">
                <anchor>
                  <from>
                    <xdr:col>6</xdr:col>
                    <xdr:colOff>175260</xdr:colOff>
                    <xdr:row>2</xdr:row>
                    <xdr:rowOff>22860</xdr:rowOff>
                  </from>
                  <to>
                    <xdr:col>7</xdr:col>
                    <xdr:colOff>365760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SendMail_Test">
                <anchor>
                  <from>
                    <xdr:col>10</xdr:col>
                    <xdr:colOff>182880</xdr:colOff>
                    <xdr:row>2</xdr:row>
                    <xdr:rowOff>22860</xdr:rowOff>
                  </from>
                  <to>
                    <xdr:col>11</xdr:col>
                    <xdr:colOff>419100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SendMail">
                <anchor>
                  <from>
                    <xdr:col>12</xdr:col>
                    <xdr:colOff>182880</xdr:colOff>
                    <xdr:row>2</xdr:row>
                    <xdr:rowOff>22860</xdr:rowOff>
                  </from>
                  <to>
                    <xdr:col>13</xdr:col>
                    <xdr:colOff>647700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0"/>
  <sheetViews>
    <sheetView topLeftCell="C1" workbookViewId="0">
      <selection activeCell="L10" sqref="L10"/>
    </sheetView>
  </sheetViews>
  <sheetFormatPr defaultRowHeight="13.2"/>
  <cols>
    <col min="1" max="2" width="0" hidden="1" customWidth="1"/>
    <col min="3" max="3" width="11.5546875" customWidth="1"/>
    <col min="8" max="9" width="0" hidden="1" customWidth="1"/>
    <col min="10" max="10" width="9.6640625" customWidth="1"/>
    <col min="11" max="11" width="11.33203125" hidden="1" customWidth="1"/>
    <col min="17" max="17" width="11.33203125" customWidth="1"/>
    <col min="19" max="19" width="10.44140625" customWidth="1"/>
    <col min="20" max="20" width="10" customWidth="1"/>
    <col min="21" max="21" width="22.6640625" customWidth="1"/>
  </cols>
  <sheetData>
    <row r="1" spans="1:21" ht="27.75" customHeight="1">
      <c r="A1" s="346" t="s">
        <v>1195</v>
      </c>
      <c r="B1" s="346"/>
      <c r="C1" s="346"/>
      <c r="D1" s="346"/>
      <c r="E1" s="346"/>
      <c r="F1" s="346"/>
      <c r="G1" s="329" t="s">
        <v>268</v>
      </c>
      <c r="H1" s="329" t="s">
        <v>47</v>
      </c>
      <c r="I1" s="329" t="s">
        <v>269</v>
      </c>
      <c r="J1" s="330"/>
      <c r="K1" s="330"/>
      <c r="L1" s="331"/>
      <c r="M1" s="332"/>
      <c r="N1" s="7">
        <v>43168</v>
      </c>
      <c r="O1" s="333">
        <v>43175</v>
      </c>
      <c r="P1" s="334">
        <v>43182</v>
      </c>
      <c r="Q1" s="335"/>
      <c r="R1" s="336"/>
      <c r="S1" s="337"/>
      <c r="T1" s="336"/>
      <c r="U1" s="336"/>
    </row>
    <row r="2" spans="1:21" ht="15.75" customHeight="1">
      <c r="A2" s="346"/>
      <c r="B2" s="346"/>
      <c r="C2" s="399" t="s">
        <v>29</v>
      </c>
      <c r="D2" s="399" t="s">
        <v>21</v>
      </c>
      <c r="E2" s="399" t="s">
        <v>10</v>
      </c>
      <c r="F2" s="399" t="s">
        <v>11</v>
      </c>
      <c r="G2" s="399" t="s">
        <v>1474</v>
      </c>
      <c r="H2" s="18">
        <v>43299</v>
      </c>
      <c r="I2" s="18">
        <v>43390</v>
      </c>
      <c r="J2" s="394" t="s">
        <v>26</v>
      </c>
      <c r="K2" s="394"/>
      <c r="L2" s="395"/>
      <c r="M2" s="394"/>
      <c r="N2" s="396" t="s">
        <v>59</v>
      </c>
      <c r="O2" s="396"/>
      <c r="P2" s="396"/>
      <c r="Q2" s="397"/>
      <c r="R2" s="398" t="s">
        <v>60</v>
      </c>
      <c r="S2" s="398"/>
      <c r="T2" s="398"/>
      <c r="U2" s="398"/>
    </row>
    <row r="3" spans="1:21" ht="52.8">
      <c r="A3" s="327" t="s">
        <v>20</v>
      </c>
      <c r="B3" s="338" t="s">
        <v>52</v>
      </c>
      <c r="C3" s="399"/>
      <c r="D3" s="399"/>
      <c r="E3" s="399"/>
      <c r="F3" s="399"/>
      <c r="G3" s="399"/>
      <c r="H3" s="338" t="s">
        <v>23</v>
      </c>
      <c r="I3" s="338" t="s">
        <v>1473</v>
      </c>
      <c r="J3" s="339" t="s">
        <v>1472</v>
      </c>
      <c r="K3" s="339" t="s">
        <v>17</v>
      </c>
      <c r="L3" s="340" t="s">
        <v>1471</v>
      </c>
      <c r="M3" s="341" t="s">
        <v>1470</v>
      </c>
      <c r="N3" s="342" t="s">
        <v>67</v>
      </c>
      <c r="O3" s="342" t="s">
        <v>54</v>
      </c>
      <c r="P3" s="342" t="s">
        <v>18</v>
      </c>
      <c r="Q3" s="342" t="s">
        <v>31</v>
      </c>
      <c r="R3" s="343" t="s">
        <v>68</v>
      </c>
      <c r="S3" s="343" t="s">
        <v>28</v>
      </c>
      <c r="T3" s="343" t="s">
        <v>22</v>
      </c>
      <c r="U3" s="343" t="s">
        <v>32</v>
      </c>
    </row>
    <row r="4" spans="1:21" hidden="1">
      <c r="A4" s="327">
        <v>2</v>
      </c>
      <c r="B4" s="338">
        <v>2</v>
      </c>
      <c r="C4" s="338">
        <v>2</v>
      </c>
      <c r="D4" s="338">
        <v>2</v>
      </c>
      <c r="E4" s="338">
        <v>2</v>
      </c>
      <c r="F4" s="338">
        <v>2</v>
      </c>
      <c r="G4" s="338">
        <v>2</v>
      </c>
      <c r="H4" s="338">
        <v>2</v>
      </c>
      <c r="I4" s="338">
        <v>0</v>
      </c>
      <c r="J4" s="327">
        <v>2</v>
      </c>
      <c r="K4" s="327">
        <v>2</v>
      </c>
      <c r="L4" s="327">
        <v>2</v>
      </c>
      <c r="M4" s="327">
        <v>2</v>
      </c>
      <c r="N4" s="327">
        <v>2</v>
      </c>
      <c r="O4" s="327">
        <v>2</v>
      </c>
      <c r="P4" s="327">
        <v>0</v>
      </c>
      <c r="Q4" s="327">
        <v>2</v>
      </c>
      <c r="R4" s="327">
        <v>2</v>
      </c>
      <c r="S4" s="327">
        <v>2</v>
      </c>
      <c r="T4" s="327">
        <v>0</v>
      </c>
      <c r="U4" s="327">
        <v>2</v>
      </c>
    </row>
    <row r="5" spans="1:21" ht="26.25" customHeight="1">
      <c r="A5" s="139" t="s">
        <v>793</v>
      </c>
      <c r="B5" s="35" t="s">
        <v>481</v>
      </c>
      <c r="C5" s="35" t="s">
        <v>482</v>
      </c>
      <c r="D5" s="344" t="s">
        <v>0</v>
      </c>
      <c r="E5" s="344" t="s">
        <v>282</v>
      </c>
      <c r="F5" s="345" t="s">
        <v>834</v>
      </c>
      <c r="G5" s="15" t="s">
        <v>322</v>
      </c>
      <c r="H5" s="344" t="s">
        <v>364</v>
      </c>
      <c r="I5" s="5"/>
      <c r="J5" s="287" t="s">
        <v>483</v>
      </c>
      <c r="K5" s="35" t="s">
        <v>482</v>
      </c>
      <c r="L5" s="344" t="s">
        <v>1206</v>
      </c>
      <c r="M5" s="287" t="s">
        <v>485</v>
      </c>
      <c r="N5" s="4">
        <v>43105</v>
      </c>
      <c r="O5" s="4" t="s">
        <v>1468</v>
      </c>
      <c r="P5" s="4"/>
      <c r="Q5" s="311"/>
      <c r="R5" s="4">
        <v>43159</v>
      </c>
      <c r="S5" s="4" t="s">
        <v>1468</v>
      </c>
      <c r="T5" s="3"/>
      <c r="U5" s="309" t="s">
        <v>1469</v>
      </c>
    </row>
    <row r="6" spans="1:21" ht="24">
      <c r="A6" s="139" t="s">
        <v>794</v>
      </c>
      <c r="B6" s="35" t="s">
        <v>481</v>
      </c>
      <c r="C6" s="35" t="s">
        <v>482</v>
      </c>
      <c r="D6" s="344" t="s">
        <v>0</v>
      </c>
      <c r="E6" s="344" t="s">
        <v>282</v>
      </c>
      <c r="F6" s="345" t="s">
        <v>834</v>
      </c>
      <c r="G6" s="15" t="s">
        <v>237</v>
      </c>
      <c r="H6" s="344" t="s">
        <v>364</v>
      </c>
      <c r="I6" s="5"/>
      <c r="J6" s="287" t="s">
        <v>483</v>
      </c>
      <c r="K6" s="35" t="s">
        <v>482</v>
      </c>
      <c r="L6" s="344" t="s">
        <v>1206</v>
      </c>
      <c r="M6" s="287" t="s">
        <v>485</v>
      </c>
      <c r="N6" s="4">
        <v>43105</v>
      </c>
      <c r="O6" s="4" t="s">
        <v>1468</v>
      </c>
      <c r="P6" s="4"/>
      <c r="Q6" s="61"/>
      <c r="R6" s="4">
        <v>43159</v>
      </c>
      <c r="S6" s="4" t="s">
        <v>1468</v>
      </c>
      <c r="T6" s="3"/>
      <c r="U6" s="309" t="s">
        <v>1213</v>
      </c>
    </row>
    <row r="7" spans="1:21" ht="52.8">
      <c r="A7" s="139" t="s">
        <v>784</v>
      </c>
      <c r="B7" s="344" t="s">
        <v>458</v>
      </c>
      <c r="C7" s="344" t="s">
        <v>459</v>
      </c>
      <c r="D7" s="344" t="s">
        <v>0</v>
      </c>
      <c r="E7" s="344" t="s">
        <v>282</v>
      </c>
      <c r="F7" s="344" t="s">
        <v>460</v>
      </c>
      <c r="G7" s="344" t="s">
        <v>235</v>
      </c>
      <c r="H7" s="344" t="s">
        <v>364</v>
      </c>
      <c r="I7" s="344"/>
      <c r="J7" s="344" t="s">
        <v>461</v>
      </c>
      <c r="K7" s="344" t="s">
        <v>459</v>
      </c>
      <c r="L7" s="344" t="s">
        <v>420</v>
      </c>
      <c r="M7" s="286" t="s">
        <v>441</v>
      </c>
      <c r="N7" s="4">
        <v>43164</v>
      </c>
      <c r="O7" s="4">
        <v>43240</v>
      </c>
      <c r="P7" s="4"/>
      <c r="Q7" s="61"/>
      <c r="R7" s="4">
        <v>43276</v>
      </c>
      <c r="S7" s="328">
        <v>43332</v>
      </c>
      <c r="T7" s="3"/>
      <c r="U7" s="61" t="s">
        <v>1475</v>
      </c>
    </row>
    <row r="8" spans="1:21" ht="52.8">
      <c r="A8" s="139" t="s">
        <v>785</v>
      </c>
      <c r="B8" s="344" t="s">
        <v>458</v>
      </c>
      <c r="C8" s="344" t="s">
        <v>459</v>
      </c>
      <c r="D8" s="344" t="s">
        <v>0</v>
      </c>
      <c r="E8" s="344" t="s">
        <v>282</v>
      </c>
      <c r="F8" s="344" t="s">
        <v>460</v>
      </c>
      <c r="G8" s="344" t="s">
        <v>462</v>
      </c>
      <c r="H8" s="344" t="s">
        <v>364</v>
      </c>
      <c r="I8" s="344"/>
      <c r="J8" s="344" t="s">
        <v>461</v>
      </c>
      <c r="K8" s="344" t="s">
        <v>459</v>
      </c>
      <c r="L8" s="344" t="s">
        <v>420</v>
      </c>
      <c r="M8" s="286" t="s">
        <v>441</v>
      </c>
      <c r="N8" s="4">
        <v>43164</v>
      </c>
      <c r="O8" s="4">
        <v>43240</v>
      </c>
      <c r="P8" s="4"/>
      <c r="Q8" s="61"/>
      <c r="R8" s="4">
        <v>43276</v>
      </c>
      <c r="S8" s="328">
        <v>43332</v>
      </c>
      <c r="T8" s="3"/>
      <c r="U8" s="61" t="s">
        <v>1475</v>
      </c>
    </row>
    <row r="9" spans="1:21" ht="52.8">
      <c r="A9" s="139" t="s">
        <v>786</v>
      </c>
      <c r="B9" s="344" t="s">
        <v>458</v>
      </c>
      <c r="C9" s="344" t="s">
        <v>1476</v>
      </c>
      <c r="D9" s="344" t="s">
        <v>0</v>
      </c>
      <c r="E9" s="344" t="s">
        <v>282</v>
      </c>
      <c r="F9" s="344" t="s">
        <v>460</v>
      </c>
      <c r="G9" s="344" t="s">
        <v>463</v>
      </c>
      <c r="H9" s="344" t="s">
        <v>364</v>
      </c>
      <c r="I9" s="344"/>
      <c r="J9" s="344" t="s">
        <v>461</v>
      </c>
      <c r="K9" s="344" t="s">
        <v>459</v>
      </c>
      <c r="L9" s="344" t="s">
        <v>420</v>
      </c>
      <c r="M9" s="286" t="s">
        <v>441</v>
      </c>
      <c r="N9" s="4">
        <v>43164</v>
      </c>
      <c r="O9" s="4">
        <v>43240</v>
      </c>
      <c r="P9" s="4"/>
      <c r="Q9" s="61"/>
      <c r="R9" s="4">
        <v>43276</v>
      </c>
      <c r="S9" s="328">
        <v>43332</v>
      </c>
      <c r="T9" s="3"/>
      <c r="U9" s="61" t="s">
        <v>1475</v>
      </c>
    </row>
    <row r="10" spans="1:21" ht="52.8">
      <c r="A10" s="139" t="s">
        <v>787</v>
      </c>
      <c r="B10" s="344" t="s">
        <v>458</v>
      </c>
      <c r="C10" s="344" t="s">
        <v>459</v>
      </c>
      <c r="D10" s="344" t="s">
        <v>0</v>
      </c>
      <c r="E10" s="344" t="s">
        <v>282</v>
      </c>
      <c r="F10" s="344" t="s">
        <v>460</v>
      </c>
      <c r="G10" s="344" t="s">
        <v>464</v>
      </c>
      <c r="H10" s="344" t="s">
        <v>364</v>
      </c>
      <c r="I10" s="344"/>
      <c r="J10" s="344" t="s">
        <v>461</v>
      </c>
      <c r="K10" s="344" t="s">
        <v>459</v>
      </c>
      <c r="L10" s="344" t="s">
        <v>420</v>
      </c>
      <c r="M10" s="286" t="s">
        <v>441</v>
      </c>
      <c r="N10" s="4">
        <v>43164</v>
      </c>
      <c r="O10" s="4">
        <v>43240</v>
      </c>
      <c r="P10" s="4"/>
      <c r="Q10" s="61"/>
      <c r="R10" s="4">
        <v>43276</v>
      </c>
      <c r="S10" s="328">
        <v>43332</v>
      </c>
      <c r="T10" s="3"/>
      <c r="U10" s="61" t="s">
        <v>1475</v>
      </c>
    </row>
  </sheetData>
  <protectedRanges>
    <protectedRange password="CF7A" sqref="C8" name="区域9_2_1"/>
  </protectedRanges>
  <mergeCells count="8">
    <mergeCell ref="J2:M2"/>
    <mergeCell ref="N2:Q2"/>
    <mergeCell ref="R2:U2"/>
    <mergeCell ref="C2:C3"/>
    <mergeCell ref="D2:D3"/>
    <mergeCell ref="E2:E3"/>
    <mergeCell ref="F2:F3"/>
    <mergeCell ref="G2:G3"/>
  </mergeCells>
  <phoneticPr fontId="52" type="noConversion"/>
  <conditionalFormatting sqref="H1">
    <cfRule type="expression" dxfId="379" priority="42">
      <formula>$B1="del"</formula>
    </cfRule>
  </conditionalFormatting>
  <conditionalFormatting sqref="I1">
    <cfRule type="expression" dxfId="378" priority="41">
      <formula>$B1="del"</formula>
    </cfRule>
  </conditionalFormatting>
  <conditionalFormatting sqref="G1">
    <cfRule type="expression" dxfId="377" priority="40">
      <formula>$B1="del"</formula>
    </cfRule>
  </conditionalFormatting>
  <conditionalFormatting sqref="J1">
    <cfRule type="expression" dxfId="376" priority="39">
      <formula>$B1="del"</formula>
    </cfRule>
  </conditionalFormatting>
  <conditionalFormatting sqref="K1">
    <cfRule type="expression" dxfId="375" priority="38">
      <formula>$B1="del"</formula>
    </cfRule>
  </conditionalFormatting>
  <conditionalFormatting sqref="I5:I6">
    <cfRule type="cellIs" dxfId="374" priority="35" stopIfTrue="1" operator="equal">
      <formula>"Y"</formula>
    </cfRule>
    <cfRule type="cellIs" dxfId="373" priority="36" stopIfTrue="1" operator="equal">
      <formula>"N"</formula>
    </cfRule>
    <cfRule type="cellIs" dxfId="372" priority="37" stopIfTrue="1" operator="equal">
      <formula>"NA"</formula>
    </cfRule>
  </conditionalFormatting>
  <conditionalFormatting sqref="J5:K6 M5:M6 G5:G6 C5:D6">
    <cfRule type="expression" dxfId="371" priority="34">
      <formula>$B5="del"</formula>
    </cfRule>
  </conditionalFormatting>
  <conditionalFormatting sqref="B5:B6">
    <cfRule type="expression" dxfId="370" priority="33">
      <formula>$B5="del"</formula>
    </cfRule>
  </conditionalFormatting>
  <conditionalFormatting sqref="U5:U6">
    <cfRule type="cellIs" dxfId="369" priority="30" stopIfTrue="1" operator="equal">
      <formula>"R"</formula>
    </cfRule>
    <cfRule type="cellIs" dxfId="368" priority="31" stopIfTrue="1" operator="equal">
      <formula>"Y"</formula>
    </cfRule>
    <cfRule type="cellIs" dxfId="367" priority="32" stopIfTrue="1" operator="equal">
      <formula>"G"</formula>
    </cfRule>
  </conditionalFormatting>
  <conditionalFormatting sqref="S5:U6">
    <cfRule type="expression" dxfId="366" priority="19">
      <formula>AND($Y5="",$X5&gt;$T$1,$X5&lt;$U$1)</formula>
    </cfRule>
    <cfRule type="expression" dxfId="365" priority="20">
      <formula>AND($Y5="",$X5&gt;$S$1,$X5&lt;=$T$1)</formula>
    </cfRule>
    <cfRule type="expression" dxfId="364" priority="21">
      <formula>AND($Y5="",$X5&lt;$S$1)</formula>
    </cfRule>
    <cfRule type="expression" dxfId="363" priority="22">
      <formula>AND($Y5&lt;&gt;"")</formula>
    </cfRule>
  </conditionalFormatting>
  <conditionalFormatting sqref="R7:S10 I7:I10">
    <cfRule type="cellIs" dxfId="362" priority="16" stopIfTrue="1" operator="equal">
      <formula>"Y"</formula>
    </cfRule>
    <cfRule type="cellIs" dxfId="361" priority="17" stopIfTrue="1" operator="equal">
      <formula>"N"</formula>
    </cfRule>
    <cfRule type="cellIs" dxfId="360" priority="18" stopIfTrue="1" operator="equal">
      <formula>"NA"</formula>
    </cfRule>
  </conditionalFormatting>
  <conditionalFormatting sqref="B7:B10 D7:D10">
    <cfRule type="expression" dxfId="359" priority="15">
      <formula>$B7="del"</formula>
    </cfRule>
  </conditionalFormatting>
  <conditionalFormatting sqref="U9:U10">
    <cfRule type="cellIs" dxfId="358" priority="12" stopIfTrue="1" operator="equal">
      <formula>"R"</formula>
    </cfRule>
    <cfRule type="cellIs" dxfId="357" priority="13" stopIfTrue="1" operator="equal">
      <formula>"Y"</formula>
    </cfRule>
    <cfRule type="cellIs" dxfId="356" priority="14" stopIfTrue="1" operator="equal">
      <formula>"G"</formula>
    </cfRule>
  </conditionalFormatting>
  <conditionalFormatting sqref="R7:U10">
    <cfRule type="expression" dxfId="355" priority="1">
      <formula>AND($Y7="",$X7&gt;$T$1,$X7&lt;$U$1)</formula>
    </cfRule>
    <cfRule type="expression" dxfId="354" priority="2">
      <formula>AND($Y7="",$X7&gt;$S$1,$X7&lt;=$T$1)</formula>
    </cfRule>
    <cfRule type="expression" dxfId="353" priority="3">
      <formula>AND($Y7="",$X7&lt;$S$1)</formula>
    </cfRule>
    <cfRule type="expression" dxfId="352" priority="4">
      <formula>AND($Y7&lt;&gt;"")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Freeze_Panes">
                <anchor moveWithCells="1" sizeWithCells="1">
                  <from>
                    <xdr:col>0</xdr:col>
                    <xdr:colOff>190500</xdr:colOff>
                    <xdr:row>0</xdr:row>
                    <xdr:rowOff>83820</xdr:rowOff>
                  </from>
                  <to>
                    <xdr:col>2</xdr:col>
                    <xdr:colOff>106680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Clear_Filter">
                <anchor moveWithCells="1" sizeWithCells="1">
                  <from>
                    <xdr:col>2</xdr:col>
                    <xdr:colOff>114300</xdr:colOff>
                    <xdr:row>0</xdr:row>
                    <xdr:rowOff>83820</xdr:rowOff>
                  </from>
                  <to>
                    <xdr:col>2</xdr:col>
                    <xdr:colOff>975360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5" name="Option Button 4">
              <controlPr defaultSize="0" autoFill="0" autoLine="0" autoPict="0">
                <anchor moveWithCells="1">
                  <from>
                    <xdr:col>16</xdr:col>
                    <xdr:colOff>121920</xdr:colOff>
                    <xdr:row>0</xdr:row>
                    <xdr:rowOff>60960</xdr:rowOff>
                  </from>
                  <to>
                    <xdr:col>17</xdr:col>
                    <xdr:colOff>30480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6" name="Option Button 5">
              <controlPr defaultSize="0" autoFill="0" autoLine="0" autoPict="0">
                <anchor moveWithCells="1">
                  <from>
                    <xdr:col>16</xdr:col>
                    <xdr:colOff>693420</xdr:colOff>
                    <xdr:row>0</xdr:row>
                    <xdr:rowOff>60960</xdr:rowOff>
                  </from>
                  <to>
                    <xdr:col>17</xdr:col>
                    <xdr:colOff>609600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UnFreeze_Panes">
                <anchor moveWithCells="1" sizeWithCells="1">
                  <from>
                    <xdr:col>0</xdr:col>
                    <xdr:colOff>190500</xdr:colOff>
                    <xdr:row>1</xdr:row>
                    <xdr:rowOff>22860</xdr:rowOff>
                  </from>
                  <to>
                    <xdr:col>2</xdr:col>
                    <xdr:colOff>106680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7"/>
  <sheetViews>
    <sheetView topLeftCell="L1" workbookViewId="0">
      <selection activeCell="S18" sqref="S18"/>
    </sheetView>
  </sheetViews>
  <sheetFormatPr defaultRowHeight="13.2"/>
  <cols>
    <col min="1" max="2" width="0" hidden="1" customWidth="1"/>
    <col min="3" max="3" width="11.5546875" customWidth="1"/>
    <col min="5" max="9" width="0" hidden="1" customWidth="1"/>
    <col min="10" max="10" width="9.6640625" customWidth="1"/>
    <col min="11" max="11" width="11.33203125" hidden="1" customWidth="1"/>
    <col min="18" max="18" width="11.33203125" customWidth="1"/>
    <col min="20" max="20" width="10.44140625" customWidth="1"/>
    <col min="21" max="21" width="10" customWidth="1"/>
    <col min="22" max="22" width="22.6640625" customWidth="1"/>
    <col min="24" max="24" width="12.109375" customWidth="1"/>
    <col min="25" max="25" width="20" customWidth="1"/>
  </cols>
  <sheetData>
    <row r="1" spans="1:25" ht="27.75" customHeight="1">
      <c r="A1" s="346" t="s">
        <v>1195</v>
      </c>
      <c r="B1" s="346"/>
      <c r="C1" s="346"/>
      <c r="D1" s="346"/>
      <c r="E1" s="346"/>
      <c r="F1" s="346"/>
      <c r="G1" s="329" t="s">
        <v>268</v>
      </c>
      <c r="H1" s="329" t="s">
        <v>47</v>
      </c>
      <c r="I1" s="329" t="s">
        <v>269</v>
      </c>
      <c r="J1" s="330"/>
      <c r="K1" s="330"/>
      <c r="L1" s="331"/>
      <c r="M1" s="331"/>
      <c r="N1" s="332"/>
      <c r="O1" s="7">
        <v>43168</v>
      </c>
      <c r="P1" s="333">
        <v>43175</v>
      </c>
      <c r="Q1" s="334">
        <v>43182</v>
      </c>
      <c r="R1" s="335"/>
      <c r="S1" s="336"/>
      <c r="T1" s="337"/>
      <c r="U1" s="336"/>
      <c r="V1" s="336"/>
    </row>
    <row r="2" spans="1:25" ht="15.75" customHeight="1">
      <c r="A2" s="346"/>
      <c r="B2" s="346"/>
      <c r="C2" s="393" t="s">
        <v>1499</v>
      </c>
      <c r="D2" s="393" t="s">
        <v>21</v>
      </c>
      <c r="E2" s="399" t="s">
        <v>10</v>
      </c>
      <c r="F2" s="399" t="s">
        <v>11</v>
      </c>
      <c r="G2" s="399" t="s">
        <v>1474</v>
      </c>
      <c r="H2" s="18">
        <v>43299</v>
      </c>
      <c r="I2" s="18">
        <v>43390</v>
      </c>
      <c r="J2" s="394" t="s">
        <v>26</v>
      </c>
      <c r="K2" s="394"/>
      <c r="L2" s="395"/>
      <c r="M2" s="395"/>
      <c r="N2" s="394"/>
      <c r="O2" s="396" t="s">
        <v>59</v>
      </c>
      <c r="P2" s="396"/>
      <c r="Q2" s="396"/>
      <c r="R2" s="397"/>
      <c r="S2" s="398" t="s">
        <v>60</v>
      </c>
      <c r="T2" s="398"/>
      <c r="U2" s="398"/>
      <c r="V2" s="398"/>
    </row>
    <row r="3" spans="1:25" ht="52.8">
      <c r="A3" s="327" t="s">
        <v>20</v>
      </c>
      <c r="B3" s="338" t="s">
        <v>52</v>
      </c>
      <c r="C3" s="393"/>
      <c r="D3" s="393"/>
      <c r="E3" s="399"/>
      <c r="F3" s="399"/>
      <c r="G3" s="399"/>
      <c r="H3" s="338" t="s">
        <v>23</v>
      </c>
      <c r="I3" s="338" t="s">
        <v>1473</v>
      </c>
      <c r="J3" s="339" t="s">
        <v>1472</v>
      </c>
      <c r="K3" s="339" t="s">
        <v>17</v>
      </c>
      <c r="L3" s="340" t="s">
        <v>1471</v>
      </c>
      <c r="M3" s="339" t="s">
        <v>1478</v>
      </c>
      <c r="N3" s="341" t="s">
        <v>1470</v>
      </c>
      <c r="O3" s="342" t="s">
        <v>67</v>
      </c>
      <c r="P3" s="342" t="s">
        <v>54</v>
      </c>
      <c r="Q3" s="342" t="s">
        <v>18</v>
      </c>
      <c r="R3" s="342" t="s">
        <v>31</v>
      </c>
      <c r="S3" s="343" t="s">
        <v>68</v>
      </c>
      <c r="T3" s="343" t="s">
        <v>28</v>
      </c>
      <c r="U3" s="343" t="s">
        <v>22</v>
      </c>
      <c r="V3" s="343" t="s">
        <v>32</v>
      </c>
    </row>
    <row r="4" spans="1:25" hidden="1">
      <c r="A4" s="327">
        <v>2</v>
      </c>
      <c r="B4" s="338">
        <v>2</v>
      </c>
      <c r="C4" s="338">
        <v>2</v>
      </c>
      <c r="D4" s="338">
        <v>2</v>
      </c>
      <c r="E4" s="338">
        <v>2</v>
      </c>
      <c r="F4" s="338">
        <v>2</v>
      </c>
      <c r="G4" s="338">
        <v>2</v>
      </c>
      <c r="H4" s="338">
        <v>2</v>
      </c>
      <c r="I4" s="338">
        <v>0</v>
      </c>
      <c r="J4" s="327">
        <v>2</v>
      </c>
      <c r="K4" s="327">
        <v>2</v>
      </c>
      <c r="L4" s="327">
        <v>2</v>
      </c>
      <c r="M4" s="327"/>
      <c r="N4" s="327">
        <v>2</v>
      </c>
      <c r="O4" s="327">
        <v>2</v>
      </c>
      <c r="P4" s="327">
        <v>2</v>
      </c>
      <c r="Q4" s="327">
        <v>0</v>
      </c>
      <c r="R4" s="327">
        <v>2</v>
      </c>
      <c r="S4" s="327">
        <v>2</v>
      </c>
      <c r="T4" s="327">
        <v>2</v>
      </c>
      <c r="U4" s="327">
        <v>0</v>
      </c>
      <c r="V4" s="327">
        <v>2</v>
      </c>
    </row>
    <row r="5" spans="1:25" ht="26.25" hidden="1" customHeight="1">
      <c r="A5" s="139" t="s">
        <v>793</v>
      </c>
      <c r="B5" s="35" t="s">
        <v>481</v>
      </c>
      <c r="C5" s="35" t="s">
        <v>482</v>
      </c>
      <c r="D5" s="344" t="s">
        <v>0</v>
      </c>
      <c r="E5" s="344" t="s">
        <v>282</v>
      </c>
      <c r="F5" s="345" t="s">
        <v>834</v>
      </c>
      <c r="G5" s="15" t="s">
        <v>322</v>
      </c>
      <c r="H5" s="344" t="s">
        <v>364</v>
      </c>
      <c r="I5" s="5"/>
      <c r="J5" s="287" t="s">
        <v>483</v>
      </c>
      <c r="K5" s="35" t="s">
        <v>482</v>
      </c>
      <c r="L5" s="344" t="s">
        <v>1206</v>
      </c>
      <c r="M5" s="344"/>
      <c r="N5" s="287" t="s">
        <v>485</v>
      </c>
      <c r="O5" s="4">
        <v>43105</v>
      </c>
      <c r="P5" s="4" t="s">
        <v>1468</v>
      </c>
      <c r="Q5" s="4"/>
      <c r="R5" s="311"/>
      <c r="S5" s="4">
        <v>43159</v>
      </c>
      <c r="T5" s="4" t="s">
        <v>1468</v>
      </c>
      <c r="U5" s="3"/>
      <c r="V5" s="309" t="s">
        <v>1469</v>
      </c>
    </row>
    <row r="6" spans="1:25" ht="39" customHeight="1">
      <c r="A6" s="139" t="s">
        <v>794</v>
      </c>
      <c r="B6" s="35" t="s">
        <v>481</v>
      </c>
      <c r="C6" s="35" t="s">
        <v>482</v>
      </c>
      <c r="D6" s="35" t="s">
        <v>1489</v>
      </c>
      <c r="E6" s="35" t="s">
        <v>282</v>
      </c>
      <c r="F6" s="35" t="s">
        <v>1494</v>
      </c>
      <c r="G6" s="35" t="s">
        <v>237</v>
      </c>
      <c r="H6" s="35" t="s">
        <v>364</v>
      </c>
      <c r="I6" s="35"/>
      <c r="J6" s="35" t="s">
        <v>1495</v>
      </c>
      <c r="K6" s="35" t="s">
        <v>1490</v>
      </c>
      <c r="L6" s="35" t="s">
        <v>1206</v>
      </c>
      <c r="M6" s="35">
        <v>2</v>
      </c>
      <c r="N6" s="35" t="s">
        <v>1491</v>
      </c>
      <c r="O6" s="4">
        <v>43105</v>
      </c>
      <c r="P6" s="4" t="s">
        <v>1468</v>
      </c>
      <c r="Q6" s="4"/>
      <c r="R6" s="4"/>
      <c r="S6" s="4">
        <v>43159</v>
      </c>
      <c r="T6" s="4" t="s">
        <v>1468</v>
      </c>
      <c r="U6" s="3"/>
      <c r="V6" s="35" t="s">
        <v>1497</v>
      </c>
    </row>
    <row r="7" spans="1:25" ht="52.8">
      <c r="A7" s="139" t="s">
        <v>784</v>
      </c>
      <c r="B7" s="344" t="s">
        <v>458</v>
      </c>
      <c r="C7" s="35" t="s">
        <v>1496</v>
      </c>
      <c r="D7" s="35" t="s">
        <v>1489</v>
      </c>
      <c r="E7" s="35" t="s">
        <v>282</v>
      </c>
      <c r="F7" s="35" t="s">
        <v>1492</v>
      </c>
      <c r="G7" s="35" t="s">
        <v>235</v>
      </c>
      <c r="H7" s="35" t="s">
        <v>364</v>
      </c>
      <c r="I7" s="35"/>
      <c r="J7" s="35" t="s">
        <v>1493</v>
      </c>
      <c r="K7" s="35" t="s">
        <v>1476</v>
      </c>
      <c r="L7" s="35" t="s">
        <v>420</v>
      </c>
      <c r="M7" s="35">
        <v>4</v>
      </c>
      <c r="N7" s="35" t="s">
        <v>441</v>
      </c>
      <c r="O7" s="4">
        <v>43164</v>
      </c>
      <c r="P7" s="4">
        <v>43240</v>
      </c>
      <c r="Q7" s="4"/>
      <c r="R7" s="4"/>
      <c r="S7" s="4">
        <v>43276</v>
      </c>
      <c r="T7" s="328">
        <v>43332</v>
      </c>
      <c r="U7" s="3"/>
      <c r="V7" s="35" t="s">
        <v>1498</v>
      </c>
    </row>
    <row r="8" spans="1:25" ht="52.8" hidden="1">
      <c r="A8" s="139" t="s">
        <v>785</v>
      </c>
      <c r="B8" s="344" t="s">
        <v>458</v>
      </c>
      <c r="C8" s="344" t="s">
        <v>459</v>
      </c>
      <c r="D8" s="344" t="s">
        <v>0</v>
      </c>
      <c r="E8" s="344" t="s">
        <v>282</v>
      </c>
      <c r="F8" s="344" t="s">
        <v>460</v>
      </c>
      <c r="G8" s="344" t="s">
        <v>462</v>
      </c>
      <c r="H8" s="344" t="s">
        <v>364</v>
      </c>
      <c r="I8" s="344"/>
      <c r="J8" s="344" t="s">
        <v>461</v>
      </c>
      <c r="K8" s="344" t="s">
        <v>459</v>
      </c>
      <c r="L8" s="344" t="s">
        <v>420</v>
      </c>
      <c r="M8" s="344"/>
      <c r="N8" s="286" t="s">
        <v>441</v>
      </c>
      <c r="O8" s="4">
        <v>43164</v>
      </c>
      <c r="P8" s="4">
        <v>43240</v>
      </c>
      <c r="Q8" s="4"/>
      <c r="R8" s="61"/>
      <c r="S8" s="4">
        <v>43276</v>
      </c>
      <c r="T8" s="328">
        <v>43332</v>
      </c>
      <c r="U8" s="3"/>
      <c r="V8" s="61" t="s">
        <v>1475</v>
      </c>
    </row>
    <row r="9" spans="1:25" ht="52.8" hidden="1">
      <c r="A9" s="139" t="s">
        <v>786</v>
      </c>
      <c r="B9" s="344" t="s">
        <v>458</v>
      </c>
      <c r="C9" s="344" t="s">
        <v>1476</v>
      </c>
      <c r="D9" s="344" t="s">
        <v>0</v>
      </c>
      <c r="E9" s="344" t="s">
        <v>282</v>
      </c>
      <c r="F9" s="344" t="s">
        <v>460</v>
      </c>
      <c r="G9" s="344" t="s">
        <v>463</v>
      </c>
      <c r="H9" s="344" t="s">
        <v>364</v>
      </c>
      <c r="I9" s="344"/>
      <c r="J9" s="344" t="s">
        <v>461</v>
      </c>
      <c r="K9" s="344" t="s">
        <v>459</v>
      </c>
      <c r="L9" s="344" t="s">
        <v>420</v>
      </c>
      <c r="M9" s="344"/>
      <c r="N9" s="286" t="s">
        <v>441</v>
      </c>
      <c r="O9" s="4">
        <v>43164</v>
      </c>
      <c r="P9" s="4">
        <v>43240</v>
      </c>
      <c r="Q9" s="4"/>
      <c r="R9" s="61"/>
      <c r="S9" s="4">
        <v>43276</v>
      </c>
      <c r="T9" s="328">
        <v>43332</v>
      </c>
      <c r="U9" s="3"/>
      <c r="V9" s="61" t="s">
        <v>1475</v>
      </c>
    </row>
    <row r="10" spans="1:25" ht="52.8" hidden="1">
      <c r="A10" s="139" t="s">
        <v>787</v>
      </c>
      <c r="B10" s="344" t="s">
        <v>458</v>
      </c>
      <c r="C10" s="344" t="s">
        <v>459</v>
      </c>
      <c r="D10" s="344" t="s">
        <v>0</v>
      </c>
      <c r="E10" s="344" t="s">
        <v>282</v>
      </c>
      <c r="F10" s="344" t="s">
        <v>460</v>
      </c>
      <c r="G10" s="344" t="s">
        <v>464</v>
      </c>
      <c r="H10" s="344" t="s">
        <v>364</v>
      </c>
      <c r="I10" s="344"/>
      <c r="J10" s="344" t="s">
        <v>461</v>
      </c>
      <c r="K10" s="344" t="s">
        <v>459</v>
      </c>
      <c r="L10" s="344" t="s">
        <v>420</v>
      </c>
      <c r="M10" s="344"/>
      <c r="N10" s="286" t="s">
        <v>441</v>
      </c>
      <c r="O10" s="4">
        <v>43164</v>
      </c>
      <c r="P10" s="4">
        <v>43240</v>
      </c>
      <c r="Q10" s="4"/>
      <c r="R10" s="61"/>
      <c r="S10" s="4">
        <v>43276</v>
      </c>
      <c r="T10" s="328">
        <v>43332</v>
      </c>
      <c r="U10" s="3"/>
      <c r="V10" s="61" t="s">
        <v>1475</v>
      </c>
    </row>
    <row r="12" spans="1:25">
      <c r="X12" s="133" t="s">
        <v>1559</v>
      </c>
      <c r="Y12" s="133" t="s">
        <v>1560</v>
      </c>
    </row>
    <row r="13" spans="1:25">
      <c r="X13" s="133" t="s">
        <v>1561</v>
      </c>
      <c r="Y13" s="374" t="s">
        <v>1566</v>
      </c>
    </row>
    <row r="14" spans="1:25">
      <c r="X14" s="133" t="s">
        <v>1562</v>
      </c>
      <c r="Y14" s="374" t="s">
        <v>1567</v>
      </c>
    </row>
    <row r="15" spans="1:25">
      <c r="X15" s="133" t="s">
        <v>1563</v>
      </c>
      <c r="Y15" s="374" t="s">
        <v>1568</v>
      </c>
    </row>
    <row r="16" spans="1:25">
      <c r="X16" s="133" t="s">
        <v>1564</v>
      </c>
      <c r="Y16" s="374" t="s">
        <v>1569</v>
      </c>
    </row>
    <row r="17" spans="24:25">
      <c r="X17" s="133" t="s">
        <v>1565</v>
      </c>
      <c r="Y17" s="374" t="s">
        <v>1570</v>
      </c>
    </row>
  </sheetData>
  <protectedRanges>
    <protectedRange password="CF7A" sqref="C8" name="区域9_2_1"/>
  </protectedRanges>
  <mergeCells count="8">
    <mergeCell ref="O2:R2"/>
    <mergeCell ref="S2:V2"/>
    <mergeCell ref="C2:C3"/>
    <mergeCell ref="D2:D3"/>
    <mergeCell ref="E2:E3"/>
    <mergeCell ref="F2:F3"/>
    <mergeCell ref="G2:G3"/>
    <mergeCell ref="J2:N2"/>
  </mergeCells>
  <phoneticPr fontId="3" type="noConversion"/>
  <conditionalFormatting sqref="H1">
    <cfRule type="expression" dxfId="351" priority="31">
      <formula>$B1="del"</formula>
    </cfRule>
  </conditionalFormatting>
  <conditionalFormatting sqref="I1">
    <cfRule type="expression" dxfId="350" priority="30">
      <formula>$B1="del"</formula>
    </cfRule>
  </conditionalFormatting>
  <conditionalFormatting sqref="G1">
    <cfRule type="expression" dxfId="349" priority="29">
      <formula>$B1="del"</formula>
    </cfRule>
  </conditionalFormatting>
  <conditionalFormatting sqref="J1">
    <cfRule type="expression" dxfId="348" priority="28">
      <formula>$B1="del"</formula>
    </cfRule>
  </conditionalFormatting>
  <conditionalFormatting sqref="K1">
    <cfRule type="expression" dxfId="347" priority="27">
      <formula>$B1="del"</formula>
    </cfRule>
  </conditionalFormatting>
  <conditionalFormatting sqref="I5">
    <cfRule type="cellIs" dxfId="346" priority="24" stopIfTrue="1" operator="equal">
      <formula>"Y"</formula>
    </cfRule>
    <cfRule type="cellIs" dxfId="345" priority="25" stopIfTrue="1" operator="equal">
      <formula>"N"</formula>
    </cfRule>
    <cfRule type="cellIs" dxfId="344" priority="26" stopIfTrue="1" operator="equal">
      <formula>"NA"</formula>
    </cfRule>
  </conditionalFormatting>
  <conditionalFormatting sqref="J5:K5 N5 G5 C5:D5 C6">
    <cfRule type="expression" dxfId="343" priority="23">
      <formula>$B5="del"</formula>
    </cfRule>
  </conditionalFormatting>
  <conditionalFormatting sqref="B5:B6">
    <cfRule type="expression" dxfId="342" priority="22">
      <formula>$B5="del"</formula>
    </cfRule>
  </conditionalFormatting>
  <conditionalFormatting sqref="V5">
    <cfRule type="cellIs" dxfId="341" priority="19" stopIfTrue="1" operator="equal">
      <formula>"R"</formula>
    </cfRule>
    <cfRule type="cellIs" dxfId="340" priority="20" stopIfTrue="1" operator="equal">
      <formula>"Y"</formula>
    </cfRule>
    <cfRule type="cellIs" dxfId="339" priority="21" stopIfTrue="1" operator="equal">
      <formula>"G"</formula>
    </cfRule>
  </conditionalFormatting>
  <conditionalFormatting sqref="T5:V5 T6:U6">
    <cfRule type="expression" dxfId="338" priority="15">
      <formula>AND($Z5="",$Y5&gt;$U$1,$Y5&lt;$V$1)</formula>
    </cfRule>
    <cfRule type="expression" dxfId="337" priority="16">
      <formula>AND($Z5="",$Y5&gt;$T$1,$Y5&lt;=$U$1)</formula>
    </cfRule>
    <cfRule type="expression" dxfId="336" priority="17">
      <formula>AND($Z5="",$Y5&lt;$T$1)</formula>
    </cfRule>
    <cfRule type="expression" dxfId="335" priority="18">
      <formula>AND($Z5&lt;&gt;"")</formula>
    </cfRule>
  </conditionalFormatting>
  <conditionalFormatting sqref="S7:T10 I8:I10">
    <cfRule type="cellIs" dxfId="334" priority="12" stopIfTrue="1" operator="equal">
      <formula>"Y"</formula>
    </cfRule>
    <cfRule type="cellIs" dxfId="333" priority="13" stopIfTrue="1" operator="equal">
      <formula>"N"</formula>
    </cfRule>
    <cfRule type="cellIs" dxfId="332" priority="14" stopIfTrue="1" operator="equal">
      <formula>"NA"</formula>
    </cfRule>
  </conditionalFormatting>
  <conditionalFormatting sqref="B7:B10 D8:D10">
    <cfRule type="expression" dxfId="331" priority="11">
      <formula>$B7="del"</formula>
    </cfRule>
  </conditionalFormatting>
  <conditionalFormatting sqref="V9:V10">
    <cfRule type="cellIs" dxfId="330" priority="8" stopIfTrue="1" operator="equal">
      <formula>"R"</formula>
    </cfRule>
    <cfRule type="cellIs" dxfId="329" priority="9" stopIfTrue="1" operator="equal">
      <formula>"Y"</formula>
    </cfRule>
    <cfRule type="cellIs" dxfId="328" priority="10" stopIfTrue="1" operator="equal">
      <formula>"G"</formula>
    </cfRule>
  </conditionalFormatting>
  <conditionalFormatting sqref="S8:V10 S7:U7">
    <cfRule type="expression" dxfId="327" priority="4">
      <formula>AND($Z7="",$Y7&gt;$U$1,$Y7&lt;$V$1)</formula>
    </cfRule>
    <cfRule type="expression" dxfId="326" priority="5">
      <formula>AND($Z7="",$Y7&gt;$T$1,$Y7&lt;=$U$1)</formula>
    </cfRule>
    <cfRule type="expression" dxfId="325" priority="6">
      <formula>AND($Z7="",$Y7&lt;$T$1)</formula>
    </cfRule>
    <cfRule type="expression" dxfId="324" priority="7">
      <formula>AND($Z7&lt;&gt;"")</formula>
    </cfRule>
  </conditionalFormatting>
  <conditionalFormatting sqref="D6:N7">
    <cfRule type="expression" dxfId="323" priority="3">
      <formula>$B6="del"</formula>
    </cfRule>
  </conditionalFormatting>
  <conditionalFormatting sqref="C7">
    <cfRule type="expression" dxfId="322" priority="2">
      <formula>$B7="del"</formula>
    </cfRule>
  </conditionalFormatting>
  <conditionalFormatting sqref="V6:V7">
    <cfRule type="expression" dxfId="321" priority="1">
      <formula>$B6="del"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V153"/>
  <sheetViews>
    <sheetView workbookViewId="0">
      <selection activeCell="J162" sqref="J162"/>
    </sheetView>
  </sheetViews>
  <sheetFormatPr defaultRowHeight="13.2"/>
  <cols>
    <col min="10" max="11" width="22" customWidth="1"/>
    <col min="18" max="18" width="18.6640625" customWidth="1"/>
  </cols>
  <sheetData>
    <row r="1" spans="1:22" ht="28.2">
      <c r="A1" s="377" t="s">
        <v>1195</v>
      </c>
      <c r="B1" s="378"/>
      <c r="C1" s="378"/>
      <c r="D1" s="378"/>
      <c r="E1" s="378"/>
      <c r="F1" s="379"/>
      <c r="G1" s="33" t="s">
        <v>268</v>
      </c>
      <c r="H1" s="33" t="s">
        <v>47</v>
      </c>
      <c r="I1" s="42" t="s">
        <v>269</v>
      </c>
      <c r="J1" s="47"/>
      <c r="K1" s="354"/>
      <c r="L1" s="48"/>
      <c r="M1" s="57"/>
      <c r="N1" s="22"/>
      <c r="O1" s="55">
        <v>43168</v>
      </c>
      <c r="P1" s="135">
        <v>43175</v>
      </c>
      <c r="Q1" s="136">
        <v>43182</v>
      </c>
      <c r="R1" s="60"/>
      <c r="S1" s="28"/>
      <c r="T1" s="138"/>
      <c r="U1" s="26"/>
      <c r="V1" s="26"/>
    </row>
    <row r="2" spans="1:22" ht="15.6">
      <c r="A2" s="380"/>
      <c r="B2" s="381"/>
      <c r="C2" s="381"/>
      <c r="D2" s="381"/>
      <c r="E2" s="381"/>
      <c r="F2" s="382"/>
      <c r="G2" s="18">
        <v>43278</v>
      </c>
      <c r="H2" s="43">
        <v>43299</v>
      </c>
      <c r="I2" s="43">
        <v>43390</v>
      </c>
      <c r="J2" s="389" t="s">
        <v>26</v>
      </c>
      <c r="K2" s="390"/>
      <c r="L2" s="390"/>
      <c r="M2" s="391"/>
      <c r="N2" s="392"/>
      <c r="O2" s="385" t="s">
        <v>59</v>
      </c>
      <c r="P2" s="385"/>
      <c r="Q2" s="385"/>
      <c r="R2" s="386"/>
      <c r="S2" s="387" t="s">
        <v>60</v>
      </c>
      <c r="T2" s="388"/>
      <c r="U2" s="388"/>
      <c r="V2" s="388"/>
    </row>
    <row r="3" spans="1:22" ht="65.400000000000006" thickBot="1">
      <c r="A3" s="87" t="s">
        <v>20</v>
      </c>
      <c r="B3" s="204" t="s">
        <v>52</v>
      </c>
      <c r="C3" s="204" t="s">
        <v>29</v>
      </c>
      <c r="D3" s="204" t="s">
        <v>21</v>
      </c>
      <c r="E3" s="204" t="s">
        <v>10</v>
      </c>
      <c r="F3" s="204" t="s">
        <v>11</v>
      </c>
      <c r="G3" s="204" t="s">
        <v>12</v>
      </c>
      <c r="H3" s="205" t="s">
        <v>23</v>
      </c>
      <c r="I3" s="206" t="s">
        <v>24</v>
      </c>
      <c r="J3" s="89" t="s">
        <v>16</v>
      </c>
      <c r="K3" s="355"/>
      <c r="L3" s="90" t="s">
        <v>17</v>
      </c>
      <c r="M3" s="91" t="s">
        <v>45</v>
      </c>
      <c r="N3" s="92" t="s">
        <v>1</v>
      </c>
      <c r="O3" s="93" t="s">
        <v>67</v>
      </c>
      <c r="P3" s="93" t="s">
        <v>54</v>
      </c>
      <c r="Q3" s="93" t="s">
        <v>18</v>
      </c>
      <c r="R3" s="94" t="s">
        <v>31</v>
      </c>
      <c r="S3" s="95" t="s">
        <v>68</v>
      </c>
      <c r="T3" s="41" t="s">
        <v>28</v>
      </c>
      <c r="U3" s="41" t="s">
        <v>22</v>
      </c>
      <c r="V3" s="45" t="s">
        <v>32</v>
      </c>
    </row>
    <row r="4" spans="1:22">
      <c r="A4" s="125">
        <v>149</v>
      </c>
      <c r="B4" s="207">
        <v>149</v>
      </c>
      <c r="C4" s="207">
        <v>149</v>
      </c>
      <c r="D4" s="207">
        <v>149</v>
      </c>
      <c r="E4" s="207">
        <v>149</v>
      </c>
      <c r="F4" s="207">
        <v>149</v>
      </c>
      <c r="G4" s="207">
        <v>149</v>
      </c>
      <c r="H4" s="207">
        <v>149</v>
      </c>
      <c r="I4" s="207">
        <v>142</v>
      </c>
      <c r="J4" s="125">
        <v>148</v>
      </c>
      <c r="K4" s="125"/>
      <c r="L4" s="125">
        <v>35</v>
      </c>
      <c r="M4" s="125">
        <v>35</v>
      </c>
      <c r="N4" s="125">
        <v>34</v>
      </c>
      <c r="O4" s="125">
        <v>149</v>
      </c>
      <c r="P4" s="125">
        <v>149</v>
      </c>
      <c r="Q4" s="125">
        <v>0</v>
      </c>
      <c r="R4" s="125">
        <v>149</v>
      </c>
      <c r="S4" s="125">
        <v>149</v>
      </c>
      <c r="T4" s="125">
        <v>149</v>
      </c>
      <c r="U4" s="125">
        <v>0</v>
      </c>
      <c r="V4" s="125">
        <v>5</v>
      </c>
    </row>
    <row r="5" spans="1:22" ht="36" hidden="1">
      <c r="A5" s="139" t="s">
        <v>85</v>
      </c>
      <c r="B5" s="15" t="s">
        <v>306</v>
      </c>
      <c r="C5" s="46" t="s">
        <v>307</v>
      </c>
      <c r="D5" s="21" t="s">
        <v>231</v>
      </c>
      <c r="E5" s="21" t="s">
        <v>313</v>
      </c>
      <c r="F5" s="21" t="s">
        <v>318</v>
      </c>
      <c r="G5" s="21" t="s">
        <v>319</v>
      </c>
      <c r="H5" s="19" t="s">
        <v>61</v>
      </c>
      <c r="I5" s="5">
        <v>8</v>
      </c>
      <c r="J5" s="21" t="s">
        <v>320</v>
      </c>
      <c r="K5" s="21" t="s">
        <v>1479</v>
      </c>
      <c r="L5" s="21" t="s">
        <v>1480</v>
      </c>
      <c r="M5" s="21" t="s">
        <v>1203</v>
      </c>
      <c r="N5" s="21" t="s">
        <v>312</v>
      </c>
      <c r="O5" s="25">
        <v>43160</v>
      </c>
      <c r="P5" s="25" t="s">
        <v>1204</v>
      </c>
      <c r="Q5" s="25"/>
      <c r="R5" s="311" t="s">
        <v>1460</v>
      </c>
      <c r="S5" s="25">
        <v>43224</v>
      </c>
      <c r="T5" s="25">
        <v>43230</v>
      </c>
      <c r="U5" s="4"/>
      <c r="V5" s="54"/>
    </row>
    <row r="6" spans="1:22" ht="36" hidden="1">
      <c r="A6" s="139" t="s">
        <v>86</v>
      </c>
      <c r="B6" s="15" t="s">
        <v>306</v>
      </c>
      <c r="C6" s="46" t="s">
        <v>307</v>
      </c>
      <c r="D6" s="21" t="s">
        <v>231</v>
      </c>
      <c r="E6" s="21" t="s">
        <v>313</v>
      </c>
      <c r="F6" s="21" t="s">
        <v>318</v>
      </c>
      <c r="G6" s="21" t="s">
        <v>322</v>
      </c>
      <c r="H6" s="19" t="s">
        <v>61</v>
      </c>
      <c r="I6" s="5">
        <v>8</v>
      </c>
      <c r="J6" s="21" t="s">
        <v>320</v>
      </c>
      <c r="K6" s="21" t="s">
        <v>1479</v>
      </c>
      <c r="L6" s="21" t="s">
        <v>323</v>
      </c>
      <c r="M6" s="21" t="s">
        <v>1203</v>
      </c>
      <c r="N6" s="21" t="s">
        <v>312</v>
      </c>
      <c r="O6" s="25">
        <v>43160</v>
      </c>
      <c r="P6" s="25" t="s">
        <v>1204</v>
      </c>
      <c r="Q6" s="25"/>
      <c r="R6" s="311" t="s">
        <v>1460</v>
      </c>
      <c r="S6" s="25">
        <v>43224</v>
      </c>
      <c r="T6" s="25">
        <v>43230</v>
      </c>
      <c r="U6" s="4"/>
      <c r="V6" s="54"/>
    </row>
    <row r="7" spans="1:22" ht="36" hidden="1">
      <c r="A7" s="139" t="s">
        <v>87</v>
      </c>
      <c r="B7" s="15" t="s">
        <v>306</v>
      </c>
      <c r="C7" s="46" t="s">
        <v>307</v>
      </c>
      <c r="D7" s="21" t="s">
        <v>231</v>
      </c>
      <c r="E7" s="21" t="s">
        <v>313</v>
      </c>
      <c r="F7" s="21" t="s">
        <v>325</v>
      </c>
      <c r="G7" s="21" t="s">
        <v>319</v>
      </c>
      <c r="H7" s="19" t="s">
        <v>61</v>
      </c>
      <c r="I7" s="5">
        <v>8</v>
      </c>
      <c r="J7" s="21" t="s">
        <v>320</v>
      </c>
      <c r="K7" s="21" t="s">
        <v>1479</v>
      </c>
      <c r="L7" s="21" t="s">
        <v>321</v>
      </c>
      <c r="M7" s="21" t="s">
        <v>1203</v>
      </c>
      <c r="N7" s="21" t="s">
        <v>312</v>
      </c>
      <c r="O7" s="25">
        <v>43160</v>
      </c>
      <c r="P7" s="25" t="s">
        <v>1204</v>
      </c>
      <c r="Q7" s="25"/>
      <c r="R7" s="311" t="s">
        <v>1460</v>
      </c>
      <c r="S7" s="25">
        <v>43224</v>
      </c>
      <c r="T7" s="25">
        <v>43230</v>
      </c>
      <c r="U7" s="4"/>
      <c r="V7" s="54"/>
    </row>
    <row r="8" spans="1:22" ht="36" hidden="1">
      <c r="A8" s="139" t="s">
        <v>88</v>
      </c>
      <c r="B8" s="15" t="s">
        <v>306</v>
      </c>
      <c r="C8" s="46" t="s">
        <v>307</v>
      </c>
      <c r="D8" s="21" t="s">
        <v>231</v>
      </c>
      <c r="E8" s="21" t="s">
        <v>313</v>
      </c>
      <c r="F8" s="21" t="s">
        <v>325</v>
      </c>
      <c r="G8" s="21" t="s">
        <v>322</v>
      </c>
      <c r="H8" s="19" t="s">
        <v>61</v>
      </c>
      <c r="I8" s="5">
        <v>8</v>
      </c>
      <c r="J8" s="310" t="s">
        <v>1210</v>
      </c>
      <c r="K8" s="21" t="s">
        <v>1479</v>
      </c>
      <c r="L8" s="21" t="s">
        <v>323</v>
      </c>
      <c r="M8" s="21" t="s">
        <v>1203</v>
      </c>
      <c r="N8" s="21" t="s">
        <v>312</v>
      </c>
      <c r="O8" s="25">
        <v>43160</v>
      </c>
      <c r="P8" s="25" t="s">
        <v>1204</v>
      </c>
      <c r="Q8" s="25"/>
      <c r="R8" s="311" t="s">
        <v>1460</v>
      </c>
      <c r="S8" s="25">
        <v>43224</v>
      </c>
      <c r="T8" s="25">
        <v>43230</v>
      </c>
      <c r="U8" s="4"/>
      <c r="V8" s="54"/>
    </row>
    <row r="9" spans="1:22" ht="24">
      <c r="A9" s="139" t="s">
        <v>92</v>
      </c>
      <c r="B9" s="21" t="s">
        <v>340</v>
      </c>
      <c r="C9" s="230" t="s">
        <v>341</v>
      </c>
      <c r="D9" s="21" t="s">
        <v>231</v>
      </c>
      <c r="E9" s="233" t="s">
        <v>282</v>
      </c>
      <c r="F9" s="245" t="s">
        <v>342</v>
      </c>
      <c r="G9" s="233" t="s">
        <v>6</v>
      </c>
      <c r="H9" s="19" t="s">
        <v>61</v>
      </c>
      <c r="I9" s="209">
        <v>4</v>
      </c>
      <c r="J9" s="242" t="s">
        <v>343</v>
      </c>
      <c r="K9" s="21" t="s">
        <v>1479</v>
      </c>
      <c r="L9" s="234" t="s">
        <v>344</v>
      </c>
      <c r="M9" s="34" t="s">
        <v>345</v>
      </c>
      <c r="N9" s="235" t="s">
        <v>233</v>
      </c>
      <c r="O9" s="25">
        <v>43164</v>
      </c>
      <c r="P9" s="25">
        <v>43228</v>
      </c>
      <c r="Q9" s="25"/>
      <c r="R9" s="326" t="s">
        <v>1463</v>
      </c>
      <c r="S9" s="25">
        <v>43191</v>
      </c>
      <c r="T9" s="25">
        <v>43255</v>
      </c>
      <c r="U9" s="25"/>
      <c r="V9" s="237"/>
    </row>
    <row r="10" spans="1:22" ht="24" hidden="1">
      <c r="A10" s="139" t="s">
        <v>93</v>
      </c>
      <c r="B10" s="21" t="s">
        <v>340</v>
      </c>
      <c r="C10" s="230" t="s">
        <v>341</v>
      </c>
      <c r="D10" s="21" t="s">
        <v>231</v>
      </c>
      <c r="E10" s="233" t="s">
        <v>347</v>
      </c>
      <c r="F10" s="245" t="s">
        <v>348</v>
      </c>
      <c r="G10" s="233" t="s">
        <v>6</v>
      </c>
      <c r="H10" s="19" t="s">
        <v>61</v>
      </c>
      <c r="I10" s="209">
        <v>4</v>
      </c>
      <c r="J10" s="242" t="s">
        <v>349</v>
      </c>
      <c r="K10" s="21" t="s">
        <v>1479</v>
      </c>
      <c r="L10" s="234" t="s">
        <v>350</v>
      </c>
      <c r="M10" s="34" t="s">
        <v>345</v>
      </c>
      <c r="N10" s="235" t="s">
        <v>233</v>
      </c>
      <c r="O10" s="25">
        <v>43164</v>
      </c>
      <c r="P10" s="25">
        <v>43228</v>
      </c>
      <c r="Q10" s="25"/>
      <c r="R10" s="326" t="s">
        <v>1463</v>
      </c>
      <c r="S10" s="25">
        <v>43191</v>
      </c>
      <c r="T10" s="25">
        <v>43255</v>
      </c>
      <c r="U10" s="25"/>
      <c r="V10" s="237"/>
    </row>
    <row r="11" spans="1:22" ht="24" hidden="1">
      <c r="A11" s="139" t="s">
        <v>94</v>
      </c>
      <c r="B11" s="21" t="s">
        <v>340</v>
      </c>
      <c r="C11" s="230" t="s">
        <v>341</v>
      </c>
      <c r="D11" s="21" t="s">
        <v>231</v>
      </c>
      <c r="E11" s="233" t="s">
        <v>282</v>
      </c>
      <c r="F11" s="245" t="s">
        <v>351</v>
      </c>
      <c r="G11" s="233" t="s">
        <v>352</v>
      </c>
      <c r="H11" s="19" t="s">
        <v>61</v>
      </c>
      <c r="I11" s="209">
        <v>4</v>
      </c>
      <c r="J11" s="238" t="s">
        <v>353</v>
      </c>
      <c r="K11" s="21" t="s">
        <v>1479</v>
      </c>
      <c r="L11" s="234" t="s">
        <v>354</v>
      </c>
      <c r="M11" s="34" t="s">
        <v>345</v>
      </c>
      <c r="N11" s="235" t="s">
        <v>233</v>
      </c>
      <c r="O11" s="25">
        <v>43164</v>
      </c>
      <c r="P11" s="25">
        <v>43228</v>
      </c>
      <c r="Q11" s="25"/>
      <c r="R11" s="326" t="s">
        <v>1463</v>
      </c>
      <c r="S11" s="25">
        <v>43191</v>
      </c>
      <c r="T11" s="25">
        <v>43255</v>
      </c>
      <c r="U11" s="25"/>
      <c r="V11" s="237"/>
    </row>
    <row r="12" spans="1:22" ht="24" hidden="1">
      <c r="A12" s="139" t="s">
        <v>95</v>
      </c>
      <c r="B12" s="21" t="s">
        <v>340</v>
      </c>
      <c r="C12" s="230" t="s">
        <v>341</v>
      </c>
      <c r="D12" s="21" t="s">
        <v>231</v>
      </c>
      <c r="E12" s="233" t="s">
        <v>282</v>
      </c>
      <c r="F12" s="245" t="s">
        <v>355</v>
      </c>
      <c r="G12" s="233" t="s">
        <v>352</v>
      </c>
      <c r="H12" s="19" t="s">
        <v>61</v>
      </c>
      <c r="I12" s="209">
        <v>4</v>
      </c>
      <c r="J12" s="242" t="s">
        <v>356</v>
      </c>
      <c r="K12" s="21" t="s">
        <v>1479</v>
      </c>
      <c r="L12" s="234" t="s">
        <v>354</v>
      </c>
      <c r="M12" s="34" t="s">
        <v>345</v>
      </c>
      <c r="N12" s="235" t="s">
        <v>233</v>
      </c>
      <c r="O12" s="25">
        <v>43164</v>
      </c>
      <c r="P12" s="25">
        <v>43228</v>
      </c>
      <c r="Q12" s="25"/>
      <c r="R12" s="326" t="s">
        <v>1463</v>
      </c>
      <c r="S12" s="25">
        <v>43191</v>
      </c>
      <c r="T12" s="25">
        <v>43255</v>
      </c>
      <c r="U12" s="25"/>
      <c r="V12" s="237"/>
    </row>
    <row r="13" spans="1:22" ht="24" hidden="1">
      <c r="A13" s="139" t="s">
        <v>96</v>
      </c>
      <c r="B13" s="21" t="s">
        <v>340</v>
      </c>
      <c r="C13" s="230" t="s">
        <v>341</v>
      </c>
      <c r="D13" s="21" t="s">
        <v>231</v>
      </c>
      <c r="E13" s="233" t="s">
        <v>357</v>
      </c>
      <c r="F13" s="245" t="s">
        <v>358</v>
      </c>
      <c r="G13" s="233" t="s">
        <v>359</v>
      </c>
      <c r="H13" s="19" t="s">
        <v>61</v>
      </c>
      <c r="I13" s="209">
        <v>4</v>
      </c>
      <c r="J13" s="238" t="s">
        <v>360</v>
      </c>
      <c r="K13" s="21" t="s">
        <v>1479</v>
      </c>
      <c r="L13" s="234" t="s">
        <v>361</v>
      </c>
      <c r="M13" s="34" t="s">
        <v>345</v>
      </c>
      <c r="N13" s="235" t="s">
        <v>233</v>
      </c>
      <c r="O13" s="25">
        <v>43164</v>
      </c>
      <c r="P13" s="25">
        <v>43228</v>
      </c>
      <c r="Q13" s="25"/>
      <c r="R13" s="326" t="s">
        <v>1463</v>
      </c>
      <c r="S13" s="25">
        <v>43191</v>
      </c>
      <c r="T13" s="25">
        <v>43255</v>
      </c>
      <c r="U13" s="25"/>
      <c r="V13" s="237"/>
    </row>
    <row r="14" spans="1:22" ht="72" hidden="1">
      <c r="A14" s="139" t="s">
        <v>1159</v>
      </c>
      <c r="B14" s="15" t="s">
        <v>699</v>
      </c>
      <c r="C14" s="277" t="s">
        <v>700</v>
      </c>
      <c r="D14" s="15" t="s">
        <v>824</v>
      </c>
      <c r="E14" s="278" t="s">
        <v>701</v>
      </c>
      <c r="F14" s="278" t="s">
        <v>702</v>
      </c>
      <c r="G14" s="210" t="s">
        <v>703</v>
      </c>
      <c r="H14" s="210" t="s">
        <v>232</v>
      </c>
      <c r="I14" s="31">
        <v>16</v>
      </c>
      <c r="J14" s="49" t="s">
        <v>700</v>
      </c>
      <c r="K14" s="21" t="s">
        <v>1479</v>
      </c>
      <c r="L14" s="35" t="s">
        <v>770</v>
      </c>
      <c r="M14" s="49" t="s">
        <v>771</v>
      </c>
      <c r="N14" s="49" t="s">
        <v>772</v>
      </c>
      <c r="O14" s="25">
        <v>43143</v>
      </c>
      <c r="P14" s="4">
        <v>43171</v>
      </c>
      <c r="Q14" s="4"/>
      <c r="R14" s="311" t="s">
        <v>1212</v>
      </c>
      <c r="S14" s="4">
        <v>43259</v>
      </c>
      <c r="T14" s="107">
        <v>43277</v>
      </c>
      <c r="U14" s="107"/>
      <c r="V14" s="107"/>
    </row>
    <row r="15" spans="1:22" ht="72" hidden="1">
      <c r="A15" s="139" t="s">
        <v>1160</v>
      </c>
      <c r="B15" s="15" t="s">
        <v>699</v>
      </c>
      <c r="C15" s="277" t="s">
        <v>700</v>
      </c>
      <c r="D15" s="15" t="s">
        <v>824</v>
      </c>
      <c r="E15" s="278" t="s">
        <v>701</v>
      </c>
      <c r="F15" s="278" t="s">
        <v>702</v>
      </c>
      <c r="G15" s="210" t="s">
        <v>704</v>
      </c>
      <c r="H15" s="210" t="s">
        <v>232</v>
      </c>
      <c r="I15" s="31">
        <v>16</v>
      </c>
      <c r="J15" s="49" t="s">
        <v>700</v>
      </c>
      <c r="K15" s="21" t="s">
        <v>1479</v>
      </c>
      <c r="L15" s="35" t="s">
        <v>770</v>
      </c>
      <c r="M15" s="49" t="s">
        <v>771</v>
      </c>
      <c r="N15" s="49" t="s">
        <v>772</v>
      </c>
      <c r="O15" s="25">
        <v>43143</v>
      </c>
      <c r="P15" s="4">
        <v>43171</v>
      </c>
      <c r="Q15" s="4"/>
      <c r="R15" s="311" t="s">
        <v>1212</v>
      </c>
      <c r="S15" s="4">
        <v>43259</v>
      </c>
      <c r="T15" s="107">
        <v>43277</v>
      </c>
      <c r="U15" s="107"/>
      <c r="V15" s="107"/>
    </row>
    <row r="16" spans="1:22" ht="72" hidden="1">
      <c r="A16" s="139" t="s">
        <v>1161</v>
      </c>
      <c r="B16" s="15" t="s">
        <v>705</v>
      </c>
      <c r="C16" s="277" t="s">
        <v>700</v>
      </c>
      <c r="D16" s="15" t="s">
        <v>824</v>
      </c>
      <c r="E16" s="278" t="s">
        <v>701</v>
      </c>
      <c r="F16" s="278" t="s">
        <v>706</v>
      </c>
      <c r="G16" s="210" t="s">
        <v>707</v>
      </c>
      <c r="H16" s="210" t="s">
        <v>232</v>
      </c>
      <c r="I16" s="31">
        <v>16</v>
      </c>
      <c r="J16" s="49" t="s">
        <v>700</v>
      </c>
      <c r="K16" s="21" t="s">
        <v>1479</v>
      </c>
      <c r="L16" s="35" t="s">
        <v>770</v>
      </c>
      <c r="M16" s="49" t="s">
        <v>773</v>
      </c>
      <c r="N16" s="49" t="s">
        <v>772</v>
      </c>
      <c r="O16" s="25">
        <v>43143</v>
      </c>
      <c r="P16" s="4">
        <v>43171</v>
      </c>
      <c r="Q16" s="4"/>
      <c r="R16" s="311" t="s">
        <v>1212</v>
      </c>
      <c r="S16" s="4">
        <v>43259</v>
      </c>
      <c r="T16" s="107">
        <v>43277</v>
      </c>
      <c r="U16" s="107"/>
      <c r="V16" s="107"/>
    </row>
    <row r="17" spans="1:22" ht="72" hidden="1">
      <c r="A17" s="139" t="s">
        <v>1162</v>
      </c>
      <c r="B17" s="15" t="s">
        <v>705</v>
      </c>
      <c r="C17" s="277" t="s">
        <v>700</v>
      </c>
      <c r="D17" s="15" t="s">
        <v>824</v>
      </c>
      <c r="E17" s="278" t="s">
        <v>701</v>
      </c>
      <c r="F17" s="278" t="s">
        <v>708</v>
      </c>
      <c r="G17" s="210" t="s">
        <v>709</v>
      </c>
      <c r="H17" s="210" t="s">
        <v>232</v>
      </c>
      <c r="I17" s="31">
        <v>16</v>
      </c>
      <c r="J17" s="49" t="s">
        <v>700</v>
      </c>
      <c r="K17" s="21" t="s">
        <v>1479</v>
      </c>
      <c r="L17" s="35" t="s">
        <v>770</v>
      </c>
      <c r="M17" s="49" t="s">
        <v>773</v>
      </c>
      <c r="N17" s="49" t="s">
        <v>772</v>
      </c>
      <c r="O17" s="25">
        <v>43143</v>
      </c>
      <c r="P17" s="4">
        <v>43171</v>
      </c>
      <c r="Q17" s="4"/>
      <c r="R17" s="311" t="s">
        <v>1212</v>
      </c>
      <c r="S17" s="4">
        <v>43259</v>
      </c>
      <c r="T17" s="107">
        <v>43277</v>
      </c>
      <c r="U17" s="107"/>
      <c r="V17" s="107"/>
    </row>
    <row r="18" spans="1:22" ht="72" hidden="1">
      <c r="A18" s="139" t="s">
        <v>1163</v>
      </c>
      <c r="B18" s="15" t="s">
        <v>705</v>
      </c>
      <c r="C18" s="277" t="s">
        <v>700</v>
      </c>
      <c r="D18" s="15" t="s">
        <v>824</v>
      </c>
      <c r="E18" s="278" t="s">
        <v>701</v>
      </c>
      <c r="F18" s="278" t="s">
        <v>710</v>
      </c>
      <c r="G18" s="278" t="s">
        <v>711</v>
      </c>
      <c r="H18" s="210" t="s">
        <v>232</v>
      </c>
      <c r="I18" s="31">
        <v>16</v>
      </c>
      <c r="J18" s="49" t="s">
        <v>700</v>
      </c>
      <c r="K18" s="21" t="s">
        <v>1479</v>
      </c>
      <c r="L18" s="35" t="s">
        <v>770</v>
      </c>
      <c r="M18" s="49" t="s">
        <v>773</v>
      </c>
      <c r="N18" s="49" t="s">
        <v>772</v>
      </c>
      <c r="O18" s="25">
        <v>43143</v>
      </c>
      <c r="P18" s="4">
        <v>43171</v>
      </c>
      <c r="Q18" s="4"/>
      <c r="R18" s="311" t="s">
        <v>1212</v>
      </c>
      <c r="S18" s="4">
        <v>43259</v>
      </c>
      <c r="T18" s="107">
        <v>43277</v>
      </c>
      <c r="U18" s="107"/>
      <c r="V18" s="107"/>
    </row>
    <row r="19" spans="1:22" ht="72" hidden="1">
      <c r="A19" s="139" t="s">
        <v>1164</v>
      </c>
      <c r="B19" s="15" t="s">
        <v>705</v>
      </c>
      <c r="C19" s="277" t="s">
        <v>700</v>
      </c>
      <c r="D19" s="15" t="s">
        <v>824</v>
      </c>
      <c r="E19" s="278" t="s">
        <v>701</v>
      </c>
      <c r="F19" s="278" t="s">
        <v>712</v>
      </c>
      <c r="G19" s="210" t="s">
        <v>713</v>
      </c>
      <c r="H19" s="210" t="s">
        <v>232</v>
      </c>
      <c r="I19" s="31">
        <v>16</v>
      </c>
      <c r="J19" s="49" t="s">
        <v>700</v>
      </c>
      <c r="K19" s="21" t="s">
        <v>1479</v>
      </c>
      <c r="L19" s="35" t="s">
        <v>770</v>
      </c>
      <c r="M19" s="49" t="s">
        <v>773</v>
      </c>
      <c r="N19" s="49" t="s">
        <v>772</v>
      </c>
      <c r="O19" s="25">
        <v>43143</v>
      </c>
      <c r="P19" s="4">
        <v>43171</v>
      </c>
      <c r="Q19" s="4"/>
      <c r="R19" s="311" t="s">
        <v>1212</v>
      </c>
      <c r="S19" s="4">
        <v>43259</v>
      </c>
      <c r="T19" s="107">
        <v>43277</v>
      </c>
      <c r="U19" s="107"/>
      <c r="V19" s="107"/>
    </row>
    <row r="20" spans="1:22" ht="72" hidden="1">
      <c r="A20" s="139" t="s">
        <v>1165</v>
      </c>
      <c r="B20" s="15" t="s">
        <v>705</v>
      </c>
      <c r="C20" s="277" t="s">
        <v>700</v>
      </c>
      <c r="D20" s="15" t="s">
        <v>824</v>
      </c>
      <c r="E20" s="278" t="s">
        <v>701</v>
      </c>
      <c r="F20" s="278" t="s">
        <v>714</v>
      </c>
      <c r="G20" s="210" t="s">
        <v>715</v>
      </c>
      <c r="H20" s="210" t="s">
        <v>232</v>
      </c>
      <c r="I20" s="31">
        <v>16</v>
      </c>
      <c r="J20" s="49" t="s">
        <v>700</v>
      </c>
      <c r="K20" s="21" t="s">
        <v>1479</v>
      </c>
      <c r="L20" s="35" t="s">
        <v>770</v>
      </c>
      <c r="M20" s="49" t="s">
        <v>773</v>
      </c>
      <c r="N20" s="49" t="s">
        <v>772</v>
      </c>
      <c r="O20" s="25">
        <v>43143</v>
      </c>
      <c r="P20" s="4">
        <v>43171</v>
      </c>
      <c r="Q20" s="4"/>
      <c r="R20" s="311" t="s">
        <v>1212</v>
      </c>
      <c r="S20" s="4">
        <v>43259</v>
      </c>
      <c r="T20" s="107">
        <v>43277</v>
      </c>
      <c r="U20" s="107"/>
      <c r="V20" s="107"/>
    </row>
    <row r="21" spans="1:22" ht="72" hidden="1">
      <c r="A21" s="139" t="s">
        <v>1166</v>
      </c>
      <c r="B21" s="15" t="s">
        <v>705</v>
      </c>
      <c r="C21" s="277" t="s">
        <v>700</v>
      </c>
      <c r="D21" s="15" t="s">
        <v>824</v>
      </c>
      <c r="E21" s="278" t="s">
        <v>701</v>
      </c>
      <c r="F21" s="278" t="s">
        <v>716</v>
      </c>
      <c r="G21" s="210" t="s">
        <v>717</v>
      </c>
      <c r="H21" s="210" t="s">
        <v>232</v>
      </c>
      <c r="I21" s="31">
        <v>16</v>
      </c>
      <c r="J21" s="49" t="s">
        <v>700</v>
      </c>
      <c r="K21" s="21" t="s">
        <v>1479</v>
      </c>
      <c r="L21" s="35" t="s">
        <v>770</v>
      </c>
      <c r="M21" s="49" t="s">
        <v>773</v>
      </c>
      <c r="N21" s="49" t="s">
        <v>772</v>
      </c>
      <c r="O21" s="25">
        <v>43143</v>
      </c>
      <c r="P21" s="4">
        <v>43171</v>
      </c>
      <c r="Q21" s="4"/>
      <c r="R21" s="311" t="s">
        <v>1212</v>
      </c>
      <c r="S21" s="4">
        <v>43259</v>
      </c>
      <c r="T21" s="107">
        <v>43277</v>
      </c>
      <c r="U21" s="107"/>
      <c r="V21" s="107"/>
    </row>
    <row r="22" spans="1:22" ht="72" hidden="1">
      <c r="A22" s="139" t="s">
        <v>1167</v>
      </c>
      <c r="B22" s="15" t="s">
        <v>705</v>
      </c>
      <c r="C22" s="277" t="s">
        <v>700</v>
      </c>
      <c r="D22" s="15" t="s">
        <v>824</v>
      </c>
      <c r="E22" s="278" t="s">
        <v>701</v>
      </c>
      <c r="F22" s="278" t="s">
        <v>718</v>
      </c>
      <c r="G22" s="210" t="s">
        <v>719</v>
      </c>
      <c r="H22" s="210" t="s">
        <v>232</v>
      </c>
      <c r="I22" s="31">
        <v>16</v>
      </c>
      <c r="J22" s="49" t="s">
        <v>700</v>
      </c>
      <c r="K22" s="21" t="s">
        <v>1479</v>
      </c>
      <c r="L22" s="35" t="s">
        <v>770</v>
      </c>
      <c r="M22" s="49" t="s">
        <v>773</v>
      </c>
      <c r="N22" s="49" t="s">
        <v>772</v>
      </c>
      <c r="O22" s="25">
        <v>43143</v>
      </c>
      <c r="P22" s="4">
        <v>43171</v>
      </c>
      <c r="Q22" s="4"/>
      <c r="R22" s="311" t="s">
        <v>1212</v>
      </c>
      <c r="S22" s="4">
        <v>43259</v>
      </c>
      <c r="T22" s="107">
        <v>43277</v>
      </c>
      <c r="U22" s="107"/>
      <c r="V22" s="107"/>
    </row>
    <row r="23" spans="1:22" ht="72" hidden="1">
      <c r="A23" s="139" t="s">
        <v>1168</v>
      </c>
      <c r="B23" s="15" t="s">
        <v>705</v>
      </c>
      <c r="C23" s="277" t="s">
        <v>700</v>
      </c>
      <c r="D23" s="15" t="s">
        <v>824</v>
      </c>
      <c r="E23" s="278" t="s">
        <v>701</v>
      </c>
      <c r="F23" s="278" t="s">
        <v>720</v>
      </c>
      <c r="G23" s="210" t="s">
        <v>713</v>
      </c>
      <c r="H23" s="210" t="s">
        <v>232</v>
      </c>
      <c r="I23" s="31">
        <v>16</v>
      </c>
      <c r="J23" s="49" t="s">
        <v>700</v>
      </c>
      <c r="K23" s="21" t="s">
        <v>1479</v>
      </c>
      <c r="L23" s="35" t="s">
        <v>770</v>
      </c>
      <c r="M23" s="49" t="s">
        <v>773</v>
      </c>
      <c r="N23" s="49" t="s">
        <v>772</v>
      </c>
      <c r="O23" s="25">
        <v>43143</v>
      </c>
      <c r="P23" s="4">
        <v>43171</v>
      </c>
      <c r="Q23" s="4"/>
      <c r="R23" s="311" t="s">
        <v>1212</v>
      </c>
      <c r="S23" s="4">
        <v>43259</v>
      </c>
      <c r="T23" s="107">
        <v>43277</v>
      </c>
      <c r="U23" s="107"/>
      <c r="V23" s="107"/>
    </row>
    <row r="24" spans="1:22" ht="72" hidden="1">
      <c r="A24" s="139" t="s">
        <v>1169</v>
      </c>
      <c r="B24" s="15" t="s">
        <v>705</v>
      </c>
      <c r="C24" s="277" t="s">
        <v>700</v>
      </c>
      <c r="D24" s="15" t="s">
        <v>824</v>
      </c>
      <c r="E24" s="278" t="s">
        <v>660</v>
      </c>
      <c r="F24" s="278" t="s">
        <v>702</v>
      </c>
      <c r="G24" s="210" t="s">
        <v>721</v>
      </c>
      <c r="H24" s="210" t="s">
        <v>232</v>
      </c>
      <c r="I24" s="31">
        <v>16</v>
      </c>
      <c r="J24" s="49" t="s">
        <v>700</v>
      </c>
      <c r="K24" s="21" t="s">
        <v>1479</v>
      </c>
      <c r="L24" s="35" t="s">
        <v>770</v>
      </c>
      <c r="M24" s="49" t="s">
        <v>773</v>
      </c>
      <c r="N24" s="49" t="s">
        <v>772</v>
      </c>
      <c r="O24" s="25">
        <v>43143</v>
      </c>
      <c r="P24" s="4">
        <v>43171</v>
      </c>
      <c r="Q24" s="4"/>
      <c r="R24" s="311" t="s">
        <v>1212</v>
      </c>
      <c r="S24" s="4">
        <v>43259</v>
      </c>
      <c r="T24" s="107">
        <v>43277</v>
      </c>
      <c r="U24" s="107"/>
      <c r="V24" s="107"/>
    </row>
    <row r="25" spans="1:22" ht="72" hidden="1">
      <c r="A25" s="139" t="s">
        <v>1170</v>
      </c>
      <c r="B25" s="15" t="s">
        <v>705</v>
      </c>
      <c r="C25" s="277" t="s">
        <v>700</v>
      </c>
      <c r="D25" s="15" t="s">
        <v>824</v>
      </c>
      <c r="E25" s="278" t="s">
        <v>660</v>
      </c>
      <c r="F25" s="278" t="s">
        <v>720</v>
      </c>
      <c r="G25" s="278" t="s">
        <v>300</v>
      </c>
      <c r="H25" s="210" t="s">
        <v>232</v>
      </c>
      <c r="I25" s="31">
        <v>16</v>
      </c>
      <c r="J25" s="49" t="s">
        <v>700</v>
      </c>
      <c r="K25" s="21" t="s">
        <v>1479</v>
      </c>
      <c r="L25" s="35" t="s">
        <v>770</v>
      </c>
      <c r="M25" s="49" t="s">
        <v>773</v>
      </c>
      <c r="N25" s="49" t="s">
        <v>772</v>
      </c>
      <c r="O25" s="25">
        <v>43143</v>
      </c>
      <c r="P25" s="4">
        <v>43171</v>
      </c>
      <c r="Q25" s="4"/>
      <c r="R25" s="311" t="s">
        <v>1212</v>
      </c>
      <c r="S25" s="4">
        <v>43259</v>
      </c>
      <c r="T25" s="107">
        <v>43277</v>
      </c>
      <c r="U25" s="107"/>
      <c r="V25" s="107"/>
    </row>
    <row r="26" spans="1:22" ht="72" hidden="1">
      <c r="A26" s="139" t="s">
        <v>1171</v>
      </c>
      <c r="B26" s="15" t="s">
        <v>705</v>
      </c>
      <c r="C26" s="277" t="s">
        <v>700</v>
      </c>
      <c r="D26" s="15" t="s">
        <v>824</v>
      </c>
      <c r="E26" s="278" t="s">
        <v>660</v>
      </c>
      <c r="F26" s="278" t="s">
        <v>723</v>
      </c>
      <c r="G26" s="278" t="s">
        <v>724</v>
      </c>
      <c r="H26" s="210" t="s">
        <v>232</v>
      </c>
      <c r="I26" s="31">
        <v>16</v>
      </c>
      <c r="J26" s="49" t="s">
        <v>700</v>
      </c>
      <c r="K26" s="21" t="s">
        <v>1479</v>
      </c>
      <c r="L26" s="35" t="s">
        <v>770</v>
      </c>
      <c r="M26" s="49" t="s">
        <v>773</v>
      </c>
      <c r="N26" s="49" t="s">
        <v>772</v>
      </c>
      <c r="O26" s="25">
        <v>43143</v>
      </c>
      <c r="P26" s="4">
        <v>43171</v>
      </c>
      <c r="Q26" s="4"/>
      <c r="R26" s="311" t="s">
        <v>1212</v>
      </c>
      <c r="S26" s="4">
        <v>43259</v>
      </c>
      <c r="T26" s="107">
        <v>43277</v>
      </c>
      <c r="U26" s="107"/>
      <c r="V26" s="107"/>
    </row>
    <row r="27" spans="1:22" ht="72" hidden="1">
      <c r="A27" s="139" t="s">
        <v>1172</v>
      </c>
      <c r="B27" s="15" t="s">
        <v>705</v>
      </c>
      <c r="C27" s="277" t="s">
        <v>700</v>
      </c>
      <c r="D27" s="15" t="s">
        <v>824</v>
      </c>
      <c r="E27" s="278" t="s">
        <v>660</v>
      </c>
      <c r="F27" s="278" t="s">
        <v>725</v>
      </c>
      <c r="G27" s="278" t="s">
        <v>300</v>
      </c>
      <c r="H27" s="210" t="s">
        <v>232</v>
      </c>
      <c r="I27" s="31">
        <v>16</v>
      </c>
      <c r="J27" s="49" t="s">
        <v>700</v>
      </c>
      <c r="K27" s="21" t="s">
        <v>1479</v>
      </c>
      <c r="L27" s="35" t="s">
        <v>770</v>
      </c>
      <c r="M27" s="49" t="s">
        <v>773</v>
      </c>
      <c r="N27" s="49" t="s">
        <v>772</v>
      </c>
      <c r="O27" s="25">
        <v>43143</v>
      </c>
      <c r="P27" s="4">
        <v>43171</v>
      </c>
      <c r="Q27" s="4"/>
      <c r="R27" s="311" t="s">
        <v>1212</v>
      </c>
      <c r="S27" s="4">
        <v>43259</v>
      </c>
      <c r="T27" s="107">
        <v>43277</v>
      </c>
      <c r="U27" s="107"/>
      <c r="V27" s="107"/>
    </row>
    <row r="28" spans="1:22" ht="72" hidden="1">
      <c r="A28" s="139" t="s">
        <v>1173</v>
      </c>
      <c r="B28" s="15" t="s">
        <v>705</v>
      </c>
      <c r="C28" s="277" t="s">
        <v>700</v>
      </c>
      <c r="D28" s="15" t="s">
        <v>824</v>
      </c>
      <c r="E28" s="278" t="s">
        <v>660</v>
      </c>
      <c r="F28" s="278" t="s">
        <v>726</v>
      </c>
      <c r="G28" s="278" t="s">
        <v>300</v>
      </c>
      <c r="H28" s="210" t="s">
        <v>232</v>
      </c>
      <c r="I28" s="31">
        <v>16</v>
      </c>
      <c r="J28" s="49" t="s">
        <v>700</v>
      </c>
      <c r="K28" s="21" t="s">
        <v>1479</v>
      </c>
      <c r="L28" s="35" t="s">
        <v>770</v>
      </c>
      <c r="M28" s="49" t="s">
        <v>773</v>
      </c>
      <c r="N28" s="49" t="s">
        <v>772</v>
      </c>
      <c r="O28" s="25">
        <v>43143</v>
      </c>
      <c r="P28" s="4">
        <v>43171</v>
      </c>
      <c r="Q28" s="4"/>
      <c r="R28" s="311" t="s">
        <v>1212</v>
      </c>
      <c r="S28" s="4">
        <v>43259</v>
      </c>
      <c r="T28" s="107">
        <v>43277</v>
      </c>
      <c r="U28" s="107"/>
      <c r="V28" s="107"/>
    </row>
    <row r="29" spans="1:22" ht="72" hidden="1">
      <c r="A29" s="139" t="s">
        <v>1174</v>
      </c>
      <c r="B29" s="15" t="s">
        <v>705</v>
      </c>
      <c r="C29" s="277" t="s">
        <v>700</v>
      </c>
      <c r="D29" s="15" t="s">
        <v>824</v>
      </c>
      <c r="E29" s="278" t="s">
        <v>660</v>
      </c>
      <c r="F29" s="278" t="s">
        <v>716</v>
      </c>
      <c r="G29" s="278" t="s">
        <v>300</v>
      </c>
      <c r="H29" s="210" t="s">
        <v>232</v>
      </c>
      <c r="I29" s="31">
        <v>16</v>
      </c>
      <c r="J29" s="49" t="s">
        <v>700</v>
      </c>
      <c r="K29" s="21" t="s">
        <v>1479</v>
      </c>
      <c r="L29" s="35" t="s">
        <v>770</v>
      </c>
      <c r="M29" s="49" t="s">
        <v>773</v>
      </c>
      <c r="N29" s="49" t="s">
        <v>772</v>
      </c>
      <c r="O29" s="25">
        <v>43143</v>
      </c>
      <c r="P29" s="4">
        <v>43171</v>
      </c>
      <c r="Q29" s="4"/>
      <c r="R29" s="311" t="s">
        <v>1212</v>
      </c>
      <c r="S29" s="4">
        <v>43259</v>
      </c>
      <c r="T29" s="107">
        <v>43277</v>
      </c>
      <c r="U29" s="107"/>
      <c r="V29" s="107"/>
    </row>
    <row r="30" spans="1:22" ht="60" hidden="1">
      <c r="A30" s="139" t="s">
        <v>1180</v>
      </c>
      <c r="B30" s="15" t="s">
        <v>739</v>
      </c>
      <c r="C30" s="46" t="s">
        <v>740</v>
      </c>
      <c r="D30" s="15" t="s">
        <v>824</v>
      </c>
      <c r="E30" s="15" t="s">
        <v>741</v>
      </c>
      <c r="F30" s="15" t="s">
        <v>742</v>
      </c>
      <c r="G30" s="15" t="s">
        <v>743</v>
      </c>
      <c r="H30" s="19" t="s">
        <v>232</v>
      </c>
      <c r="I30" s="30">
        <v>8</v>
      </c>
      <c r="J30" s="35" t="s">
        <v>740</v>
      </c>
      <c r="K30" s="21" t="s">
        <v>1479</v>
      </c>
      <c r="L30" s="35" t="s">
        <v>780</v>
      </c>
      <c r="M30" s="250" t="s">
        <v>781</v>
      </c>
      <c r="N30" s="49" t="s">
        <v>782</v>
      </c>
      <c r="O30" s="25">
        <v>43143</v>
      </c>
      <c r="P30" s="4">
        <v>43205</v>
      </c>
      <c r="Q30" s="4"/>
      <c r="R30" s="222" t="s">
        <v>1209</v>
      </c>
      <c r="S30" s="4">
        <v>43202</v>
      </c>
      <c r="T30" s="107">
        <v>43252</v>
      </c>
      <c r="U30" s="107"/>
      <c r="V30" s="222" t="s">
        <v>1209</v>
      </c>
    </row>
    <row r="31" spans="1:22" ht="36" hidden="1">
      <c r="A31" s="139" t="s">
        <v>135</v>
      </c>
      <c r="B31" s="246" t="s">
        <v>228</v>
      </c>
      <c r="C31" s="246" t="s">
        <v>417</v>
      </c>
      <c r="D31" s="246" t="s">
        <v>0</v>
      </c>
      <c r="E31" s="246" t="s">
        <v>412</v>
      </c>
      <c r="F31" s="246" t="s">
        <v>418</v>
      </c>
      <c r="G31" s="246" t="s">
        <v>229</v>
      </c>
      <c r="H31" s="246" t="s">
        <v>364</v>
      </c>
      <c r="I31" s="246"/>
      <c r="J31" s="246" t="s">
        <v>419</v>
      </c>
      <c r="K31" s="21" t="s">
        <v>1479</v>
      </c>
      <c r="L31" s="246" t="s">
        <v>417</v>
      </c>
      <c r="M31" s="246" t="s">
        <v>420</v>
      </c>
      <c r="N31" s="35"/>
      <c r="O31" s="25">
        <v>43160</v>
      </c>
      <c r="P31" s="25">
        <v>43205</v>
      </c>
      <c r="Q31" s="4"/>
      <c r="R31" s="311" t="s">
        <v>1467</v>
      </c>
      <c r="S31" s="25">
        <v>43191</v>
      </c>
      <c r="T31" s="25">
        <v>43261</v>
      </c>
      <c r="U31" s="3"/>
      <c r="V31" s="4"/>
    </row>
    <row r="32" spans="1:22" ht="36" hidden="1">
      <c r="A32" s="139" t="s">
        <v>784</v>
      </c>
      <c r="B32" s="246" t="s">
        <v>458</v>
      </c>
      <c r="C32" s="246" t="s">
        <v>459</v>
      </c>
      <c r="D32" s="246" t="s">
        <v>0</v>
      </c>
      <c r="E32" s="246" t="s">
        <v>282</v>
      </c>
      <c r="F32" s="246" t="s">
        <v>460</v>
      </c>
      <c r="G32" s="246" t="s">
        <v>235</v>
      </c>
      <c r="H32" s="246" t="s">
        <v>364</v>
      </c>
      <c r="I32" s="246"/>
      <c r="J32" s="246" t="s">
        <v>461</v>
      </c>
      <c r="K32" s="21" t="s">
        <v>1479</v>
      </c>
      <c r="L32" s="246" t="s">
        <v>459</v>
      </c>
      <c r="M32" s="246" t="s">
        <v>420</v>
      </c>
      <c r="N32" s="286" t="s">
        <v>441</v>
      </c>
      <c r="O32" s="25">
        <v>43164</v>
      </c>
      <c r="P32" s="25">
        <v>43240</v>
      </c>
      <c r="Q32" s="4"/>
      <c r="R32" s="61" t="s">
        <v>1466</v>
      </c>
      <c r="S32" s="4">
        <v>43276</v>
      </c>
      <c r="T32" s="328">
        <v>43332</v>
      </c>
      <c r="U32" s="3"/>
      <c r="V32" s="4"/>
    </row>
    <row r="33" spans="1:22" ht="36" hidden="1">
      <c r="A33" s="139" t="s">
        <v>785</v>
      </c>
      <c r="B33" s="246" t="s">
        <v>458</v>
      </c>
      <c r="C33" s="246" t="s">
        <v>459</v>
      </c>
      <c r="D33" s="246" t="s">
        <v>0</v>
      </c>
      <c r="E33" s="246" t="s">
        <v>282</v>
      </c>
      <c r="F33" s="246" t="s">
        <v>460</v>
      </c>
      <c r="G33" s="246" t="s">
        <v>462</v>
      </c>
      <c r="H33" s="246" t="s">
        <v>364</v>
      </c>
      <c r="I33" s="246"/>
      <c r="J33" s="246" t="s">
        <v>461</v>
      </c>
      <c r="K33" s="21" t="s">
        <v>1479</v>
      </c>
      <c r="L33" s="246" t="s">
        <v>459</v>
      </c>
      <c r="M33" s="246" t="s">
        <v>420</v>
      </c>
      <c r="N33" s="286" t="s">
        <v>441</v>
      </c>
      <c r="O33" s="25">
        <v>43164</v>
      </c>
      <c r="P33" s="25">
        <v>43240</v>
      </c>
      <c r="Q33" s="4"/>
      <c r="R33" s="61" t="s">
        <v>1466</v>
      </c>
      <c r="S33" s="4">
        <v>43276</v>
      </c>
      <c r="T33" s="328">
        <v>43332</v>
      </c>
      <c r="U33" s="3"/>
      <c r="V33" s="4"/>
    </row>
    <row r="34" spans="1:22" ht="36" hidden="1">
      <c r="A34" s="139" t="s">
        <v>786</v>
      </c>
      <c r="B34" s="246" t="s">
        <v>458</v>
      </c>
      <c r="C34" s="246" t="s">
        <v>459</v>
      </c>
      <c r="D34" s="246" t="s">
        <v>0</v>
      </c>
      <c r="E34" s="246" t="s">
        <v>282</v>
      </c>
      <c r="F34" s="246" t="s">
        <v>460</v>
      </c>
      <c r="G34" s="246" t="s">
        <v>463</v>
      </c>
      <c r="H34" s="246" t="s">
        <v>364</v>
      </c>
      <c r="I34" s="246"/>
      <c r="J34" s="246" t="s">
        <v>461</v>
      </c>
      <c r="K34" s="21" t="s">
        <v>1479</v>
      </c>
      <c r="L34" s="246" t="s">
        <v>459</v>
      </c>
      <c r="M34" s="246" t="s">
        <v>420</v>
      </c>
      <c r="N34" s="286" t="s">
        <v>441</v>
      </c>
      <c r="O34" s="25">
        <v>43164</v>
      </c>
      <c r="P34" s="25">
        <v>43240</v>
      </c>
      <c r="Q34" s="4"/>
      <c r="R34" s="61" t="s">
        <v>1466</v>
      </c>
      <c r="S34" s="4">
        <v>43276</v>
      </c>
      <c r="T34" s="328">
        <v>43332</v>
      </c>
      <c r="U34" s="3"/>
      <c r="V34" s="3"/>
    </row>
    <row r="35" spans="1:22" ht="36" hidden="1">
      <c r="A35" s="139" t="s">
        <v>787</v>
      </c>
      <c r="B35" s="246" t="s">
        <v>458</v>
      </c>
      <c r="C35" s="246" t="s">
        <v>459</v>
      </c>
      <c r="D35" s="246" t="s">
        <v>0</v>
      </c>
      <c r="E35" s="246" t="s">
        <v>282</v>
      </c>
      <c r="F35" s="246" t="s">
        <v>460</v>
      </c>
      <c r="G35" s="246" t="s">
        <v>464</v>
      </c>
      <c r="H35" s="246" t="s">
        <v>364</v>
      </c>
      <c r="I35" s="246"/>
      <c r="J35" s="246" t="s">
        <v>461</v>
      </c>
      <c r="K35" s="21" t="s">
        <v>1479</v>
      </c>
      <c r="L35" s="246" t="s">
        <v>459</v>
      </c>
      <c r="M35" s="246" t="s">
        <v>420</v>
      </c>
      <c r="N35" s="286" t="s">
        <v>441</v>
      </c>
      <c r="O35" s="25">
        <v>43164</v>
      </c>
      <c r="P35" s="25">
        <v>43240</v>
      </c>
      <c r="Q35" s="4"/>
      <c r="R35" s="61" t="s">
        <v>1466</v>
      </c>
      <c r="S35" s="4">
        <v>43276</v>
      </c>
      <c r="T35" s="328">
        <v>43332</v>
      </c>
      <c r="U35" s="3"/>
      <c r="V35" s="3"/>
    </row>
    <row r="36" spans="1:22" ht="48" hidden="1">
      <c r="A36" s="139" t="s">
        <v>791</v>
      </c>
      <c r="B36" s="35" t="s">
        <v>239</v>
      </c>
      <c r="C36" s="46" t="s">
        <v>476</v>
      </c>
      <c r="D36" s="246" t="s">
        <v>0</v>
      </c>
      <c r="E36" s="15" t="s">
        <v>412</v>
      </c>
      <c r="F36" s="15" t="s">
        <v>477</v>
      </c>
      <c r="G36" s="15" t="s">
        <v>229</v>
      </c>
      <c r="H36" s="246" t="s">
        <v>364</v>
      </c>
      <c r="I36" s="246">
        <v>7</v>
      </c>
      <c r="J36" s="287" t="s">
        <v>478</v>
      </c>
      <c r="K36" s="21" t="s">
        <v>1479</v>
      </c>
      <c r="L36" s="46" t="s">
        <v>476</v>
      </c>
      <c r="M36" s="246" t="s">
        <v>366</v>
      </c>
      <c r="N36" s="286" t="s">
        <v>479</v>
      </c>
      <c r="O36" s="4">
        <v>43090</v>
      </c>
      <c r="P36" s="4">
        <v>42840</v>
      </c>
      <c r="Q36" s="4"/>
      <c r="R36" s="61" t="s">
        <v>1458</v>
      </c>
      <c r="S36" s="25">
        <v>43139</v>
      </c>
      <c r="T36" s="4">
        <v>43235</v>
      </c>
      <c r="U36" s="3"/>
      <c r="V36" s="309" t="s">
        <v>1207</v>
      </c>
    </row>
    <row r="37" spans="1:22" ht="48" hidden="1">
      <c r="A37" s="139" t="s">
        <v>792</v>
      </c>
      <c r="B37" s="35" t="s">
        <v>239</v>
      </c>
      <c r="C37" s="46" t="s">
        <v>476</v>
      </c>
      <c r="D37" s="246" t="s">
        <v>0</v>
      </c>
      <c r="E37" s="246" t="s">
        <v>282</v>
      </c>
      <c r="F37" s="15" t="s">
        <v>480</v>
      </c>
      <c r="G37" s="15" t="s">
        <v>229</v>
      </c>
      <c r="H37" s="246" t="s">
        <v>364</v>
      </c>
      <c r="I37" s="246">
        <v>7</v>
      </c>
      <c r="J37" s="287" t="s">
        <v>478</v>
      </c>
      <c r="K37" s="21" t="s">
        <v>1479</v>
      </c>
      <c r="L37" s="46" t="s">
        <v>476</v>
      </c>
      <c r="M37" s="246" t="s">
        <v>366</v>
      </c>
      <c r="N37" s="286" t="s">
        <v>479</v>
      </c>
      <c r="O37" s="4">
        <v>43090</v>
      </c>
      <c r="P37" s="4">
        <v>42840</v>
      </c>
      <c r="Q37" s="4"/>
      <c r="R37" s="61" t="s">
        <v>1458</v>
      </c>
      <c r="S37" s="25">
        <v>43139</v>
      </c>
      <c r="T37" s="4">
        <v>43235</v>
      </c>
      <c r="U37" s="3"/>
      <c r="V37" s="309" t="s">
        <v>1207</v>
      </c>
    </row>
    <row r="38" spans="1:22" ht="72" hidden="1">
      <c r="A38" s="139" t="s">
        <v>793</v>
      </c>
      <c r="B38" s="35" t="s">
        <v>481</v>
      </c>
      <c r="C38" s="35" t="s">
        <v>482</v>
      </c>
      <c r="D38" s="246" t="s">
        <v>0</v>
      </c>
      <c r="E38" s="246" t="s">
        <v>282</v>
      </c>
      <c r="F38" s="86" t="s">
        <v>834</v>
      </c>
      <c r="G38" s="15" t="s">
        <v>322</v>
      </c>
      <c r="H38" s="246" t="s">
        <v>364</v>
      </c>
      <c r="I38" s="30"/>
      <c r="J38" s="287" t="s">
        <v>483</v>
      </c>
      <c r="K38" s="21" t="s">
        <v>1479</v>
      </c>
      <c r="L38" s="35" t="s">
        <v>482</v>
      </c>
      <c r="M38" s="246" t="s">
        <v>1206</v>
      </c>
      <c r="N38" s="287" t="s">
        <v>485</v>
      </c>
      <c r="O38" s="25">
        <v>43105</v>
      </c>
      <c r="P38" s="25">
        <v>43156</v>
      </c>
      <c r="Q38" s="4"/>
      <c r="R38" s="61" t="s">
        <v>1459</v>
      </c>
      <c r="S38" s="4">
        <v>43159</v>
      </c>
      <c r="T38" s="4">
        <v>43159</v>
      </c>
      <c r="U38" s="3"/>
      <c r="V38" s="309" t="s">
        <v>1213</v>
      </c>
    </row>
    <row r="39" spans="1:22" ht="72" hidden="1">
      <c r="A39" s="139" t="s">
        <v>794</v>
      </c>
      <c r="B39" s="35" t="s">
        <v>481</v>
      </c>
      <c r="C39" s="35" t="s">
        <v>482</v>
      </c>
      <c r="D39" s="246" t="s">
        <v>0</v>
      </c>
      <c r="E39" s="246" t="s">
        <v>282</v>
      </c>
      <c r="F39" s="86" t="s">
        <v>834</v>
      </c>
      <c r="G39" s="15" t="s">
        <v>237</v>
      </c>
      <c r="H39" s="246" t="s">
        <v>364</v>
      </c>
      <c r="I39" s="30"/>
      <c r="J39" s="287" t="s">
        <v>483</v>
      </c>
      <c r="K39" s="21" t="s">
        <v>1479</v>
      </c>
      <c r="L39" s="35" t="s">
        <v>482</v>
      </c>
      <c r="M39" s="246" t="s">
        <v>1206</v>
      </c>
      <c r="N39" s="287" t="s">
        <v>485</v>
      </c>
      <c r="O39" s="25">
        <v>43105</v>
      </c>
      <c r="P39" s="25">
        <v>43156</v>
      </c>
      <c r="Q39" s="4"/>
      <c r="R39" s="61" t="s">
        <v>1459</v>
      </c>
      <c r="S39" s="4">
        <v>43159</v>
      </c>
      <c r="T39" s="4">
        <v>43159</v>
      </c>
      <c r="U39" s="3"/>
      <c r="V39" s="309" t="s">
        <v>1213</v>
      </c>
    </row>
    <row r="40" spans="1:22" ht="39.6" hidden="1">
      <c r="A40" s="139" t="s">
        <v>979</v>
      </c>
      <c r="B40" s="21" t="s">
        <v>64</v>
      </c>
      <c r="C40" s="46" t="s">
        <v>577</v>
      </c>
      <c r="D40" s="21" t="s">
        <v>230</v>
      </c>
      <c r="E40" s="298" t="s">
        <v>602</v>
      </c>
      <c r="F40" s="298" t="s">
        <v>877</v>
      </c>
      <c r="G40" s="298" t="s">
        <v>878</v>
      </c>
      <c r="H40" s="19" t="s">
        <v>58</v>
      </c>
      <c r="I40" s="209">
        <v>12</v>
      </c>
      <c r="J40" s="10" t="s">
        <v>1358</v>
      </c>
      <c r="K40" s="21" t="s">
        <v>1479</v>
      </c>
      <c r="L40" s="3"/>
      <c r="M40" s="3"/>
      <c r="N40" s="3"/>
      <c r="O40" s="25">
        <v>43160</v>
      </c>
      <c r="P40" s="25">
        <v>43191</v>
      </c>
      <c r="Q40" s="236"/>
      <c r="R40" s="3" t="s">
        <v>1211</v>
      </c>
      <c r="S40" s="25">
        <v>43271</v>
      </c>
      <c r="T40" s="25">
        <v>43263</v>
      </c>
      <c r="U40" s="107"/>
      <c r="V40" s="71"/>
    </row>
    <row r="41" spans="1:22" ht="39.6" hidden="1">
      <c r="A41" s="139" t="s">
        <v>980</v>
      </c>
      <c r="B41" s="21" t="s">
        <v>64</v>
      </c>
      <c r="C41" s="46" t="s">
        <v>577</v>
      </c>
      <c r="D41" s="21" t="s">
        <v>230</v>
      </c>
      <c r="E41" s="298" t="s">
        <v>602</v>
      </c>
      <c r="F41" s="298" t="s">
        <v>877</v>
      </c>
      <c r="G41" s="298" t="s">
        <v>880</v>
      </c>
      <c r="H41" s="19" t="s">
        <v>58</v>
      </c>
      <c r="I41" s="209">
        <v>12</v>
      </c>
      <c r="J41" s="10" t="s">
        <v>1358</v>
      </c>
      <c r="K41" s="21" t="s">
        <v>1479</v>
      </c>
      <c r="L41" s="3"/>
      <c r="M41" s="3"/>
      <c r="N41" s="3"/>
      <c r="O41" s="25">
        <v>43160</v>
      </c>
      <c r="P41" s="25">
        <v>43191</v>
      </c>
      <c r="Q41" s="236"/>
      <c r="R41" s="3" t="s">
        <v>1211</v>
      </c>
      <c r="S41" s="25">
        <v>43271</v>
      </c>
      <c r="T41" s="25">
        <v>43263</v>
      </c>
      <c r="U41" s="107"/>
      <c r="V41" s="71"/>
    </row>
    <row r="42" spans="1:22" ht="39.6" hidden="1">
      <c r="A42" s="139" t="s">
        <v>981</v>
      </c>
      <c r="B42" s="21" t="s">
        <v>64</v>
      </c>
      <c r="C42" s="46" t="s">
        <v>577</v>
      </c>
      <c r="D42" s="21" t="s">
        <v>230</v>
      </c>
      <c r="E42" s="298" t="s">
        <v>602</v>
      </c>
      <c r="F42" s="298" t="s">
        <v>877</v>
      </c>
      <c r="G42" s="298" t="s">
        <v>881</v>
      </c>
      <c r="H42" s="19" t="s">
        <v>58</v>
      </c>
      <c r="I42" s="209">
        <v>12</v>
      </c>
      <c r="J42" s="10" t="s">
        <v>1358</v>
      </c>
      <c r="K42" s="21" t="s">
        <v>1479</v>
      </c>
      <c r="L42" s="3"/>
      <c r="M42" s="3"/>
      <c r="N42" s="3"/>
      <c r="O42" s="25">
        <v>43160</v>
      </c>
      <c r="P42" s="25">
        <v>43191</v>
      </c>
      <c r="Q42" s="236"/>
      <c r="R42" s="3" t="s">
        <v>1211</v>
      </c>
      <c r="S42" s="25">
        <v>43271</v>
      </c>
      <c r="T42" s="25">
        <v>43263</v>
      </c>
      <c r="U42" s="107"/>
      <c r="V42" s="107"/>
    </row>
    <row r="43" spans="1:22" ht="39.6" hidden="1">
      <c r="A43" s="139" t="s">
        <v>982</v>
      </c>
      <c r="B43" s="21" t="s">
        <v>64</v>
      </c>
      <c r="C43" s="46" t="s">
        <v>577</v>
      </c>
      <c r="D43" s="21" t="s">
        <v>230</v>
      </c>
      <c r="E43" s="298" t="s">
        <v>602</v>
      </c>
      <c r="F43" s="298" t="s">
        <v>877</v>
      </c>
      <c r="G43" s="298" t="s">
        <v>883</v>
      </c>
      <c r="H43" s="19" t="s">
        <v>58</v>
      </c>
      <c r="I43" s="209">
        <v>12</v>
      </c>
      <c r="J43" s="10" t="s">
        <v>1358</v>
      </c>
      <c r="K43" s="21" t="s">
        <v>1479</v>
      </c>
      <c r="L43" s="3"/>
      <c r="M43" s="3"/>
      <c r="N43" s="3"/>
      <c r="O43" s="25">
        <v>43160</v>
      </c>
      <c r="P43" s="25">
        <v>43191</v>
      </c>
      <c r="Q43" s="236"/>
      <c r="R43" s="3" t="s">
        <v>1211</v>
      </c>
      <c r="S43" s="25">
        <v>43271</v>
      </c>
      <c r="T43" s="25">
        <v>43263</v>
      </c>
      <c r="U43" s="107"/>
      <c r="V43" s="107"/>
    </row>
    <row r="44" spans="1:22" ht="39.6" hidden="1">
      <c r="A44" s="139" t="s">
        <v>983</v>
      </c>
      <c r="B44" s="21" t="s">
        <v>64</v>
      </c>
      <c r="C44" s="46" t="s">
        <v>577</v>
      </c>
      <c r="D44" s="21" t="s">
        <v>230</v>
      </c>
      <c r="E44" s="298" t="s">
        <v>602</v>
      </c>
      <c r="F44" s="298" t="s">
        <v>877</v>
      </c>
      <c r="G44" s="298" t="s">
        <v>884</v>
      </c>
      <c r="H44" s="19" t="s">
        <v>58</v>
      </c>
      <c r="I44" s="209">
        <v>12</v>
      </c>
      <c r="J44" s="10" t="s">
        <v>1358</v>
      </c>
      <c r="K44" s="21" t="s">
        <v>1479</v>
      </c>
      <c r="L44" s="3"/>
      <c r="M44" s="3"/>
      <c r="N44" s="3"/>
      <c r="O44" s="25">
        <v>43160</v>
      </c>
      <c r="P44" s="25">
        <v>43191</v>
      </c>
      <c r="Q44" s="236"/>
      <c r="R44" s="3" t="s">
        <v>1211</v>
      </c>
      <c r="S44" s="25">
        <v>43271</v>
      </c>
      <c r="T44" s="25">
        <v>43263</v>
      </c>
      <c r="U44" s="107"/>
      <c r="V44" s="107"/>
    </row>
    <row r="45" spans="1:22" ht="39.6" hidden="1">
      <c r="A45" s="139" t="s">
        <v>984</v>
      </c>
      <c r="B45" s="21" t="s">
        <v>64</v>
      </c>
      <c r="C45" s="46" t="s">
        <v>577</v>
      </c>
      <c r="D45" s="21" t="s">
        <v>230</v>
      </c>
      <c r="E45" s="298" t="s">
        <v>602</v>
      </c>
      <c r="F45" s="298" t="s">
        <v>877</v>
      </c>
      <c r="G45" s="298" t="s">
        <v>885</v>
      </c>
      <c r="H45" s="19" t="s">
        <v>58</v>
      </c>
      <c r="I45" s="209">
        <v>12</v>
      </c>
      <c r="J45" s="10" t="s">
        <v>1358</v>
      </c>
      <c r="K45" s="21" t="s">
        <v>1479</v>
      </c>
      <c r="L45" s="3"/>
      <c r="M45" s="3"/>
      <c r="N45" s="3"/>
      <c r="O45" s="25">
        <v>43160</v>
      </c>
      <c r="P45" s="25">
        <v>43191</v>
      </c>
      <c r="Q45" s="236"/>
      <c r="R45" s="3" t="s">
        <v>1211</v>
      </c>
      <c r="S45" s="25">
        <v>43271</v>
      </c>
      <c r="T45" s="25">
        <v>43263</v>
      </c>
      <c r="U45" s="107"/>
      <c r="V45" s="107"/>
    </row>
    <row r="46" spans="1:22" ht="39.6" hidden="1">
      <c r="A46" s="139" t="s">
        <v>985</v>
      </c>
      <c r="B46" s="21" t="s">
        <v>64</v>
      </c>
      <c r="C46" s="46" t="s">
        <v>577</v>
      </c>
      <c r="D46" s="21" t="s">
        <v>230</v>
      </c>
      <c r="E46" s="298" t="s">
        <v>602</v>
      </c>
      <c r="F46" s="298" t="s">
        <v>877</v>
      </c>
      <c r="G46" s="298" t="s">
        <v>886</v>
      </c>
      <c r="H46" s="19" t="s">
        <v>58</v>
      </c>
      <c r="I46" s="209">
        <v>12</v>
      </c>
      <c r="J46" s="10" t="s">
        <v>1358</v>
      </c>
      <c r="K46" s="21" t="s">
        <v>1479</v>
      </c>
      <c r="L46" s="3"/>
      <c r="M46" s="3"/>
      <c r="N46" s="3"/>
      <c r="O46" s="25">
        <v>43160</v>
      </c>
      <c r="P46" s="25">
        <v>43191</v>
      </c>
      <c r="Q46" s="236"/>
      <c r="R46" s="3" t="s">
        <v>1211</v>
      </c>
      <c r="S46" s="25">
        <v>43271</v>
      </c>
      <c r="T46" s="25">
        <v>43263</v>
      </c>
      <c r="U46" s="107"/>
      <c r="V46" s="107"/>
    </row>
    <row r="47" spans="1:22" ht="39.6" hidden="1">
      <c r="A47" s="139" t="s">
        <v>986</v>
      </c>
      <c r="B47" s="21" t="s">
        <v>64</v>
      </c>
      <c r="C47" s="46" t="s">
        <v>577</v>
      </c>
      <c r="D47" s="21" t="s">
        <v>230</v>
      </c>
      <c r="E47" s="298" t="s">
        <v>602</v>
      </c>
      <c r="F47" s="298" t="s">
        <v>877</v>
      </c>
      <c r="G47" s="298" t="s">
        <v>887</v>
      </c>
      <c r="H47" s="19" t="s">
        <v>58</v>
      </c>
      <c r="I47" s="209">
        <v>12</v>
      </c>
      <c r="J47" s="10" t="s">
        <v>1358</v>
      </c>
      <c r="K47" s="21" t="s">
        <v>1479</v>
      </c>
      <c r="L47" s="3"/>
      <c r="M47" s="3"/>
      <c r="N47" s="3"/>
      <c r="O47" s="25">
        <v>43160</v>
      </c>
      <c r="P47" s="25">
        <v>43191</v>
      </c>
      <c r="Q47" s="236"/>
      <c r="R47" s="3" t="s">
        <v>1211</v>
      </c>
      <c r="S47" s="25">
        <v>43271</v>
      </c>
      <c r="T47" s="25">
        <v>43263</v>
      </c>
      <c r="U47" s="107"/>
      <c r="V47" s="107"/>
    </row>
    <row r="48" spans="1:22" ht="39.6" hidden="1">
      <c r="A48" s="139" t="s">
        <v>987</v>
      </c>
      <c r="B48" s="21" t="s">
        <v>64</v>
      </c>
      <c r="C48" s="46" t="s">
        <v>577</v>
      </c>
      <c r="D48" s="21" t="s">
        <v>230</v>
      </c>
      <c r="E48" s="298" t="s">
        <v>602</v>
      </c>
      <c r="F48" s="298" t="s">
        <v>877</v>
      </c>
      <c r="G48" s="298" t="s">
        <v>888</v>
      </c>
      <c r="H48" s="19" t="s">
        <v>58</v>
      </c>
      <c r="I48" s="209">
        <v>12</v>
      </c>
      <c r="J48" s="10" t="s">
        <v>1358</v>
      </c>
      <c r="K48" s="21" t="s">
        <v>1479</v>
      </c>
      <c r="L48" s="3"/>
      <c r="M48" s="3"/>
      <c r="N48" s="3"/>
      <c r="O48" s="25">
        <v>43160</v>
      </c>
      <c r="P48" s="25">
        <v>43191</v>
      </c>
      <c r="Q48" s="236"/>
      <c r="R48" s="3" t="s">
        <v>1211</v>
      </c>
      <c r="S48" s="25">
        <v>43271</v>
      </c>
      <c r="T48" s="25">
        <v>43263</v>
      </c>
      <c r="U48" s="107"/>
      <c r="V48" s="107"/>
    </row>
    <row r="49" spans="1:22" ht="39.6" hidden="1">
      <c r="A49" s="139" t="s">
        <v>988</v>
      </c>
      <c r="B49" s="21" t="s">
        <v>64</v>
      </c>
      <c r="C49" s="46" t="s">
        <v>577</v>
      </c>
      <c r="D49" s="21" t="s">
        <v>230</v>
      </c>
      <c r="E49" s="298" t="s">
        <v>602</v>
      </c>
      <c r="F49" s="298" t="s">
        <v>877</v>
      </c>
      <c r="G49" s="298" t="s">
        <v>889</v>
      </c>
      <c r="H49" s="19" t="s">
        <v>58</v>
      </c>
      <c r="I49" s="209">
        <v>12</v>
      </c>
      <c r="J49" s="10" t="s">
        <v>1358</v>
      </c>
      <c r="K49" s="21" t="s">
        <v>1479</v>
      </c>
      <c r="L49" s="3"/>
      <c r="M49" s="3"/>
      <c r="N49" s="3"/>
      <c r="O49" s="25">
        <v>43160</v>
      </c>
      <c r="P49" s="25">
        <v>43191</v>
      </c>
      <c r="Q49" s="236"/>
      <c r="R49" s="3" t="s">
        <v>1211</v>
      </c>
      <c r="S49" s="25">
        <v>43271</v>
      </c>
      <c r="T49" s="25">
        <v>43263</v>
      </c>
      <c r="U49" s="107"/>
      <c r="V49" s="107"/>
    </row>
    <row r="50" spans="1:22" ht="39.6" hidden="1">
      <c r="A50" s="139" t="s">
        <v>989</v>
      </c>
      <c r="B50" s="21" t="s">
        <v>64</v>
      </c>
      <c r="C50" s="46" t="s">
        <v>577</v>
      </c>
      <c r="D50" s="21" t="s">
        <v>230</v>
      </c>
      <c r="E50" s="298" t="s">
        <v>602</v>
      </c>
      <c r="F50" s="298" t="s">
        <v>877</v>
      </c>
      <c r="G50" s="298" t="s">
        <v>890</v>
      </c>
      <c r="H50" s="19" t="s">
        <v>58</v>
      </c>
      <c r="I50" s="209">
        <v>12</v>
      </c>
      <c r="J50" s="10" t="s">
        <v>1358</v>
      </c>
      <c r="K50" s="21" t="s">
        <v>1479</v>
      </c>
      <c r="L50" s="3"/>
      <c r="M50" s="3"/>
      <c r="N50" s="3"/>
      <c r="O50" s="25">
        <v>43160</v>
      </c>
      <c r="P50" s="25">
        <v>43191</v>
      </c>
      <c r="Q50" s="236"/>
      <c r="R50" s="3" t="s">
        <v>1211</v>
      </c>
      <c r="S50" s="25">
        <v>43271</v>
      </c>
      <c r="T50" s="25">
        <v>43263</v>
      </c>
      <c r="U50" s="107"/>
      <c r="V50" s="107"/>
    </row>
    <row r="51" spans="1:22" ht="39.6" hidden="1">
      <c r="A51" s="139" t="s">
        <v>990</v>
      </c>
      <c r="B51" s="21" t="s">
        <v>64</v>
      </c>
      <c r="C51" s="46" t="s">
        <v>577</v>
      </c>
      <c r="D51" s="21" t="s">
        <v>230</v>
      </c>
      <c r="E51" s="298" t="s">
        <v>602</v>
      </c>
      <c r="F51" s="298" t="s">
        <v>877</v>
      </c>
      <c r="G51" s="298" t="s">
        <v>891</v>
      </c>
      <c r="H51" s="19" t="s">
        <v>58</v>
      </c>
      <c r="I51" s="209">
        <v>12</v>
      </c>
      <c r="J51" s="10" t="s">
        <v>1358</v>
      </c>
      <c r="K51" s="21" t="s">
        <v>1479</v>
      </c>
      <c r="L51" s="3"/>
      <c r="M51" s="3"/>
      <c r="N51" s="3"/>
      <c r="O51" s="25">
        <v>43160</v>
      </c>
      <c r="P51" s="25">
        <v>43191</v>
      </c>
      <c r="Q51" s="236"/>
      <c r="R51" s="3" t="s">
        <v>1211</v>
      </c>
      <c r="S51" s="25">
        <v>43271</v>
      </c>
      <c r="T51" s="25">
        <v>43263</v>
      </c>
      <c r="U51" s="107"/>
      <c r="V51" s="107"/>
    </row>
    <row r="52" spans="1:22" ht="39.6" hidden="1">
      <c r="A52" s="139" t="s">
        <v>991</v>
      </c>
      <c r="B52" s="21" t="s">
        <v>64</v>
      </c>
      <c r="C52" s="46" t="s">
        <v>577</v>
      </c>
      <c r="D52" s="21" t="s">
        <v>230</v>
      </c>
      <c r="E52" s="298" t="s">
        <v>602</v>
      </c>
      <c r="F52" s="298" t="s">
        <v>877</v>
      </c>
      <c r="G52" s="298" t="s">
        <v>892</v>
      </c>
      <c r="H52" s="19" t="s">
        <v>58</v>
      </c>
      <c r="I52" s="209">
        <v>12</v>
      </c>
      <c r="J52" s="10" t="s">
        <v>1358</v>
      </c>
      <c r="K52" s="21" t="s">
        <v>1479</v>
      </c>
      <c r="L52" s="3"/>
      <c r="M52" s="3"/>
      <c r="N52" s="3"/>
      <c r="O52" s="25">
        <v>43160</v>
      </c>
      <c r="P52" s="25">
        <v>43191</v>
      </c>
      <c r="Q52" s="236"/>
      <c r="R52" s="3" t="s">
        <v>1211</v>
      </c>
      <c r="S52" s="25">
        <v>43271</v>
      </c>
      <c r="T52" s="25">
        <v>43263</v>
      </c>
      <c r="U52" s="107"/>
      <c r="V52" s="107"/>
    </row>
    <row r="53" spans="1:22" ht="39.6" hidden="1">
      <c r="A53" s="139" t="s">
        <v>992</v>
      </c>
      <c r="B53" s="21" t="s">
        <v>64</v>
      </c>
      <c r="C53" s="46" t="s">
        <v>577</v>
      </c>
      <c r="D53" s="21" t="s">
        <v>230</v>
      </c>
      <c r="E53" s="298" t="s">
        <v>602</v>
      </c>
      <c r="F53" s="298" t="s">
        <v>877</v>
      </c>
      <c r="G53" s="298" t="s">
        <v>893</v>
      </c>
      <c r="H53" s="19" t="s">
        <v>58</v>
      </c>
      <c r="I53" s="209">
        <v>12</v>
      </c>
      <c r="J53" s="10" t="s">
        <v>1358</v>
      </c>
      <c r="K53" s="21" t="s">
        <v>1479</v>
      </c>
      <c r="L53" s="3"/>
      <c r="M53" s="3"/>
      <c r="N53" s="3"/>
      <c r="O53" s="25">
        <v>43160</v>
      </c>
      <c r="P53" s="25">
        <v>43191</v>
      </c>
      <c r="Q53" s="236"/>
      <c r="R53" s="3" t="s">
        <v>1211</v>
      </c>
      <c r="S53" s="25">
        <v>43271</v>
      </c>
      <c r="T53" s="25">
        <v>43263</v>
      </c>
      <c r="U53" s="107"/>
      <c r="V53" s="107"/>
    </row>
    <row r="54" spans="1:22" ht="39.6" hidden="1">
      <c r="A54" s="139" t="s">
        <v>993</v>
      </c>
      <c r="B54" s="21" t="s">
        <v>64</v>
      </c>
      <c r="C54" s="46" t="s">
        <v>577</v>
      </c>
      <c r="D54" s="21" t="s">
        <v>230</v>
      </c>
      <c r="E54" s="299" t="s">
        <v>602</v>
      </c>
      <c r="F54" s="299" t="s">
        <v>877</v>
      </c>
      <c r="G54" s="299" t="s">
        <v>894</v>
      </c>
      <c r="H54" s="19" t="s">
        <v>58</v>
      </c>
      <c r="I54" s="209">
        <v>12</v>
      </c>
      <c r="J54" s="10" t="s">
        <v>1358</v>
      </c>
      <c r="K54" s="21" t="s">
        <v>1479</v>
      </c>
      <c r="L54" s="3"/>
      <c r="M54" s="3"/>
      <c r="N54" s="3"/>
      <c r="O54" s="25">
        <v>43160</v>
      </c>
      <c r="P54" s="25">
        <v>43191</v>
      </c>
      <c r="Q54" s="236"/>
      <c r="R54" s="3" t="s">
        <v>1211</v>
      </c>
      <c r="S54" s="25">
        <v>43271</v>
      </c>
      <c r="T54" s="25">
        <v>43263</v>
      </c>
      <c r="U54" s="107"/>
      <c r="V54" s="107"/>
    </row>
    <row r="55" spans="1:22" ht="39.6" hidden="1">
      <c r="A55" s="139" t="s">
        <v>994</v>
      </c>
      <c r="B55" s="21" t="s">
        <v>64</v>
      </c>
      <c r="C55" s="46" t="s">
        <v>577</v>
      </c>
      <c r="D55" s="21" t="s">
        <v>230</v>
      </c>
      <c r="E55" s="299" t="s">
        <v>602</v>
      </c>
      <c r="F55" s="299" t="s">
        <v>877</v>
      </c>
      <c r="G55" s="299" t="s">
        <v>896</v>
      </c>
      <c r="H55" s="19" t="s">
        <v>58</v>
      </c>
      <c r="I55" s="209">
        <v>12</v>
      </c>
      <c r="J55" s="10" t="s">
        <v>1358</v>
      </c>
      <c r="K55" s="21" t="s">
        <v>1479</v>
      </c>
      <c r="L55" s="3"/>
      <c r="M55" s="3"/>
      <c r="N55" s="3"/>
      <c r="O55" s="25">
        <v>43160</v>
      </c>
      <c r="P55" s="25">
        <v>43191</v>
      </c>
      <c r="Q55" s="236"/>
      <c r="R55" s="3" t="s">
        <v>1211</v>
      </c>
      <c r="S55" s="25">
        <v>43271</v>
      </c>
      <c r="T55" s="25">
        <v>43263</v>
      </c>
      <c r="U55" s="107"/>
      <c r="V55" s="107"/>
    </row>
    <row r="56" spans="1:22" ht="39.6" hidden="1">
      <c r="A56" s="139" t="s">
        <v>995</v>
      </c>
      <c r="B56" s="21" t="s">
        <v>64</v>
      </c>
      <c r="C56" s="46" t="s">
        <v>577</v>
      </c>
      <c r="D56" s="21" t="s">
        <v>230</v>
      </c>
      <c r="E56" s="298" t="s">
        <v>602</v>
      </c>
      <c r="F56" s="298" t="s">
        <v>877</v>
      </c>
      <c r="G56" s="298" t="s">
        <v>897</v>
      </c>
      <c r="H56" s="19" t="s">
        <v>58</v>
      </c>
      <c r="I56" s="209">
        <v>12</v>
      </c>
      <c r="J56" s="10" t="s">
        <v>1358</v>
      </c>
      <c r="K56" s="21" t="s">
        <v>1479</v>
      </c>
      <c r="L56" s="3"/>
      <c r="M56" s="3"/>
      <c r="N56" s="3"/>
      <c r="O56" s="25">
        <v>43160</v>
      </c>
      <c r="P56" s="25">
        <v>43191</v>
      </c>
      <c r="Q56" s="236"/>
      <c r="R56" s="3" t="s">
        <v>1211</v>
      </c>
      <c r="S56" s="25">
        <v>43271</v>
      </c>
      <c r="T56" s="25">
        <v>43263</v>
      </c>
      <c r="U56" s="107"/>
      <c r="V56" s="107"/>
    </row>
    <row r="57" spans="1:22" ht="39.6" hidden="1">
      <c r="A57" s="139" t="s">
        <v>996</v>
      </c>
      <c r="B57" s="21" t="s">
        <v>64</v>
      </c>
      <c r="C57" s="46" t="s">
        <v>577</v>
      </c>
      <c r="D57" s="21" t="s">
        <v>230</v>
      </c>
      <c r="E57" s="298" t="s">
        <v>602</v>
      </c>
      <c r="F57" s="298" t="s">
        <v>877</v>
      </c>
      <c r="G57" s="298" t="s">
        <v>898</v>
      </c>
      <c r="H57" s="19" t="s">
        <v>58</v>
      </c>
      <c r="I57" s="209">
        <v>12</v>
      </c>
      <c r="J57" s="10" t="s">
        <v>1358</v>
      </c>
      <c r="K57" s="21" t="s">
        <v>1479</v>
      </c>
      <c r="L57" s="3"/>
      <c r="M57" s="3"/>
      <c r="N57" s="3"/>
      <c r="O57" s="25">
        <v>43160</v>
      </c>
      <c r="P57" s="25">
        <v>43191</v>
      </c>
      <c r="Q57" s="236"/>
      <c r="R57" s="3" t="s">
        <v>1211</v>
      </c>
      <c r="S57" s="25">
        <v>43271</v>
      </c>
      <c r="T57" s="25">
        <v>43263</v>
      </c>
      <c r="U57" s="107"/>
      <c r="V57" s="107"/>
    </row>
    <row r="58" spans="1:22" ht="39.6" hidden="1">
      <c r="A58" s="139" t="s">
        <v>997</v>
      </c>
      <c r="B58" s="21" t="s">
        <v>64</v>
      </c>
      <c r="C58" s="46" t="s">
        <v>577</v>
      </c>
      <c r="D58" s="21" t="s">
        <v>230</v>
      </c>
      <c r="E58" s="298" t="s">
        <v>602</v>
      </c>
      <c r="F58" s="298" t="s">
        <v>877</v>
      </c>
      <c r="G58" s="298" t="s">
        <v>537</v>
      </c>
      <c r="H58" s="19" t="s">
        <v>58</v>
      </c>
      <c r="I58" s="209">
        <v>12</v>
      </c>
      <c r="J58" s="10" t="s">
        <v>1358</v>
      </c>
      <c r="K58" s="21" t="s">
        <v>1479</v>
      </c>
      <c r="L58" s="3"/>
      <c r="M58" s="3"/>
      <c r="N58" s="3"/>
      <c r="O58" s="25">
        <v>43160</v>
      </c>
      <c r="P58" s="25">
        <v>43191</v>
      </c>
      <c r="Q58" s="236"/>
      <c r="R58" s="3" t="s">
        <v>1211</v>
      </c>
      <c r="S58" s="25">
        <v>43271</v>
      </c>
      <c r="T58" s="25">
        <v>43263</v>
      </c>
      <c r="U58" s="107"/>
      <c r="V58" s="107"/>
    </row>
    <row r="59" spans="1:22" ht="39.6" hidden="1">
      <c r="A59" s="139" t="s">
        <v>998</v>
      </c>
      <c r="B59" s="21" t="s">
        <v>64</v>
      </c>
      <c r="C59" s="46" t="s">
        <v>577</v>
      </c>
      <c r="D59" s="21" t="s">
        <v>230</v>
      </c>
      <c r="E59" s="298" t="s">
        <v>602</v>
      </c>
      <c r="F59" s="298" t="s">
        <v>877</v>
      </c>
      <c r="G59" s="298" t="s">
        <v>899</v>
      </c>
      <c r="H59" s="19" t="s">
        <v>58</v>
      </c>
      <c r="I59" s="209">
        <v>12</v>
      </c>
      <c r="J59" s="10" t="s">
        <v>1358</v>
      </c>
      <c r="K59" s="21" t="s">
        <v>1479</v>
      </c>
      <c r="L59" s="3"/>
      <c r="M59" s="3"/>
      <c r="N59" s="3"/>
      <c r="O59" s="25">
        <v>43160</v>
      </c>
      <c r="P59" s="25">
        <v>43191</v>
      </c>
      <c r="Q59" s="236"/>
      <c r="R59" s="3" t="s">
        <v>1211</v>
      </c>
      <c r="S59" s="25">
        <v>43271</v>
      </c>
      <c r="T59" s="25">
        <v>43263</v>
      </c>
      <c r="U59" s="107"/>
      <c r="V59" s="107"/>
    </row>
    <row r="60" spans="1:22" ht="39.6" hidden="1">
      <c r="A60" s="139" t="s">
        <v>999</v>
      </c>
      <c r="B60" s="21" t="s">
        <v>64</v>
      </c>
      <c r="C60" s="46" t="s">
        <v>577</v>
      </c>
      <c r="D60" s="21" t="s">
        <v>230</v>
      </c>
      <c r="E60" s="298" t="s">
        <v>602</v>
      </c>
      <c r="F60" s="298" t="s">
        <v>877</v>
      </c>
      <c r="G60" s="298" t="s">
        <v>900</v>
      </c>
      <c r="H60" s="19" t="s">
        <v>58</v>
      </c>
      <c r="I60" s="209">
        <v>12</v>
      </c>
      <c r="J60" s="10" t="s">
        <v>1358</v>
      </c>
      <c r="K60" s="21" t="s">
        <v>1479</v>
      </c>
      <c r="L60" s="3"/>
      <c r="M60" s="3"/>
      <c r="N60" s="3"/>
      <c r="O60" s="25">
        <v>43160</v>
      </c>
      <c r="P60" s="25">
        <v>43191</v>
      </c>
      <c r="Q60" s="236"/>
      <c r="R60" s="3" t="s">
        <v>1211</v>
      </c>
      <c r="S60" s="25">
        <v>43271</v>
      </c>
      <c r="T60" s="25">
        <v>43263</v>
      </c>
      <c r="U60" s="107"/>
      <c r="V60" s="107"/>
    </row>
    <row r="61" spans="1:22" ht="39.6" hidden="1">
      <c r="A61" s="139" t="s">
        <v>1000</v>
      </c>
      <c r="B61" s="21" t="s">
        <v>64</v>
      </c>
      <c r="C61" s="46" t="s">
        <v>577</v>
      </c>
      <c r="D61" s="21" t="s">
        <v>230</v>
      </c>
      <c r="E61" s="298" t="s">
        <v>602</v>
      </c>
      <c r="F61" s="298" t="s">
        <v>901</v>
      </c>
      <c r="G61" s="298" t="s">
        <v>885</v>
      </c>
      <c r="H61" s="19" t="s">
        <v>58</v>
      </c>
      <c r="I61" s="209">
        <v>12</v>
      </c>
      <c r="J61" s="10" t="s">
        <v>1358</v>
      </c>
      <c r="K61" s="21" t="s">
        <v>1479</v>
      </c>
      <c r="L61" s="3"/>
      <c r="M61" s="3"/>
      <c r="N61" s="3"/>
      <c r="O61" s="25">
        <v>43160</v>
      </c>
      <c r="P61" s="25">
        <v>43191</v>
      </c>
      <c r="Q61" s="236"/>
      <c r="R61" s="3" t="s">
        <v>1211</v>
      </c>
      <c r="S61" s="25">
        <v>43271</v>
      </c>
      <c r="T61" s="25">
        <v>43263</v>
      </c>
      <c r="U61" s="107"/>
      <c r="V61" s="107"/>
    </row>
    <row r="62" spans="1:22" ht="39.6" hidden="1">
      <c r="A62" s="139" t="s">
        <v>1001</v>
      </c>
      <c r="B62" s="21" t="s">
        <v>64</v>
      </c>
      <c r="C62" s="46" t="s">
        <v>577</v>
      </c>
      <c r="D62" s="21" t="s">
        <v>230</v>
      </c>
      <c r="E62" s="298" t="s">
        <v>602</v>
      </c>
      <c r="F62" s="298" t="s">
        <v>901</v>
      </c>
      <c r="G62" s="298" t="s">
        <v>886</v>
      </c>
      <c r="H62" s="19" t="s">
        <v>58</v>
      </c>
      <c r="I62" s="209">
        <v>12</v>
      </c>
      <c r="J62" s="10" t="s">
        <v>1358</v>
      </c>
      <c r="K62" s="21" t="s">
        <v>1479</v>
      </c>
      <c r="L62" s="3"/>
      <c r="M62" s="3"/>
      <c r="N62" s="3"/>
      <c r="O62" s="25">
        <v>43160</v>
      </c>
      <c r="P62" s="25">
        <v>43191</v>
      </c>
      <c r="Q62" s="236"/>
      <c r="R62" s="3" t="s">
        <v>1211</v>
      </c>
      <c r="S62" s="25">
        <v>43271</v>
      </c>
      <c r="T62" s="25">
        <v>43263</v>
      </c>
      <c r="U62" s="107"/>
      <c r="V62" s="107"/>
    </row>
    <row r="63" spans="1:22" ht="39.6" hidden="1">
      <c r="A63" s="139" t="s">
        <v>1002</v>
      </c>
      <c r="B63" s="21" t="s">
        <v>64</v>
      </c>
      <c r="C63" s="46" t="s">
        <v>577</v>
      </c>
      <c r="D63" s="21" t="s">
        <v>230</v>
      </c>
      <c r="E63" s="298" t="s">
        <v>602</v>
      </c>
      <c r="F63" s="298" t="s">
        <v>901</v>
      </c>
      <c r="G63" s="298" t="s">
        <v>522</v>
      </c>
      <c r="H63" s="19" t="s">
        <v>58</v>
      </c>
      <c r="I63" s="209">
        <v>12</v>
      </c>
      <c r="J63" s="10" t="s">
        <v>1358</v>
      </c>
      <c r="K63" s="21" t="s">
        <v>1479</v>
      </c>
      <c r="L63" s="3"/>
      <c r="M63" s="3"/>
      <c r="N63" s="3"/>
      <c r="O63" s="25">
        <v>43160</v>
      </c>
      <c r="P63" s="25">
        <v>43191</v>
      </c>
      <c r="Q63" s="236"/>
      <c r="R63" s="3" t="s">
        <v>1211</v>
      </c>
      <c r="S63" s="25">
        <v>43271</v>
      </c>
      <c r="T63" s="25">
        <v>43263</v>
      </c>
      <c r="U63" s="107"/>
      <c r="V63" s="107"/>
    </row>
    <row r="64" spans="1:22" ht="39.6" hidden="1">
      <c r="A64" s="139" t="s">
        <v>1003</v>
      </c>
      <c r="B64" s="21" t="s">
        <v>64</v>
      </c>
      <c r="C64" s="46" t="s">
        <v>577</v>
      </c>
      <c r="D64" s="21" t="s">
        <v>230</v>
      </c>
      <c r="E64" s="298" t="s">
        <v>602</v>
      </c>
      <c r="F64" s="298" t="s">
        <v>901</v>
      </c>
      <c r="G64" s="298" t="s">
        <v>902</v>
      </c>
      <c r="H64" s="19" t="s">
        <v>58</v>
      </c>
      <c r="I64" s="209">
        <v>12</v>
      </c>
      <c r="J64" s="10" t="s">
        <v>1358</v>
      </c>
      <c r="K64" s="21" t="s">
        <v>1479</v>
      </c>
      <c r="L64" s="3"/>
      <c r="M64" s="3"/>
      <c r="N64" s="3"/>
      <c r="O64" s="25">
        <v>43160</v>
      </c>
      <c r="P64" s="25">
        <v>43191</v>
      </c>
      <c r="Q64" s="236"/>
      <c r="R64" s="3" t="s">
        <v>1211</v>
      </c>
      <c r="S64" s="25">
        <v>43271</v>
      </c>
      <c r="T64" s="25">
        <v>43263</v>
      </c>
      <c r="U64" s="107"/>
      <c r="V64" s="107"/>
    </row>
    <row r="65" spans="1:22" ht="39.6" hidden="1">
      <c r="A65" s="139" t="s">
        <v>1004</v>
      </c>
      <c r="B65" s="21" t="s">
        <v>64</v>
      </c>
      <c r="C65" s="46" t="s">
        <v>577</v>
      </c>
      <c r="D65" s="21" t="s">
        <v>230</v>
      </c>
      <c r="E65" s="298" t="s">
        <v>602</v>
      </c>
      <c r="F65" s="298" t="s">
        <v>901</v>
      </c>
      <c r="G65" s="298" t="s">
        <v>903</v>
      </c>
      <c r="H65" s="19" t="s">
        <v>58</v>
      </c>
      <c r="I65" s="209">
        <v>12</v>
      </c>
      <c r="J65" s="10" t="s">
        <v>1358</v>
      </c>
      <c r="K65" s="21" t="s">
        <v>1479</v>
      </c>
      <c r="L65" s="3"/>
      <c r="M65" s="3"/>
      <c r="N65" s="3"/>
      <c r="O65" s="25">
        <v>43160</v>
      </c>
      <c r="P65" s="25">
        <v>43191</v>
      </c>
      <c r="Q65" s="236"/>
      <c r="R65" s="3" t="s">
        <v>1211</v>
      </c>
      <c r="S65" s="25">
        <v>43271</v>
      </c>
      <c r="T65" s="25">
        <v>43263</v>
      </c>
      <c r="U65" s="107"/>
      <c r="V65" s="107"/>
    </row>
    <row r="66" spans="1:22" ht="39.6" hidden="1">
      <c r="A66" s="139" t="s">
        <v>1005</v>
      </c>
      <c r="B66" s="21" t="s">
        <v>64</v>
      </c>
      <c r="C66" s="46" t="s">
        <v>577</v>
      </c>
      <c r="D66" s="21" t="s">
        <v>230</v>
      </c>
      <c r="E66" s="298" t="s">
        <v>602</v>
      </c>
      <c r="F66" s="298" t="s">
        <v>901</v>
      </c>
      <c r="G66" s="298" t="s">
        <v>904</v>
      </c>
      <c r="H66" s="19" t="s">
        <v>58</v>
      </c>
      <c r="I66" s="209">
        <v>12</v>
      </c>
      <c r="J66" s="10" t="s">
        <v>1358</v>
      </c>
      <c r="K66" s="21" t="s">
        <v>1479</v>
      </c>
      <c r="L66" s="3"/>
      <c r="M66" s="3"/>
      <c r="N66" s="3"/>
      <c r="O66" s="25">
        <v>43160</v>
      </c>
      <c r="P66" s="25">
        <v>43191</v>
      </c>
      <c r="Q66" s="236"/>
      <c r="R66" s="3" t="s">
        <v>1211</v>
      </c>
      <c r="S66" s="25">
        <v>43271</v>
      </c>
      <c r="T66" s="25">
        <v>43263</v>
      </c>
      <c r="U66" s="107"/>
      <c r="V66" s="107"/>
    </row>
    <row r="67" spans="1:22" ht="39.6" hidden="1">
      <c r="A67" s="139" t="s">
        <v>1006</v>
      </c>
      <c r="B67" s="21" t="s">
        <v>64</v>
      </c>
      <c r="C67" s="46" t="s">
        <v>577</v>
      </c>
      <c r="D67" s="21" t="s">
        <v>230</v>
      </c>
      <c r="E67" s="298" t="s">
        <v>602</v>
      </c>
      <c r="F67" s="298" t="s">
        <v>901</v>
      </c>
      <c r="G67" s="298" t="s">
        <v>887</v>
      </c>
      <c r="H67" s="19" t="s">
        <v>58</v>
      </c>
      <c r="I67" s="209">
        <v>12</v>
      </c>
      <c r="J67" s="10" t="s">
        <v>1358</v>
      </c>
      <c r="K67" s="21" t="s">
        <v>1479</v>
      </c>
      <c r="L67" s="3"/>
      <c r="M67" s="3"/>
      <c r="N67" s="3"/>
      <c r="O67" s="25">
        <v>43160</v>
      </c>
      <c r="P67" s="25">
        <v>43191</v>
      </c>
      <c r="Q67" s="236"/>
      <c r="R67" s="3" t="s">
        <v>1211</v>
      </c>
      <c r="S67" s="25">
        <v>43271</v>
      </c>
      <c r="T67" s="25">
        <v>43263</v>
      </c>
      <c r="U67" s="107"/>
      <c r="V67" s="107"/>
    </row>
    <row r="68" spans="1:22" ht="39.6" hidden="1">
      <c r="A68" s="139" t="s">
        <v>1007</v>
      </c>
      <c r="B68" s="21" t="s">
        <v>64</v>
      </c>
      <c r="C68" s="46" t="s">
        <v>577</v>
      </c>
      <c r="D68" s="21" t="s">
        <v>230</v>
      </c>
      <c r="E68" s="298" t="s">
        <v>602</v>
      </c>
      <c r="F68" s="298" t="s">
        <v>901</v>
      </c>
      <c r="G68" s="298" t="s">
        <v>878</v>
      </c>
      <c r="H68" s="19" t="s">
        <v>58</v>
      </c>
      <c r="I68" s="209">
        <v>12</v>
      </c>
      <c r="J68" s="10" t="s">
        <v>1358</v>
      </c>
      <c r="K68" s="21" t="s">
        <v>1479</v>
      </c>
      <c r="L68" s="3"/>
      <c r="M68" s="3"/>
      <c r="N68" s="3"/>
      <c r="O68" s="25">
        <v>43160</v>
      </c>
      <c r="P68" s="25">
        <v>43191</v>
      </c>
      <c r="Q68" s="236"/>
      <c r="R68" s="3" t="s">
        <v>1211</v>
      </c>
      <c r="S68" s="25">
        <v>43271</v>
      </c>
      <c r="T68" s="25">
        <v>43263</v>
      </c>
      <c r="U68" s="107"/>
      <c r="V68" s="107"/>
    </row>
    <row r="69" spans="1:22" ht="39.6" hidden="1">
      <c r="A69" s="139" t="s">
        <v>1008</v>
      </c>
      <c r="B69" s="21" t="s">
        <v>64</v>
      </c>
      <c r="C69" s="46" t="s">
        <v>577</v>
      </c>
      <c r="D69" s="21" t="s">
        <v>230</v>
      </c>
      <c r="E69" s="298" t="s">
        <v>906</v>
      </c>
      <c r="F69" s="298" t="s">
        <v>907</v>
      </c>
      <c r="G69" s="298" t="s">
        <v>575</v>
      </c>
      <c r="H69" s="19" t="s">
        <v>58</v>
      </c>
      <c r="I69" s="209">
        <v>12</v>
      </c>
      <c r="J69" s="10" t="s">
        <v>1358</v>
      </c>
      <c r="K69" s="21" t="s">
        <v>1479</v>
      </c>
      <c r="L69" s="3"/>
      <c r="M69" s="3"/>
      <c r="N69" s="3"/>
      <c r="O69" s="25">
        <v>43160</v>
      </c>
      <c r="P69" s="25">
        <v>43191</v>
      </c>
      <c r="Q69" s="236"/>
      <c r="R69" s="3" t="s">
        <v>1211</v>
      </c>
      <c r="S69" s="25">
        <v>43271</v>
      </c>
      <c r="T69" s="25">
        <v>43263</v>
      </c>
      <c r="U69" s="107"/>
      <c r="V69" s="107"/>
    </row>
    <row r="70" spans="1:22" ht="39.6" hidden="1">
      <c r="A70" s="139" t="s">
        <v>1009</v>
      </c>
      <c r="B70" s="21" t="s">
        <v>64</v>
      </c>
      <c r="C70" s="46" t="s">
        <v>577</v>
      </c>
      <c r="D70" s="21" t="s">
        <v>230</v>
      </c>
      <c r="E70" s="298" t="s">
        <v>602</v>
      </c>
      <c r="F70" s="298" t="s">
        <v>908</v>
      </c>
      <c r="G70" s="298" t="s">
        <v>909</v>
      </c>
      <c r="H70" s="19" t="s">
        <v>58</v>
      </c>
      <c r="I70" s="209">
        <v>12</v>
      </c>
      <c r="J70" s="10" t="s">
        <v>1358</v>
      </c>
      <c r="K70" s="21" t="s">
        <v>1479</v>
      </c>
      <c r="L70" s="3"/>
      <c r="M70" s="3"/>
      <c r="N70" s="3"/>
      <c r="O70" s="25">
        <v>43160</v>
      </c>
      <c r="P70" s="25">
        <v>43191</v>
      </c>
      <c r="Q70" s="236"/>
      <c r="R70" s="3" t="s">
        <v>1211</v>
      </c>
      <c r="S70" s="25">
        <v>43271</v>
      </c>
      <c r="T70" s="25">
        <v>43263</v>
      </c>
      <c r="U70" s="107"/>
      <c r="V70" s="107"/>
    </row>
    <row r="71" spans="1:22" ht="39.6" hidden="1">
      <c r="A71" s="139" t="s">
        <v>1010</v>
      </c>
      <c r="B71" s="21" t="s">
        <v>64</v>
      </c>
      <c r="C71" s="46" t="s">
        <v>577</v>
      </c>
      <c r="D71" s="21" t="s">
        <v>230</v>
      </c>
      <c r="E71" s="298" t="s">
        <v>602</v>
      </c>
      <c r="F71" s="298" t="s">
        <v>908</v>
      </c>
      <c r="G71" s="298" t="s">
        <v>910</v>
      </c>
      <c r="H71" s="19" t="s">
        <v>58</v>
      </c>
      <c r="I71" s="209">
        <v>12</v>
      </c>
      <c r="J71" s="10" t="s">
        <v>1358</v>
      </c>
      <c r="K71" s="21" t="s">
        <v>1479</v>
      </c>
      <c r="L71" s="3"/>
      <c r="M71" s="3"/>
      <c r="N71" s="3"/>
      <c r="O71" s="25">
        <v>43160</v>
      </c>
      <c r="P71" s="25">
        <v>43191</v>
      </c>
      <c r="Q71" s="236"/>
      <c r="R71" s="3" t="s">
        <v>1211</v>
      </c>
      <c r="S71" s="25">
        <v>43271</v>
      </c>
      <c r="T71" s="25">
        <v>43263</v>
      </c>
      <c r="U71" s="107"/>
      <c r="V71" s="107"/>
    </row>
    <row r="72" spans="1:22" ht="39.6" hidden="1">
      <c r="A72" s="139" t="s">
        <v>1011</v>
      </c>
      <c r="B72" s="21" t="s">
        <v>64</v>
      </c>
      <c r="C72" s="46" t="s">
        <v>577</v>
      </c>
      <c r="D72" s="21" t="s">
        <v>230</v>
      </c>
      <c r="E72" s="298" t="s">
        <v>602</v>
      </c>
      <c r="F72" s="298" t="s">
        <v>911</v>
      </c>
      <c r="G72" s="298" t="s">
        <v>912</v>
      </c>
      <c r="H72" s="19" t="s">
        <v>58</v>
      </c>
      <c r="I72" s="209">
        <v>12</v>
      </c>
      <c r="J72" s="10" t="s">
        <v>1358</v>
      </c>
      <c r="K72" s="21" t="s">
        <v>1479</v>
      </c>
      <c r="L72" s="3"/>
      <c r="M72" s="3"/>
      <c r="N72" s="3"/>
      <c r="O72" s="25">
        <v>43160</v>
      </c>
      <c r="P72" s="25">
        <v>43191</v>
      </c>
      <c r="Q72" s="236"/>
      <c r="R72" s="3" t="s">
        <v>1211</v>
      </c>
      <c r="S72" s="25">
        <v>43271</v>
      </c>
      <c r="T72" s="25">
        <v>43263</v>
      </c>
      <c r="U72" s="107"/>
      <c r="V72" s="107"/>
    </row>
    <row r="73" spans="1:22" ht="39.6" hidden="1">
      <c r="A73" s="139" t="s">
        <v>1012</v>
      </c>
      <c r="B73" s="21" t="s">
        <v>64</v>
      </c>
      <c r="C73" s="46" t="s">
        <v>577</v>
      </c>
      <c r="D73" s="21" t="s">
        <v>230</v>
      </c>
      <c r="E73" s="298" t="s">
        <v>602</v>
      </c>
      <c r="F73" s="298" t="s">
        <v>911</v>
      </c>
      <c r="G73" s="298" t="s">
        <v>913</v>
      </c>
      <c r="H73" s="19" t="s">
        <v>58</v>
      </c>
      <c r="I73" s="209">
        <v>12</v>
      </c>
      <c r="J73" s="10" t="s">
        <v>1358</v>
      </c>
      <c r="K73" s="21" t="s">
        <v>1479</v>
      </c>
      <c r="L73" s="3"/>
      <c r="M73" s="3"/>
      <c r="N73" s="3"/>
      <c r="O73" s="25">
        <v>43160</v>
      </c>
      <c r="P73" s="25">
        <v>43191</v>
      </c>
      <c r="Q73" s="236"/>
      <c r="R73" s="3" t="s">
        <v>1211</v>
      </c>
      <c r="S73" s="25">
        <v>43271</v>
      </c>
      <c r="T73" s="25">
        <v>43263</v>
      </c>
      <c r="U73" s="107"/>
      <c r="V73" s="107"/>
    </row>
    <row r="74" spans="1:22" ht="39.6" hidden="1">
      <c r="A74" s="139" t="s">
        <v>1013</v>
      </c>
      <c r="B74" s="21" t="s">
        <v>64</v>
      </c>
      <c r="C74" s="46" t="s">
        <v>577</v>
      </c>
      <c r="D74" s="21" t="s">
        <v>230</v>
      </c>
      <c r="E74" s="298" t="s">
        <v>602</v>
      </c>
      <c r="F74" s="298" t="s">
        <v>911</v>
      </c>
      <c r="G74" s="298" t="s">
        <v>914</v>
      </c>
      <c r="H74" s="19" t="s">
        <v>58</v>
      </c>
      <c r="I74" s="209">
        <v>12</v>
      </c>
      <c r="J74" s="10" t="s">
        <v>1358</v>
      </c>
      <c r="K74" s="21" t="s">
        <v>1479</v>
      </c>
      <c r="L74" s="3"/>
      <c r="M74" s="3"/>
      <c r="N74" s="3"/>
      <c r="O74" s="25">
        <v>43160</v>
      </c>
      <c r="P74" s="25">
        <v>43191</v>
      </c>
      <c r="Q74" s="236"/>
      <c r="R74" s="3" t="s">
        <v>1211</v>
      </c>
      <c r="S74" s="25">
        <v>43271</v>
      </c>
      <c r="T74" s="25">
        <v>43263</v>
      </c>
      <c r="U74" s="107"/>
      <c r="V74" s="107"/>
    </row>
    <row r="75" spans="1:22" ht="39.6" hidden="1">
      <c r="A75" s="139" t="s">
        <v>1014</v>
      </c>
      <c r="B75" s="21" t="s">
        <v>64</v>
      </c>
      <c r="C75" s="46" t="s">
        <v>577</v>
      </c>
      <c r="D75" s="21" t="s">
        <v>230</v>
      </c>
      <c r="E75" s="298" t="s">
        <v>602</v>
      </c>
      <c r="F75" s="298" t="s">
        <v>911</v>
      </c>
      <c r="G75" s="298" t="s">
        <v>915</v>
      </c>
      <c r="H75" s="19" t="s">
        <v>58</v>
      </c>
      <c r="I75" s="209">
        <v>12</v>
      </c>
      <c r="J75" s="10" t="s">
        <v>1358</v>
      </c>
      <c r="K75" s="21" t="s">
        <v>1479</v>
      </c>
      <c r="L75" s="3"/>
      <c r="M75" s="3"/>
      <c r="N75" s="3"/>
      <c r="O75" s="25">
        <v>43160</v>
      </c>
      <c r="P75" s="25">
        <v>43191</v>
      </c>
      <c r="Q75" s="236"/>
      <c r="R75" s="3" t="s">
        <v>1211</v>
      </c>
      <c r="S75" s="25">
        <v>43271</v>
      </c>
      <c r="T75" s="25">
        <v>43263</v>
      </c>
      <c r="U75" s="107"/>
      <c r="V75" s="107"/>
    </row>
    <row r="76" spans="1:22" ht="39.6" hidden="1">
      <c r="A76" s="139" t="s">
        <v>1015</v>
      </c>
      <c r="B76" s="21" t="s">
        <v>64</v>
      </c>
      <c r="C76" s="46" t="s">
        <v>577</v>
      </c>
      <c r="D76" s="21" t="s">
        <v>230</v>
      </c>
      <c r="E76" s="298" t="s">
        <v>602</v>
      </c>
      <c r="F76" s="298" t="s">
        <v>911</v>
      </c>
      <c r="G76" s="298" t="s">
        <v>916</v>
      </c>
      <c r="H76" s="19" t="s">
        <v>58</v>
      </c>
      <c r="I76" s="209">
        <v>12</v>
      </c>
      <c r="J76" s="10" t="s">
        <v>1358</v>
      </c>
      <c r="K76" s="21" t="s">
        <v>1479</v>
      </c>
      <c r="L76" s="3"/>
      <c r="M76" s="3"/>
      <c r="N76" s="3"/>
      <c r="O76" s="25">
        <v>43160</v>
      </c>
      <c r="P76" s="25">
        <v>43191</v>
      </c>
      <c r="Q76" s="236"/>
      <c r="R76" s="3" t="s">
        <v>1211</v>
      </c>
      <c r="S76" s="25">
        <v>43271</v>
      </c>
      <c r="T76" s="25">
        <v>43263</v>
      </c>
      <c r="U76" s="107"/>
      <c r="V76" s="107"/>
    </row>
    <row r="77" spans="1:22" ht="39.6" hidden="1">
      <c r="A77" s="139" t="s">
        <v>1016</v>
      </c>
      <c r="B77" s="21" t="s">
        <v>64</v>
      </c>
      <c r="C77" s="46" t="s">
        <v>577</v>
      </c>
      <c r="D77" s="21" t="s">
        <v>230</v>
      </c>
      <c r="E77" s="298" t="s">
        <v>602</v>
      </c>
      <c r="F77" s="298" t="s">
        <v>917</v>
      </c>
      <c r="G77" s="298" t="s">
        <v>918</v>
      </c>
      <c r="H77" s="19" t="s">
        <v>58</v>
      </c>
      <c r="I77" s="209">
        <v>12</v>
      </c>
      <c r="J77" s="10" t="s">
        <v>1358</v>
      </c>
      <c r="K77" s="21" t="s">
        <v>1479</v>
      </c>
      <c r="L77" s="3"/>
      <c r="M77" s="3"/>
      <c r="N77" s="3"/>
      <c r="O77" s="25">
        <v>43160</v>
      </c>
      <c r="P77" s="25">
        <v>43191</v>
      </c>
      <c r="Q77" s="236"/>
      <c r="R77" s="3" t="s">
        <v>1211</v>
      </c>
      <c r="S77" s="25">
        <v>43271</v>
      </c>
      <c r="T77" s="25">
        <v>43263</v>
      </c>
      <c r="U77" s="107"/>
      <c r="V77" s="107"/>
    </row>
    <row r="78" spans="1:22" ht="39.6" hidden="1">
      <c r="A78" s="139" t="s">
        <v>1017</v>
      </c>
      <c r="B78" s="21" t="s">
        <v>64</v>
      </c>
      <c r="C78" s="46" t="s">
        <v>577</v>
      </c>
      <c r="D78" s="21" t="s">
        <v>230</v>
      </c>
      <c r="E78" s="298" t="s">
        <v>602</v>
      </c>
      <c r="F78" s="298" t="s">
        <v>917</v>
      </c>
      <c r="G78" s="298" t="s">
        <v>919</v>
      </c>
      <c r="H78" s="19" t="s">
        <v>58</v>
      </c>
      <c r="I78" s="209">
        <v>12</v>
      </c>
      <c r="J78" s="10" t="s">
        <v>1358</v>
      </c>
      <c r="K78" s="21" t="s">
        <v>1479</v>
      </c>
      <c r="L78" s="3"/>
      <c r="M78" s="3"/>
      <c r="N78" s="3"/>
      <c r="O78" s="25">
        <v>43160</v>
      </c>
      <c r="P78" s="25">
        <v>43191</v>
      </c>
      <c r="Q78" s="236"/>
      <c r="R78" s="3" t="s">
        <v>1211</v>
      </c>
      <c r="S78" s="25">
        <v>43271</v>
      </c>
      <c r="T78" s="25">
        <v>43263</v>
      </c>
      <c r="U78" s="107"/>
      <c r="V78" s="107"/>
    </row>
    <row r="79" spans="1:22" ht="39.6" hidden="1">
      <c r="A79" s="139" t="s">
        <v>1018</v>
      </c>
      <c r="B79" s="21" t="s">
        <v>64</v>
      </c>
      <c r="C79" s="46" t="s">
        <v>577</v>
      </c>
      <c r="D79" s="21" t="s">
        <v>230</v>
      </c>
      <c r="E79" s="298" t="s">
        <v>602</v>
      </c>
      <c r="F79" s="298" t="s">
        <v>917</v>
      </c>
      <c r="G79" s="298" t="s">
        <v>920</v>
      </c>
      <c r="H79" s="19" t="s">
        <v>58</v>
      </c>
      <c r="I79" s="209">
        <v>12</v>
      </c>
      <c r="J79" s="10" t="s">
        <v>1358</v>
      </c>
      <c r="K79" s="21" t="s">
        <v>1479</v>
      </c>
      <c r="L79" s="3"/>
      <c r="M79" s="3"/>
      <c r="N79" s="3"/>
      <c r="O79" s="25">
        <v>43160</v>
      </c>
      <c r="P79" s="25">
        <v>43191</v>
      </c>
      <c r="Q79" s="236"/>
      <c r="R79" s="3" t="s">
        <v>1211</v>
      </c>
      <c r="S79" s="25">
        <v>43271</v>
      </c>
      <c r="T79" s="25">
        <v>43263</v>
      </c>
      <c r="U79" s="107"/>
      <c r="V79" s="107"/>
    </row>
    <row r="80" spans="1:22" ht="39.6" hidden="1">
      <c r="A80" s="139" t="s">
        <v>1019</v>
      </c>
      <c r="B80" s="21" t="s">
        <v>64</v>
      </c>
      <c r="C80" s="46" t="s">
        <v>577</v>
      </c>
      <c r="D80" s="21" t="s">
        <v>230</v>
      </c>
      <c r="E80" s="298" t="s">
        <v>602</v>
      </c>
      <c r="F80" s="298" t="s">
        <v>917</v>
      </c>
      <c r="G80" s="298" t="s">
        <v>921</v>
      </c>
      <c r="H80" s="19" t="s">
        <v>58</v>
      </c>
      <c r="I80" s="209">
        <v>12</v>
      </c>
      <c r="J80" s="10" t="s">
        <v>1358</v>
      </c>
      <c r="K80" s="21" t="s">
        <v>1479</v>
      </c>
      <c r="L80" s="3"/>
      <c r="M80" s="3"/>
      <c r="N80" s="3"/>
      <c r="O80" s="25">
        <v>43160</v>
      </c>
      <c r="P80" s="25">
        <v>43191</v>
      </c>
      <c r="Q80" s="236"/>
      <c r="R80" s="3" t="s">
        <v>1211</v>
      </c>
      <c r="S80" s="25">
        <v>43271</v>
      </c>
      <c r="T80" s="25">
        <v>43263</v>
      </c>
      <c r="U80" s="107"/>
      <c r="V80" s="107"/>
    </row>
    <row r="81" spans="1:22" ht="39.6" hidden="1">
      <c r="A81" s="139" t="s">
        <v>1020</v>
      </c>
      <c r="B81" s="21" t="s">
        <v>64</v>
      </c>
      <c r="C81" s="46" t="s">
        <v>577</v>
      </c>
      <c r="D81" s="21" t="s">
        <v>230</v>
      </c>
      <c r="E81" s="298" t="s">
        <v>602</v>
      </c>
      <c r="F81" s="298" t="s">
        <v>917</v>
      </c>
      <c r="G81" s="298" t="s">
        <v>922</v>
      </c>
      <c r="H81" s="19" t="s">
        <v>58</v>
      </c>
      <c r="I81" s="209">
        <v>12</v>
      </c>
      <c r="J81" s="10" t="s">
        <v>1358</v>
      </c>
      <c r="K81" s="21" t="s">
        <v>1479</v>
      </c>
      <c r="L81" s="3"/>
      <c r="M81" s="3"/>
      <c r="N81" s="3"/>
      <c r="O81" s="25">
        <v>43160</v>
      </c>
      <c r="P81" s="25">
        <v>43191</v>
      </c>
      <c r="Q81" s="236"/>
      <c r="R81" s="3" t="s">
        <v>1211</v>
      </c>
      <c r="S81" s="25">
        <v>43271</v>
      </c>
      <c r="T81" s="25">
        <v>43263</v>
      </c>
      <c r="U81" s="107"/>
      <c r="V81" s="107"/>
    </row>
    <row r="82" spans="1:22" ht="39.6" hidden="1">
      <c r="A82" s="139" t="s">
        <v>1021</v>
      </c>
      <c r="B82" s="21" t="s">
        <v>64</v>
      </c>
      <c r="C82" s="46" t="s">
        <v>577</v>
      </c>
      <c r="D82" s="21" t="s">
        <v>230</v>
      </c>
      <c r="E82" s="298" t="s">
        <v>602</v>
      </c>
      <c r="F82" s="298" t="s">
        <v>917</v>
      </c>
      <c r="G82" s="298" t="s">
        <v>923</v>
      </c>
      <c r="H82" s="19" t="s">
        <v>58</v>
      </c>
      <c r="I82" s="209">
        <v>12</v>
      </c>
      <c r="J82" s="10" t="s">
        <v>1358</v>
      </c>
      <c r="K82" s="21" t="s">
        <v>1479</v>
      </c>
      <c r="L82" s="3"/>
      <c r="M82" s="3"/>
      <c r="N82" s="3"/>
      <c r="O82" s="25">
        <v>43160</v>
      </c>
      <c r="P82" s="25">
        <v>43191</v>
      </c>
      <c r="Q82" s="236"/>
      <c r="R82" s="3" t="s">
        <v>1211</v>
      </c>
      <c r="S82" s="25">
        <v>43271</v>
      </c>
      <c r="T82" s="25">
        <v>43263</v>
      </c>
      <c r="U82" s="107"/>
      <c r="V82" s="107"/>
    </row>
    <row r="83" spans="1:22" ht="39.6" hidden="1">
      <c r="A83" s="139" t="s">
        <v>1022</v>
      </c>
      <c r="B83" s="21" t="s">
        <v>64</v>
      </c>
      <c r="C83" s="46" t="s">
        <v>577</v>
      </c>
      <c r="D83" s="21" t="s">
        <v>230</v>
      </c>
      <c r="E83" s="298" t="s">
        <v>602</v>
      </c>
      <c r="F83" s="298" t="s">
        <v>917</v>
      </c>
      <c r="G83" s="298" t="s">
        <v>924</v>
      </c>
      <c r="H83" s="19" t="s">
        <v>58</v>
      </c>
      <c r="I83" s="209">
        <v>12</v>
      </c>
      <c r="J83" s="10" t="s">
        <v>1358</v>
      </c>
      <c r="K83" s="21" t="s">
        <v>1479</v>
      </c>
      <c r="L83" s="3"/>
      <c r="M83" s="3"/>
      <c r="N83" s="3"/>
      <c r="O83" s="25">
        <v>43160</v>
      </c>
      <c r="P83" s="25">
        <v>43191</v>
      </c>
      <c r="Q83" s="236"/>
      <c r="R83" s="3" t="s">
        <v>1211</v>
      </c>
      <c r="S83" s="25">
        <v>43271</v>
      </c>
      <c r="T83" s="25">
        <v>43263</v>
      </c>
      <c r="U83" s="107"/>
      <c r="V83" s="107"/>
    </row>
    <row r="84" spans="1:22" ht="39.6" hidden="1">
      <c r="A84" s="139" t="s">
        <v>1023</v>
      </c>
      <c r="B84" s="21" t="s">
        <v>64</v>
      </c>
      <c r="C84" s="46" t="s">
        <v>577</v>
      </c>
      <c r="D84" s="21" t="s">
        <v>230</v>
      </c>
      <c r="E84" s="298" t="s">
        <v>602</v>
      </c>
      <c r="F84" s="298" t="s">
        <v>925</v>
      </c>
      <c r="G84" s="298" t="s">
        <v>926</v>
      </c>
      <c r="H84" s="19" t="s">
        <v>58</v>
      </c>
      <c r="I84" s="209">
        <v>12</v>
      </c>
      <c r="J84" s="10" t="s">
        <v>1358</v>
      </c>
      <c r="K84" s="21" t="s">
        <v>1479</v>
      </c>
      <c r="L84" s="3"/>
      <c r="M84" s="3"/>
      <c r="N84" s="3"/>
      <c r="O84" s="25">
        <v>43160</v>
      </c>
      <c r="P84" s="25">
        <v>43191</v>
      </c>
      <c r="Q84" s="236"/>
      <c r="R84" s="3" t="s">
        <v>1211</v>
      </c>
      <c r="S84" s="25">
        <v>43271</v>
      </c>
      <c r="T84" s="25">
        <v>43263</v>
      </c>
      <c r="U84" s="107"/>
      <c r="V84" s="107"/>
    </row>
    <row r="85" spans="1:22" ht="39.6" hidden="1">
      <c r="A85" s="139" t="s">
        <v>1024</v>
      </c>
      <c r="B85" s="21" t="s">
        <v>64</v>
      </c>
      <c r="C85" s="46" t="s">
        <v>577</v>
      </c>
      <c r="D85" s="21" t="s">
        <v>230</v>
      </c>
      <c r="E85" s="298" t="s">
        <v>602</v>
      </c>
      <c r="F85" s="298" t="s">
        <v>925</v>
      </c>
      <c r="G85" s="298" t="s">
        <v>927</v>
      </c>
      <c r="H85" s="19" t="s">
        <v>58</v>
      </c>
      <c r="I85" s="209">
        <v>12</v>
      </c>
      <c r="J85" s="10" t="s">
        <v>1358</v>
      </c>
      <c r="K85" s="21" t="s">
        <v>1479</v>
      </c>
      <c r="L85" s="3"/>
      <c r="M85" s="3"/>
      <c r="N85" s="3"/>
      <c r="O85" s="25">
        <v>43160</v>
      </c>
      <c r="P85" s="25">
        <v>43191</v>
      </c>
      <c r="Q85" s="236"/>
      <c r="R85" s="3" t="s">
        <v>1211</v>
      </c>
      <c r="S85" s="25">
        <v>43271</v>
      </c>
      <c r="T85" s="25">
        <v>43263</v>
      </c>
      <c r="U85" s="107"/>
      <c r="V85" s="107"/>
    </row>
    <row r="86" spans="1:22" ht="39.6" hidden="1">
      <c r="A86" s="139" t="s">
        <v>1025</v>
      </c>
      <c r="B86" s="21" t="s">
        <v>64</v>
      </c>
      <c r="C86" s="46" t="s">
        <v>577</v>
      </c>
      <c r="D86" s="21" t="s">
        <v>230</v>
      </c>
      <c r="E86" s="298" t="s">
        <v>602</v>
      </c>
      <c r="F86" s="298" t="s">
        <v>925</v>
      </c>
      <c r="G86" s="298" t="s">
        <v>928</v>
      </c>
      <c r="H86" s="19" t="s">
        <v>58</v>
      </c>
      <c r="I86" s="209">
        <v>12</v>
      </c>
      <c r="J86" s="10" t="s">
        <v>1358</v>
      </c>
      <c r="K86" s="21" t="s">
        <v>1479</v>
      </c>
      <c r="L86" s="3"/>
      <c r="M86" s="3"/>
      <c r="N86" s="3"/>
      <c r="O86" s="25">
        <v>43160</v>
      </c>
      <c r="P86" s="25">
        <v>43191</v>
      </c>
      <c r="Q86" s="236"/>
      <c r="R86" s="3" t="s">
        <v>1211</v>
      </c>
      <c r="S86" s="25">
        <v>43271</v>
      </c>
      <c r="T86" s="25">
        <v>43263</v>
      </c>
      <c r="U86" s="107"/>
      <c r="V86" s="107"/>
    </row>
    <row r="87" spans="1:22" ht="39.6" hidden="1">
      <c r="A87" s="139" t="s">
        <v>1026</v>
      </c>
      <c r="B87" s="21" t="s">
        <v>64</v>
      </c>
      <c r="C87" s="46" t="s">
        <v>577</v>
      </c>
      <c r="D87" s="21" t="s">
        <v>230</v>
      </c>
      <c r="E87" s="298" t="s">
        <v>602</v>
      </c>
      <c r="F87" s="298" t="s">
        <v>925</v>
      </c>
      <c r="G87" s="298" t="s">
        <v>929</v>
      </c>
      <c r="H87" s="19" t="s">
        <v>58</v>
      </c>
      <c r="I87" s="209">
        <v>12</v>
      </c>
      <c r="J87" s="10" t="s">
        <v>1358</v>
      </c>
      <c r="K87" s="21" t="s">
        <v>1479</v>
      </c>
      <c r="L87" s="3"/>
      <c r="M87" s="3"/>
      <c r="N87" s="3"/>
      <c r="O87" s="25">
        <v>43160</v>
      </c>
      <c r="P87" s="25">
        <v>43191</v>
      </c>
      <c r="Q87" s="236"/>
      <c r="R87" s="3" t="s">
        <v>1211</v>
      </c>
      <c r="S87" s="25">
        <v>43271</v>
      </c>
      <c r="T87" s="25">
        <v>43263</v>
      </c>
      <c r="U87" s="107"/>
      <c r="V87" s="107"/>
    </row>
    <row r="88" spans="1:22" ht="39.6" hidden="1">
      <c r="A88" s="139" t="s">
        <v>1027</v>
      </c>
      <c r="B88" s="21" t="s">
        <v>64</v>
      </c>
      <c r="C88" s="46" t="s">
        <v>577</v>
      </c>
      <c r="D88" s="21" t="s">
        <v>230</v>
      </c>
      <c r="E88" s="198" t="s">
        <v>602</v>
      </c>
      <c r="F88" s="198" t="s">
        <v>930</v>
      </c>
      <c r="G88" s="198" t="s">
        <v>885</v>
      </c>
      <c r="H88" s="19" t="s">
        <v>58</v>
      </c>
      <c r="I88" s="209">
        <v>12</v>
      </c>
      <c r="J88" s="10" t="s">
        <v>1358</v>
      </c>
      <c r="K88" s="21" t="s">
        <v>1479</v>
      </c>
      <c r="L88" s="3"/>
      <c r="M88" s="3"/>
      <c r="N88" s="3"/>
      <c r="O88" s="25">
        <v>43160</v>
      </c>
      <c r="P88" s="25">
        <v>43191</v>
      </c>
      <c r="Q88" s="236"/>
      <c r="R88" s="3" t="s">
        <v>1211</v>
      </c>
      <c r="S88" s="25">
        <v>43271</v>
      </c>
      <c r="T88" s="25">
        <v>43263</v>
      </c>
      <c r="U88" s="107"/>
      <c r="V88" s="107"/>
    </row>
    <row r="89" spans="1:22" ht="39.6" hidden="1">
      <c r="A89" s="139" t="s">
        <v>1028</v>
      </c>
      <c r="B89" s="21" t="s">
        <v>64</v>
      </c>
      <c r="C89" s="46" t="s">
        <v>577</v>
      </c>
      <c r="D89" s="21" t="s">
        <v>230</v>
      </c>
      <c r="E89" s="198" t="s">
        <v>602</v>
      </c>
      <c r="F89" s="198" t="s">
        <v>930</v>
      </c>
      <c r="G89" s="198" t="s">
        <v>886</v>
      </c>
      <c r="H89" s="19" t="s">
        <v>58</v>
      </c>
      <c r="I89" s="209">
        <v>12</v>
      </c>
      <c r="J89" s="10" t="s">
        <v>1358</v>
      </c>
      <c r="K89" s="21" t="s">
        <v>1479</v>
      </c>
      <c r="L89" s="3"/>
      <c r="M89" s="3"/>
      <c r="N89" s="3"/>
      <c r="O89" s="25">
        <v>43160</v>
      </c>
      <c r="P89" s="25">
        <v>43191</v>
      </c>
      <c r="Q89" s="236"/>
      <c r="R89" s="3" t="s">
        <v>1211</v>
      </c>
      <c r="S89" s="25">
        <v>43271</v>
      </c>
      <c r="T89" s="25">
        <v>43263</v>
      </c>
      <c r="U89" s="107"/>
      <c r="V89" s="107"/>
    </row>
    <row r="90" spans="1:22" ht="39.6" hidden="1">
      <c r="A90" s="139" t="s">
        <v>1029</v>
      </c>
      <c r="B90" s="21" t="s">
        <v>64</v>
      </c>
      <c r="C90" s="46" t="s">
        <v>577</v>
      </c>
      <c r="D90" s="21" t="s">
        <v>230</v>
      </c>
      <c r="E90" s="198" t="s">
        <v>602</v>
      </c>
      <c r="F90" s="198" t="s">
        <v>930</v>
      </c>
      <c r="G90" s="198" t="s">
        <v>902</v>
      </c>
      <c r="H90" s="19" t="s">
        <v>58</v>
      </c>
      <c r="I90" s="209">
        <v>12</v>
      </c>
      <c r="J90" s="10" t="s">
        <v>1358</v>
      </c>
      <c r="K90" s="21" t="s">
        <v>1479</v>
      </c>
      <c r="L90" s="3"/>
      <c r="M90" s="3"/>
      <c r="N90" s="3"/>
      <c r="O90" s="25">
        <v>43160</v>
      </c>
      <c r="P90" s="25">
        <v>43191</v>
      </c>
      <c r="Q90" s="236"/>
      <c r="R90" s="3" t="s">
        <v>1211</v>
      </c>
      <c r="S90" s="25">
        <v>43271</v>
      </c>
      <c r="T90" s="25">
        <v>43263</v>
      </c>
      <c r="U90" s="107"/>
      <c r="V90" s="107"/>
    </row>
    <row r="91" spans="1:22" ht="39.6" hidden="1">
      <c r="A91" s="139" t="s">
        <v>1030</v>
      </c>
      <c r="B91" s="21" t="s">
        <v>64</v>
      </c>
      <c r="C91" s="46" t="s">
        <v>577</v>
      </c>
      <c r="D91" s="21" t="s">
        <v>230</v>
      </c>
      <c r="E91" s="198" t="s">
        <v>602</v>
      </c>
      <c r="F91" s="198" t="s">
        <v>930</v>
      </c>
      <c r="G91" s="198" t="s">
        <v>904</v>
      </c>
      <c r="H91" s="19" t="s">
        <v>58</v>
      </c>
      <c r="I91" s="209">
        <v>12</v>
      </c>
      <c r="J91" s="10" t="s">
        <v>1358</v>
      </c>
      <c r="K91" s="21" t="s">
        <v>1479</v>
      </c>
      <c r="L91" s="3"/>
      <c r="M91" s="3"/>
      <c r="N91" s="3"/>
      <c r="O91" s="25">
        <v>43160</v>
      </c>
      <c r="P91" s="25">
        <v>43191</v>
      </c>
      <c r="Q91" s="236"/>
      <c r="R91" s="3" t="s">
        <v>1211</v>
      </c>
      <c r="S91" s="25">
        <v>43271</v>
      </c>
      <c r="T91" s="25">
        <v>43263</v>
      </c>
      <c r="U91" s="107"/>
      <c r="V91" s="107"/>
    </row>
    <row r="92" spans="1:22" ht="39.6" hidden="1">
      <c r="A92" s="139" t="s">
        <v>1031</v>
      </c>
      <c r="B92" s="21" t="s">
        <v>64</v>
      </c>
      <c r="C92" s="46" t="s">
        <v>577</v>
      </c>
      <c r="D92" s="21" t="s">
        <v>230</v>
      </c>
      <c r="E92" s="198" t="s">
        <v>602</v>
      </c>
      <c r="F92" s="198" t="s">
        <v>930</v>
      </c>
      <c r="G92" s="198" t="s">
        <v>887</v>
      </c>
      <c r="H92" s="19" t="s">
        <v>58</v>
      </c>
      <c r="I92" s="209">
        <v>12</v>
      </c>
      <c r="J92" s="10" t="s">
        <v>1358</v>
      </c>
      <c r="K92" s="21" t="s">
        <v>1479</v>
      </c>
      <c r="L92" s="3"/>
      <c r="M92" s="3"/>
      <c r="N92" s="3"/>
      <c r="O92" s="25">
        <v>43160</v>
      </c>
      <c r="P92" s="25">
        <v>43191</v>
      </c>
      <c r="Q92" s="236"/>
      <c r="R92" s="3" t="s">
        <v>1211</v>
      </c>
      <c r="S92" s="25">
        <v>43271</v>
      </c>
      <c r="T92" s="25">
        <v>43263</v>
      </c>
      <c r="U92" s="107"/>
      <c r="V92" s="107"/>
    </row>
    <row r="93" spans="1:22" ht="39.6" hidden="1">
      <c r="A93" s="139" t="s">
        <v>1032</v>
      </c>
      <c r="B93" s="21" t="s">
        <v>64</v>
      </c>
      <c r="C93" s="46" t="s">
        <v>577</v>
      </c>
      <c r="D93" s="21" t="s">
        <v>230</v>
      </c>
      <c r="E93" s="298" t="s">
        <v>602</v>
      </c>
      <c r="F93" s="298" t="s">
        <v>931</v>
      </c>
      <c r="G93" s="298" t="s">
        <v>928</v>
      </c>
      <c r="H93" s="19" t="s">
        <v>58</v>
      </c>
      <c r="I93" s="209">
        <v>12</v>
      </c>
      <c r="J93" s="10" t="s">
        <v>1358</v>
      </c>
      <c r="K93" s="21" t="s">
        <v>1479</v>
      </c>
      <c r="L93" s="3"/>
      <c r="M93" s="3"/>
      <c r="N93" s="3"/>
      <c r="O93" s="25">
        <v>43160</v>
      </c>
      <c r="P93" s="25">
        <v>43191</v>
      </c>
      <c r="Q93" s="236"/>
      <c r="R93" s="3" t="s">
        <v>1211</v>
      </c>
      <c r="S93" s="25">
        <v>43271</v>
      </c>
      <c r="T93" s="25">
        <v>43263</v>
      </c>
      <c r="U93" s="107"/>
      <c r="V93" s="107"/>
    </row>
    <row r="94" spans="1:22" ht="39.6" hidden="1">
      <c r="A94" s="139" t="s">
        <v>1033</v>
      </c>
      <c r="B94" s="21" t="s">
        <v>64</v>
      </c>
      <c r="C94" s="46" t="s">
        <v>577</v>
      </c>
      <c r="D94" s="21" t="s">
        <v>230</v>
      </c>
      <c r="E94" s="298" t="s">
        <v>602</v>
      </c>
      <c r="F94" s="298" t="s">
        <v>931</v>
      </c>
      <c r="G94" s="298" t="s">
        <v>929</v>
      </c>
      <c r="H94" s="19" t="s">
        <v>58</v>
      </c>
      <c r="I94" s="209">
        <v>12</v>
      </c>
      <c r="J94" s="10" t="s">
        <v>1358</v>
      </c>
      <c r="K94" s="21" t="s">
        <v>1479</v>
      </c>
      <c r="L94" s="3"/>
      <c r="M94" s="3"/>
      <c r="N94" s="3"/>
      <c r="O94" s="25">
        <v>43160</v>
      </c>
      <c r="P94" s="25">
        <v>43191</v>
      </c>
      <c r="Q94" s="236"/>
      <c r="R94" s="3" t="s">
        <v>1211</v>
      </c>
      <c r="S94" s="25">
        <v>43271</v>
      </c>
      <c r="T94" s="25">
        <v>43263</v>
      </c>
      <c r="U94" s="107"/>
      <c r="V94" s="107"/>
    </row>
    <row r="95" spans="1:22" ht="39.6" hidden="1">
      <c r="A95" s="139" t="s">
        <v>1034</v>
      </c>
      <c r="B95" s="21" t="s">
        <v>64</v>
      </c>
      <c r="C95" s="46" t="s">
        <v>577</v>
      </c>
      <c r="D95" s="21" t="s">
        <v>230</v>
      </c>
      <c r="E95" s="298" t="s">
        <v>602</v>
      </c>
      <c r="F95" s="298" t="s">
        <v>931</v>
      </c>
      <c r="G95" s="298" t="s">
        <v>932</v>
      </c>
      <c r="H95" s="19" t="s">
        <v>58</v>
      </c>
      <c r="I95" s="209">
        <v>12</v>
      </c>
      <c r="J95" s="10" t="s">
        <v>1358</v>
      </c>
      <c r="K95" s="21" t="s">
        <v>1479</v>
      </c>
      <c r="L95" s="3"/>
      <c r="M95" s="3"/>
      <c r="N95" s="3"/>
      <c r="O95" s="25">
        <v>43160</v>
      </c>
      <c r="P95" s="25">
        <v>43191</v>
      </c>
      <c r="Q95" s="236"/>
      <c r="R95" s="3" t="s">
        <v>1211</v>
      </c>
      <c r="S95" s="25">
        <v>43271</v>
      </c>
      <c r="T95" s="25">
        <v>43263</v>
      </c>
      <c r="U95" s="107"/>
      <c r="V95" s="107"/>
    </row>
    <row r="96" spans="1:22" ht="39.6" hidden="1">
      <c r="A96" s="139" t="s">
        <v>1035</v>
      </c>
      <c r="B96" s="21" t="s">
        <v>64</v>
      </c>
      <c r="C96" s="46" t="s">
        <v>577</v>
      </c>
      <c r="D96" s="21" t="s">
        <v>230</v>
      </c>
      <c r="E96" s="198" t="s">
        <v>602</v>
      </c>
      <c r="F96" s="198" t="s">
        <v>934</v>
      </c>
      <c r="G96" s="198" t="s">
        <v>928</v>
      </c>
      <c r="H96" s="19" t="s">
        <v>58</v>
      </c>
      <c r="I96" s="209">
        <v>12</v>
      </c>
      <c r="J96" s="10" t="s">
        <v>1358</v>
      </c>
      <c r="K96" s="21" t="s">
        <v>1479</v>
      </c>
      <c r="L96" s="3"/>
      <c r="M96" s="3"/>
      <c r="N96" s="3"/>
      <c r="O96" s="25">
        <v>43160</v>
      </c>
      <c r="P96" s="25">
        <v>43191</v>
      </c>
      <c r="Q96" s="236"/>
      <c r="R96" s="3" t="s">
        <v>1211</v>
      </c>
      <c r="S96" s="25">
        <v>43271</v>
      </c>
      <c r="T96" s="25">
        <v>43263</v>
      </c>
      <c r="U96" s="107"/>
      <c r="V96" s="107"/>
    </row>
    <row r="97" spans="1:22" ht="39.6" hidden="1">
      <c r="A97" s="139" t="s">
        <v>1036</v>
      </c>
      <c r="B97" s="21" t="s">
        <v>64</v>
      </c>
      <c r="C97" s="46" t="s">
        <v>577</v>
      </c>
      <c r="D97" s="21" t="s">
        <v>230</v>
      </c>
      <c r="E97" s="198" t="s">
        <v>602</v>
      </c>
      <c r="F97" s="198" t="s">
        <v>934</v>
      </c>
      <c r="G97" s="198" t="s">
        <v>929</v>
      </c>
      <c r="H97" s="19" t="s">
        <v>58</v>
      </c>
      <c r="I97" s="209">
        <v>12</v>
      </c>
      <c r="J97" s="10" t="s">
        <v>1358</v>
      </c>
      <c r="K97" s="21" t="s">
        <v>1479</v>
      </c>
      <c r="L97" s="3"/>
      <c r="M97" s="3"/>
      <c r="N97" s="3"/>
      <c r="O97" s="25">
        <v>43160</v>
      </c>
      <c r="P97" s="25">
        <v>43191</v>
      </c>
      <c r="Q97" s="236"/>
      <c r="R97" s="3" t="s">
        <v>1211</v>
      </c>
      <c r="S97" s="25">
        <v>43271</v>
      </c>
      <c r="T97" s="25">
        <v>43263</v>
      </c>
      <c r="U97" s="107"/>
      <c r="V97" s="107"/>
    </row>
    <row r="98" spans="1:22" ht="39.6" hidden="1">
      <c r="A98" s="139" t="s">
        <v>1037</v>
      </c>
      <c r="B98" s="21" t="s">
        <v>64</v>
      </c>
      <c r="C98" s="46" t="s">
        <v>577</v>
      </c>
      <c r="D98" s="21" t="s">
        <v>230</v>
      </c>
      <c r="E98" s="198" t="s">
        <v>602</v>
      </c>
      <c r="F98" s="198" t="s">
        <v>934</v>
      </c>
      <c r="G98" s="198" t="s">
        <v>932</v>
      </c>
      <c r="H98" s="19" t="s">
        <v>58</v>
      </c>
      <c r="I98" s="209">
        <v>12</v>
      </c>
      <c r="J98" s="10" t="s">
        <v>1358</v>
      </c>
      <c r="K98" s="21" t="s">
        <v>1479</v>
      </c>
      <c r="L98" s="3"/>
      <c r="M98" s="3"/>
      <c r="N98" s="3"/>
      <c r="O98" s="25">
        <v>43160</v>
      </c>
      <c r="P98" s="25">
        <v>43191</v>
      </c>
      <c r="Q98" s="236"/>
      <c r="R98" s="3" t="s">
        <v>1211</v>
      </c>
      <c r="S98" s="25">
        <v>43271</v>
      </c>
      <c r="T98" s="25">
        <v>43263</v>
      </c>
      <c r="U98" s="107"/>
      <c r="V98" s="107"/>
    </row>
    <row r="99" spans="1:22" ht="39.6" hidden="1">
      <c r="A99" s="139" t="s">
        <v>1038</v>
      </c>
      <c r="B99" s="21" t="s">
        <v>64</v>
      </c>
      <c r="C99" s="46" t="s">
        <v>577</v>
      </c>
      <c r="D99" s="21" t="s">
        <v>230</v>
      </c>
      <c r="E99" s="198" t="s">
        <v>602</v>
      </c>
      <c r="F99" s="198" t="s">
        <v>935</v>
      </c>
      <c r="G99" s="198" t="s">
        <v>936</v>
      </c>
      <c r="H99" s="19" t="s">
        <v>58</v>
      </c>
      <c r="I99" s="209">
        <v>12</v>
      </c>
      <c r="J99" s="10" t="s">
        <v>1358</v>
      </c>
      <c r="K99" s="21" t="s">
        <v>1479</v>
      </c>
      <c r="L99" s="3"/>
      <c r="M99" s="3"/>
      <c r="N99" s="3"/>
      <c r="O99" s="25">
        <v>43160</v>
      </c>
      <c r="P99" s="25">
        <v>43191</v>
      </c>
      <c r="Q99" s="236"/>
      <c r="R99" s="3" t="s">
        <v>1211</v>
      </c>
      <c r="S99" s="25">
        <v>43271</v>
      </c>
      <c r="T99" s="25">
        <v>43263</v>
      </c>
      <c r="U99" s="107"/>
      <c r="V99" s="107"/>
    </row>
    <row r="100" spans="1:22" ht="39.6" hidden="1">
      <c r="A100" s="139" t="s">
        <v>1039</v>
      </c>
      <c r="B100" s="21" t="s">
        <v>64</v>
      </c>
      <c r="C100" s="46" t="s">
        <v>577</v>
      </c>
      <c r="D100" s="21" t="s">
        <v>230</v>
      </c>
      <c r="E100" s="198" t="s">
        <v>602</v>
      </c>
      <c r="F100" s="198" t="s">
        <v>935</v>
      </c>
      <c r="G100" s="198" t="s">
        <v>937</v>
      </c>
      <c r="H100" s="19" t="s">
        <v>58</v>
      </c>
      <c r="I100" s="209">
        <v>12</v>
      </c>
      <c r="J100" s="10" t="s">
        <v>1358</v>
      </c>
      <c r="K100" s="21" t="s">
        <v>1479</v>
      </c>
      <c r="L100" s="3"/>
      <c r="M100" s="3"/>
      <c r="N100" s="3"/>
      <c r="O100" s="25">
        <v>43160</v>
      </c>
      <c r="P100" s="25">
        <v>43191</v>
      </c>
      <c r="Q100" s="236"/>
      <c r="R100" s="3" t="s">
        <v>1211</v>
      </c>
      <c r="S100" s="25">
        <v>43271</v>
      </c>
      <c r="T100" s="25">
        <v>43263</v>
      </c>
      <c r="U100" s="107"/>
      <c r="V100" s="107"/>
    </row>
    <row r="101" spans="1:22" ht="39.6" hidden="1">
      <c r="A101" s="139" t="s">
        <v>1040</v>
      </c>
      <c r="B101" s="21" t="s">
        <v>64</v>
      </c>
      <c r="C101" s="46" t="s">
        <v>577</v>
      </c>
      <c r="D101" s="21" t="s">
        <v>230</v>
      </c>
      <c r="E101" s="198" t="s">
        <v>602</v>
      </c>
      <c r="F101" s="198" t="s">
        <v>935</v>
      </c>
      <c r="G101" s="198" t="s">
        <v>589</v>
      </c>
      <c r="H101" s="19" t="s">
        <v>58</v>
      </c>
      <c r="I101" s="209">
        <v>12</v>
      </c>
      <c r="J101" s="10" t="s">
        <v>1358</v>
      </c>
      <c r="K101" s="21" t="s">
        <v>1479</v>
      </c>
      <c r="L101" s="3"/>
      <c r="M101" s="3"/>
      <c r="N101" s="3"/>
      <c r="O101" s="25">
        <v>43160</v>
      </c>
      <c r="P101" s="25">
        <v>43191</v>
      </c>
      <c r="Q101" s="236"/>
      <c r="R101" s="3" t="s">
        <v>1211</v>
      </c>
      <c r="S101" s="25">
        <v>43271</v>
      </c>
      <c r="T101" s="25">
        <v>43263</v>
      </c>
      <c r="U101" s="107"/>
      <c r="V101" s="107"/>
    </row>
    <row r="102" spans="1:22" ht="39.6" hidden="1">
      <c r="A102" s="139" t="s">
        <v>1041</v>
      </c>
      <c r="B102" s="21" t="s">
        <v>64</v>
      </c>
      <c r="C102" s="46" t="s">
        <v>577</v>
      </c>
      <c r="D102" s="21" t="s">
        <v>230</v>
      </c>
      <c r="E102" s="198" t="s">
        <v>602</v>
      </c>
      <c r="F102" s="198" t="s">
        <v>935</v>
      </c>
      <c r="G102" s="198" t="s">
        <v>569</v>
      </c>
      <c r="H102" s="19" t="s">
        <v>58</v>
      </c>
      <c r="I102" s="209">
        <v>12</v>
      </c>
      <c r="J102" s="10" t="s">
        <v>1358</v>
      </c>
      <c r="K102" s="21" t="s">
        <v>1479</v>
      </c>
      <c r="L102" s="3"/>
      <c r="M102" s="3"/>
      <c r="N102" s="3"/>
      <c r="O102" s="25">
        <v>43160</v>
      </c>
      <c r="P102" s="25">
        <v>43191</v>
      </c>
      <c r="Q102" s="236"/>
      <c r="R102" s="3" t="s">
        <v>1211</v>
      </c>
      <c r="S102" s="25">
        <v>43271</v>
      </c>
      <c r="T102" s="25">
        <v>43263</v>
      </c>
      <c r="U102" s="107"/>
      <c r="V102" s="107"/>
    </row>
    <row r="103" spans="1:22" ht="39.6" hidden="1">
      <c r="A103" s="139" t="s">
        <v>1042</v>
      </c>
      <c r="B103" s="21" t="s">
        <v>64</v>
      </c>
      <c r="C103" s="46" t="s">
        <v>577</v>
      </c>
      <c r="D103" s="21" t="s">
        <v>230</v>
      </c>
      <c r="E103" s="198" t="s">
        <v>602</v>
      </c>
      <c r="F103" s="198" t="s">
        <v>938</v>
      </c>
      <c r="G103" s="198" t="s">
        <v>939</v>
      </c>
      <c r="H103" s="19" t="s">
        <v>58</v>
      </c>
      <c r="I103" s="209">
        <v>12</v>
      </c>
      <c r="J103" s="10" t="s">
        <v>1358</v>
      </c>
      <c r="K103" s="21" t="s">
        <v>1479</v>
      </c>
      <c r="L103" s="3"/>
      <c r="M103" s="3"/>
      <c r="N103" s="3"/>
      <c r="O103" s="25">
        <v>43160</v>
      </c>
      <c r="P103" s="25">
        <v>43191</v>
      </c>
      <c r="Q103" s="236"/>
      <c r="R103" s="3" t="s">
        <v>1211</v>
      </c>
      <c r="S103" s="25">
        <v>43271</v>
      </c>
      <c r="T103" s="25">
        <v>43263</v>
      </c>
      <c r="U103" s="107"/>
      <c r="V103" s="107"/>
    </row>
    <row r="104" spans="1:22" ht="39.6" hidden="1">
      <c r="A104" s="139" t="s">
        <v>1043</v>
      </c>
      <c r="B104" s="21" t="s">
        <v>64</v>
      </c>
      <c r="C104" s="46" t="s">
        <v>577</v>
      </c>
      <c r="D104" s="21" t="s">
        <v>230</v>
      </c>
      <c r="E104" s="198" t="s">
        <v>602</v>
      </c>
      <c r="F104" s="198" t="s">
        <v>938</v>
      </c>
      <c r="G104" s="198" t="s">
        <v>940</v>
      </c>
      <c r="H104" s="19" t="s">
        <v>58</v>
      </c>
      <c r="I104" s="209">
        <v>12</v>
      </c>
      <c r="J104" s="10" t="s">
        <v>1358</v>
      </c>
      <c r="K104" s="21" t="s">
        <v>1479</v>
      </c>
      <c r="L104" s="3"/>
      <c r="M104" s="3"/>
      <c r="N104" s="3"/>
      <c r="O104" s="25">
        <v>43160</v>
      </c>
      <c r="P104" s="25">
        <v>43191</v>
      </c>
      <c r="Q104" s="236"/>
      <c r="R104" s="3" t="s">
        <v>1211</v>
      </c>
      <c r="S104" s="25">
        <v>43271</v>
      </c>
      <c r="T104" s="25">
        <v>43263</v>
      </c>
      <c r="U104" s="107"/>
      <c r="V104" s="107"/>
    </row>
    <row r="105" spans="1:22" ht="39.6" hidden="1">
      <c r="A105" s="139" t="s">
        <v>1044</v>
      </c>
      <c r="B105" s="21" t="s">
        <v>64</v>
      </c>
      <c r="C105" s="46" t="s">
        <v>577</v>
      </c>
      <c r="D105" s="21" t="s">
        <v>230</v>
      </c>
      <c r="E105" s="198" t="s">
        <v>602</v>
      </c>
      <c r="F105" s="198" t="s">
        <v>938</v>
      </c>
      <c r="G105" s="198" t="s">
        <v>516</v>
      </c>
      <c r="H105" s="19" t="s">
        <v>58</v>
      </c>
      <c r="I105" s="209">
        <v>12</v>
      </c>
      <c r="J105" s="10" t="s">
        <v>1358</v>
      </c>
      <c r="K105" s="21" t="s">
        <v>1479</v>
      </c>
      <c r="L105" s="3"/>
      <c r="M105" s="3"/>
      <c r="N105" s="3"/>
      <c r="O105" s="25">
        <v>43160</v>
      </c>
      <c r="P105" s="25">
        <v>43191</v>
      </c>
      <c r="Q105" s="236"/>
      <c r="R105" s="3" t="s">
        <v>1211</v>
      </c>
      <c r="S105" s="25">
        <v>43271</v>
      </c>
      <c r="T105" s="25">
        <v>43263</v>
      </c>
      <c r="U105" s="107"/>
      <c r="V105" s="107"/>
    </row>
    <row r="106" spans="1:22" ht="39.6" hidden="1">
      <c r="A106" s="139" t="s">
        <v>1045</v>
      </c>
      <c r="B106" s="21" t="s">
        <v>64</v>
      </c>
      <c r="C106" s="46" t="s">
        <v>577</v>
      </c>
      <c r="D106" s="21" t="s">
        <v>230</v>
      </c>
      <c r="E106" s="198" t="s">
        <v>602</v>
      </c>
      <c r="F106" s="198" t="s">
        <v>938</v>
      </c>
      <c r="G106" s="198" t="s">
        <v>941</v>
      </c>
      <c r="H106" s="19" t="s">
        <v>58</v>
      </c>
      <c r="I106" s="209">
        <v>12</v>
      </c>
      <c r="J106" s="10" t="s">
        <v>1358</v>
      </c>
      <c r="K106" s="21" t="s">
        <v>1479</v>
      </c>
      <c r="L106" s="3"/>
      <c r="M106" s="3"/>
      <c r="N106" s="3"/>
      <c r="O106" s="25">
        <v>43160</v>
      </c>
      <c r="P106" s="25">
        <v>43191</v>
      </c>
      <c r="Q106" s="236"/>
      <c r="R106" s="3" t="s">
        <v>1211</v>
      </c>
      <c r="S106" s="25">
        <v>43271</v>
      </c>
      <c r="T106" s="25">
        <v>43263</v>
      </c>
      <c r="U106" s="107"/>
      <c r="V106" s="107"/>
    </row>
    <row r="107" spans="1:22" ht="39.6" hidden="1">
      <c r="A107" s="139" t="s">
        <v>1046</v>
      </c>
      <c r="B107" s="21" t="s">
        <v>64</v>
      </c>
      <c r="C107" s="46" t="s">
        <v>577</v>
      </c>
      <c r="D107" s="21" t="s">
        <v>230</v>
      </c>
      <c r="E107" s="198" t="s">
        <v>602</v>
      </c>
      <c r="F107" s="198" t="s">
        <v>938</v>
      </c>
      <c r="G107" s="198" t="s">
        <v>942</v>
      </c>
      <c r="H107" s="19" t="s">
        <v>58</v>
      </c>
      <c r="I107" s="209">
        <v>12</v>
      </c>
      <c r="J107" s="10" t="s">
        <v>1358</v>
      </c>
      <c r="K107" s="21" t="s">
        <v>1479</v>
      </c>
      <c r="L107" s="3"/>
      <c r="M107" s="3"/>
      <c r="N107" s="3"/>
      <c r="O107" s="25">
        <v>43160</v>
      </c>
      <c r="P107" s="25">
        <v>43191</v>
      </c>
      <c r="Q107" s="236"/>
      <c r="R107" s="3" t="s">
        <v>1211</v>
      </c>
      <c r="S107" s="25">
        <v>43271</v>
      </c>
      <c r="T107" s="25">
        <v>43263</v>
      </c>
      <c r="U107" s="107"/>
      <c r="V107" s="107"/>
    </row>
    <row r="108" spans="1:22" ht="39.6" hidden="1">
      <c r="A108" s="139" t="s">
        <v>1047</v>
      </c>
      <c r="B108" s="21" t="s">
        <v>64</v>
      </c>
      <c r="C108" s="46" t="s">
        <v>577</v>
      </c>
      <c r="D108" s="21" t="s">
        <v>230</v>
      </c>
      <c r="E108" s="198" t="s">
        <v>587</v>
      </c>
      <c r="F108" s="198" t="s">
        <v>943</v>
      </c>
      <c r="G108" s="198" t="s">
        <v>65</v>
      </c>
      <c r="H108" s="19" t="s">
        <v>58</v>
      </c>
      <c r="I108" s="209">
        <v>12</v>
      </c>
      <c r="J108" s="10" t="s">
        <v>1358</v>
      </c>
      <c r="K108" s="21" t="s">
        <v>1479</v>
      </c>
      <c r="L108" s="3"/>
      <c r="M108" s="3"/>
      <c r="N108" s="3"/>
      <c r="O108" s="25">
        <v>43160</v>
      </c>
      <c r="P108" s="25">
        <v>43191</v>
      </c>
      <c r="Q108" s="236"/>
      <c r="R108" s="3" t="s">
        <v>1211</v>
      </c>
      <c r="S108" s="25">
        <v>43271</v>
      </c>
      <c r="T108" s="25">
        <v>43263</v>
      </c>
      <c r="U108" s="107"/>
      <c r="V108" s="107"/>
    </row>
    <row r="109" spans="1:22" ht="39.6" hidden="1">
      <c r="A109" s="139" t="s">
        <v>1048</v>
      </c>
      <c r="B109" s="21" t="s">
        <v>64</v>
      </c>
      <c r="C109" s="46" t="s">
        <v>577</v>
      </c>
      <c r="D109" s="21" t="s">
        <v>230</v>
      </c>
      <c r="E109" s="198" t="s">
        <v>944</v>
      </c>
      <c r="F109" s="198" t="s">
        <v>943</v>
      </c>
      <c r="G109" s="198" t="s">
        <v>6</v>
      </c>
      <c r="H109" s="19" t="s">
        <v>58</v>
      </c>
      <c r="I109" s="209">
        <v>12</v>
      </c>
      <c r="J109" s="10" t="s">
        <v>1358</v>
      </c>
      <c r="K109" s="21" t="s">
        <v>1479</v>
      </c>
      <c r="L109" s="3"/>
      <c r="M109" s="3"/>
      <c r="N109" s="3"/>
      <c r="O109" s="25">
        <v>43160</v>
      </c>
      <c r="P109" s="25">
        <v>43191</v>
      </c>
      <c r="Q109" s="236"/>
      <c r="R109" s="3" t="s">
        <v>1211</v>
      </c>
      <c r="S109" s="25">
        <v>43271</v>
      </c>
      <c r="T109" s="25">
        <v>43263</v>
      </c>
      <c r="U109" s="107"/>
      <c r="V109" s="107"/>
    </row>
    <row r="110" spans="1:22" ht="39.6" hidden="1">
      <c r="A110" s="139" t="s">
        <v>1049</v>
      </c>
      <c r="B110" s="21" t="s">
        <v>64</v>
      </c>
      <c r="C110" s="46" t="s">
        <v>577</v>
      </c>
      <c r="D110" s="21" t="s">
        <v>230</v>
      </c>
      <c r="E110" s="198" t="s">
        <v>945</v>
      </c>
      <c r="F110" s="198" t="s">
        <v>943</v>
      </c>
      <c r="G110" s="198" t="s">
        <v>937</v>
      </c>
      <c r="H110" s="19" t="s">
        <v>58</v>
      </c>
      <c r="I110" s="209">
        <v>12</v>
      </c>
      <c r="J110" s="10" t="s">
        <v>1358</v>
      </c>
      <c r="K110" s="21" t="s">
        <v>1479</v>
      </c>
      <c r="L110" s="3"/>
      <c r="M110" s="3"/>
      <c r="N110" s="3"/>
      <c r="O110" s="25">
        <v>43160</v>
      </c>
      <c r="P110" s="25">
        <v>43191</v>
      </c>
      <c r="Q110" s="236"/>
      <c r="R110" s="3" t="s">
        <v>1211</v>
      </c>
      <c r="S110" s="25">
        <v>43271</v>
      </c>
      <c r="T110" s="25">
        <v>43263</v>
      </c>
      <c r="U110" s="107"/>
      <c r="V110" s="107"/>
    </row>
    <row r="111" spans="1:22" ht="39.6" hidden="1">
      <c r="A111" s="139" t="s">
        <v>1050</v>
      </c>
      <c r="B111" s="21" t="s">
        <v>64</v>
      </c>
      <c r="C111" s="46" t="s">
        <v>577</v>
      </c>
      <c r="D111" s="21" t="s">
        <v>230</v>
      </c>
      <c r="E111" s="198" t="s">
        <v>945</v>
      </c>
      <c r="F111" s="198" t="s">
        <v>943</v>
      </c>
      <c r="G111" s="198" t="s">
        <v>589</v>
      </c>
      <c r="H111" s="19" t="s">
        <v>58</v>
      </c>
      <c r="I111" s="209">
        <v>12</v>
      </c>
      <c r="J111" s="10" t="s">
        <v>1358</v>
      </c>
      <c r="K111" s="21" t="s">
        <v>1479</v>
      </c>
      <c r="L111" s="3"/>
      <c r="M111" s="3"/>
      <c r="N111" s="3"/>
      <c r="O111" s="25">
        <v>43160</v>
      </c>
      <c r="P111" s="25">
        <v>43191</v>
      </c>
      <c r="Q111" s="236"/>
      <c r="R111" s="3" t="s">
        <v>1211</v>
      </c>
      <c r="S111" s="25">
        <v>43271</v>
      </c>
      <c r="T111" s="25">
        <v>43263</v>
      </c>
      <c r="U111" s="107"/>
      <c r="V111" s="107"/>
    </row>
    <row r="112" spans="1:22" ht="39.6" hidden="1">
      <c r="A112" s="139" t="s">
        <v>1051</v>
      </c>
      <c r="B112" s="21" t="s">
        <v>64</v>
      </c>
      <c r="C112" s="46" t="s">
        <v>577</v>
      </c>
      <c r="D112" s="21" t="s">
        <v>230</v>
      </c>
      <c r="E112" s="198" t="s">
        <v>587</v>
      </c>
      <c r="F112" s="198" t="s">
        <v>943</v>
      </c>
      <c r="G112" s="198" t="s">
        <v>9</v>
      </c>
      <c r="H112" s="19" t="s">
        <v>58</v>
      </c>
      <c r="I112" s="209">
        <v>12</v>
      </c>
      <c r="J112" s="10" t="s">
        <v>1358</v>
      </c>
      <c r="K112" s="21" t="s">
        <v>1479</v>
      </c>
      <c r="L112" s="3"/>
      <c r="M112" s="3"/>
      <c r="N112" s="3"/>
      <c r="O112" s="25">
        <v>43160</v>
      </c>
      <c r="P112" s="25">
        <v>43191</v>
      </c>
      <c r="Q112" s="236"/>
      <c r="R112" s="3" t="s">
        <v>1211</v>
      </c>
      <c r="S112" s="25">
        <v>43271</v>
      </c>
      <c r="T112" s="25">
        <v>43263</v>
      </c>
      <c r="U112" s="107"/>
      <c r="V112" s="107"/>
    </row>
    <row r="113" spans="1:22" ht="39.6" hidden="1">
      <c r="A113" s="139" t="s">
        <v>1052</v>
      </c>
      <c r="B113" s="21" t="s">
        <v>64</v>
      </c>
      <c r="C113" s="46" t="s">
        <v>577</v>
      </c>
      <c r="D113" s="21" t="s">
        <v>230</v>
      </c>
      <c r="E113" s="198" t="s">
        <v>587</v>
      </c>
      <c r="F113" s="198" t="s">
        <v>943</v>
      </c>
      <c r="G113" s="198" t="s">
        <v>946</v>
      </c>
      <c r="H113" s="19" t="s">
        <v>58</v>
      </c>
      <c r="I113" s="209">
        <v>12</v>
      </c>
      <c r="J113" s="10" t="s">
        <v>1358</v>
      </c>
      <c r="K113" s="21" t="s">
        <v>1479</v>
      </c>
      <c r="L113" s="3"/>
      <c r="M113" s="3"/>
      <c r="N113" s="3"/>
      <c r="O113" s="25">
        <v>43160</v>
      </c>
      <c r="P113" s="25">
        <v>43191</v>
      </c>
      <c r="Q113" s="236"/>
      <c r="R113" s="3" t="s">
        <v>1211</v>
      </c>
      <c r="S113" s="25">
        <v>43271</v>
      </c>
      <c r="T113" s="25">
        <v>43263</v>
      </c>
      <c r="U113" s="107"/>
      <c r="V113" s="107"/>
    </row>
    <row r="114" spans="1:22" ht="39.6" hidden="1">
      <c r="A114" s="139" t="s">
        <v>1053</v>
      </c>
      <c r="B114" s="21" t="s">
        <v>64</v>
      </c>
      <c r="C114" s="46" t="s">
        <v>577</v>
      </c>
      <c r="D114" s="21" t="s">
        <v>230</v>
      </c>
      <c r="E114" s="198" t="s">
        <v>619</v>
      </c>
      <c r="F114" s="198" t="s">
        <v>943</v>
      </c>
      <c r="G114" s="198" t="s">
        <v>6</v>
      </c>
      <c r="H114" s="19" t="s">
        <v>58</v>
      </c>
      <c r="I114" s="209">
        <v>12</v>
      </c>
      <c r="J114" s="10" t="s">
        <v>1358</v>
      </c>
      <c r="K114" s="21" t="s">
        <v>1479</v>
      </c>
      <c r="L114" s="3"/>
      <c r="M114" s="3"/>
      <c r="N114" s="3"/>
      <c r="O114" s="25">
        <v>43160</v>
      </c>
      <c r="P114" s="25">
        <v>43191</v>
      </c>
      <c r="Q114" s="236"/>
      <c r="R114" s="3" t="s">
        <v>1211</v>
      </c>
      <c r="S114" s="25">
        <v>43271</v>
      </c>
      <c r="T114" s="25">
        <v>43263</v>
      </c>
      <c r="U114" s="107"/>
      <c r="V114" s="107"/>
    </row>
    <row r="115" spans="1:22" ht="39.6" hidden="1">
      <c r="A115" s="139" t="s">
        <v>1054</v>
      </c>
      <c r="B115" s="21" t="s">
        <v>64</v>
      </c>
      <c r="C115" s="46" t="s">
        <v>577</v>
      </c>
      <c r="D115" s="21" t="s">
        <v>230</v>
      </c>
      <c r="E115" s="198" t="s">
        <v>619</v>
      </c>
      <c r="F115" s="198" t="s">
        <v>943</v>
      </c>
      <c r="G115" s="198" t="s">
        <v>9</v>
      </c>
      <c r="H115" s="19" t="s">
        <v>58</v>
      </c>
      <c r="I115" s="209">
        <v>12</v>
      </c>
      <c r="J115" s="10" t="s">
        <v>1358</v>
      </c>
      <c r="K115" s="21" t="s">
        <v>1479</v>
      </c>
      <c r="L115" s="3"/>
      <c r="M115" s="3"/>
      <c r="N115" s="3"/>
      <c r="O115" s="25">
        <v>43160</v>
      </c>
      <c r="P115" s="25">
        <v>43191</v>
      </c>
      <c r="Q115" s="236"/>
      <c r="R115" s="3" t="s">
        <v>1211</v>
      </c>
      <c r="S115" s="25">
        <v>43271</v>
      </c>
      <c r="T115" s="25">
        <v>43263</v>
      </c>
      <c r="U115" s="107"/>
      <c r="V115" s="107"/>
    </row>
    <row r="116" spans="1:22" ht="39.6" hidden="1">
      <c r="A116" s="139" t="s">
        <v>1055</v>
      </c>
      <c r="B116" s="21" t="s">
        <v>64</v>
      </c>
      <c r="C116" s="46" t="s">
        <v>577</v>
      </c>
      <c r="D116" s="21" t="s">
        <v>230</v>
      </c>
      <c r="E116" s="198" t="s">
        <v>587</v>
      </c>
      <c r="F116" s="198" t="s">
        <v>943</v>
      </c>
      <c r="G116" s="198" t="s">
        <v>947</v>
      </c>
      <c r="H116" s="19" t="s">
        <v>58</v>
      </c>
      <c r="I116" s="209">
        <v>12</v>
      </c>
      <c r="J116" s="10" t="s">
        <v>1358</v>
      </c>
      <c r="K116" s="21" t="s">
        <v>1479</v>
      </c>
      <c r="L116" s="3"/>
      <c r="M116" s="3"/>
      <c r="N116" s="3"/>
      <c r="O116" s="25">
        <v>43160</v>
      </c>
      <c r="P116" s="25">
        <v>43191</v>
      </c>
      <c r="Q116" s="236"/>
      <c r="R116" s="3" t="s">
        <v>1211</v>
      </c>
      <c r="S116" s="25">
        <v>43271</v>
      </c>
      <c r="T116" s="25">
        <v>43263</v>
      </c>
      <c r="U116" s="107"/>
      <c r="V116" s="107"/>
    </row>
    <row r="117" spans="1:22" ht="39.6" hidden="1">
      <c r="A117" s="139" t="s">
        <v>1056</v>
      </c>
      <c r="B117" s="21" t="s">
        <v>64</v>
      </c>
      <c r="C117" s="46" t="s">
        <v>577</v>
      </c>
      <c r="D117" s="21" t="s">
        <v>230</v>
      </c>
      <c r="E117" s="198" t="s">
        <v>945</v>
      </c>
      <c r="F117" s="198" t="s">
        <v>948</v>
      </c>
      <c r="G117" s="198" t="s">
        <v>949</v>
      </c>
      <c r="H117" s="19" t="s">
        <v>58</v>
      </c>
      <c r="I117" s="209">
        <v>12</v>
      </c>
      <c r="J117" s="10" t="s">
        <v>1358</v>
      </c>
      <c r="K117" s="21" t="s">
        <v>1479</v>
      </c>
      <c r="L117" s="3"/>
      <c r="M117" s="3"/>
      <c r="N117" s="3"/>
      <c r="O117" s="25">
        <v>43160</v>
      </c>
      <c r="P117" s="25">
        <v>43191</v>
      </c>
      <c r="Q117" s="236"/>
      <c r="R117" s="3" t="s">
        <v>1211</v>
      </c>
      <c r="S117" s="25">
        <v>43271</v>
      </c>
      <c r="T117" s="25">
        <v>43263</v>
      </c>
      <c r="U117" s="107"/>
      <c r="V117" s="107"/>
    </row>
    <row r="118" spans="1:22" ht="39.6" hidden="1">
      <c r="A118" s="139" t="s">
        <v>1057</v>
      </c>
      <c r="B118" s="21" t="s">
        <v>64</v>
      </c>
      <c r="C118" s="46" t="s">
        <v>577</v>
      </c>
      <c r="D118" s="21" t="s">
        <v>230</v>
      </c>
      <c r="E118" s="198" t="s">
        <v>602</v>
      </c>
      <c r="F118" s="198" t="s">
        <v>950</v>
      </c>
      <c r="G118" s="198" t="s">
        <v>6</v>
      </c>
      <c r="H118" s="19" t="s">
        <v>58</v>
      </c>
      <c r="I118" s="209">
        <v>12</v>
      </c>
      <c r="J118" s="10" t="s">
        <v>1358</v>
      </c>
      <c r="K118" s="21" t="s">
        <v>1479</v>
      </c>
      <c r="L118" s="3"/>
      <c r="M118" s="3"/>
      <c r="N118" s="3"/>
      <c r="O118" s="25">
        <v>43160</v>
      </c>
      <c r="P118" s="25">
        <v>43191</v>
      </c>
      <c r="Q118" s="236"/>
      <c r="R118" s="3" t="s">
        <v>1211</v>
      </c>
      <c r="S118" s="25">
        <v>43271</v>
      </c>
      <c r="T118" s="25">
        <v>43263</v>
      </c>
      <c r="U118" s="107"/>
      <c r="V118" s="107"/>
    </row>
    <row r="119" spans="1:22" ht="39.6" hidden="1">
      <c r="A119" s="139" t="s">
        <v>1058</v>
      </c>
      <c r="B119" s="21" t="s">
        <v>64</v>
      </c>
      <c r="C119" s="46" t="s">
        <v>577</v>
      </c>
      <c r="D119" s="21" t="s">
        <v>230</v>
      </c>
      <c r="E119" s="198" t="s">
        <v>602</v>
      </c>
      <c r="F119" s="198" t="s">
        <v>950</v>
      </c>
      <c r="G119" s="198" t="s">
        <v>9</v>
      </c>
      <c r="H119" s="19" t="s">
        <v>58</v>
      </c>
      <c r="I119" s="209">
        <v>12</v>
      </c>
      <c r="J119" s="10" t="s">
        <v>1358</v>
      </c>
      <c r="K119" s="21" t="s">
        <v>1479</v>
      </c>
      <c r="L119" s="3"/>
      <c r="M119" s="3"/>
      <c r="N119" s="3"/>
      <c r="O119" s="25">
        <v>43160</v>
      </c>
      <c r="P119" s="25">
        <v>43191</v>
      </c>
      <c r="Q119" s="236"/>
      <c r="R119" s="3" t="s">
        <v>1211</v>
      </c>
      <c r="S119" s="25">
        <v>43271</v>
      </c>
      <c r="T119" s="25">
        <v>43263</v>
      </c>
      <c r="U119" s="107"/>
      <c r="V119" s="107"/>
    </row>
    <row r="120" spans="1:22" ht="39.6" hidden="1">
      <c r="A120" s="139" t="s">
        <v>1059</v>
      </c>
      <c r="B120" s="21" t="s">
        <v>64</v>
      </c>
      <c r="C120" s="46" t="s">
        <v>577</v>
      </c>
      <c r="D120" s="21" t="s">
        <v>230</v>
      </c>
      <c r="E120" s="298" t="s">
        <v>602</v>
      </c>
      <c r="F120" s="298" t="s">
        <v>951</v>
      </c>
      <c r="G120" s="298" t="s">
        <v>6</v>
      </c>
      <c r="H120" s="19" t="s">
        <v>58</v>
      </c>
      <c r="I120" s="209">
        <v>12</v>
      </c>
      <c r="J120" s="10" t="s">
        <v>1358</v>
      </c>
      <c r="K120" s="21" t="s">
        <v>1479</v>
      </c>
      <c r="L120" s="3"/>
      <c r="M120" s="3"/>
      <c r="N120" s="3"/>
      <c r="O120" s="25">
        <v>43160</v>
      </c>
      <c r="P120" s="25">
        <v>43191</v>
      </c>
      <c r="Q120" s="236"/>
      <c r="R120" s="3" t="s">
        <v>1211</v>
      </c>
      <c r="S120" s="25">
        <v>43271</v>
      </c>
      <c r="T120" s="25">
        <v>43263</v>
      </c>
      <c r="U120" s="107"/>
      <c r="V120" s="107"/>
    </row>
    <row r="121" spans="1:22" ht="39.6" hidden="1">
      <c r="A121" s="139" t="s">
        <v>1060</v>
      </c>
      <c r="B121" s="21" t="s">
        <v>64</v>
      </c>
      <c r="C121" s="46" t="s">
        <v>577</v>
      </c>
      <c r="D121" s="21" t="s">
        <v>230</v>
      </c>
      <c r="E121" s="298" t="s">
        <v>602</v>
      </c>
      <c r="F121" s="298" t="s">
        <v>951</v>
      </c>
      <c r="G121" s="298" t="s">
        <v>9</v>
      </c>
      <c r="H121" s="19" t="s">
        <v>58</v>
      </c>
      <c r="I121" s="209">
        <v>12</v>
      </c>
      <c r="J121" s="10" t="s">
        <v>1358</v>
      </c>
      <c r="K121" s="21" t="s">
        <v>1479</v>
      </c>
      <c r="L121" s="3"/>
      <c r="M121" s="3"/>
      <c r="N121" s="3"/>
      <c r="O121" s="25">
        <v>43160</v>
      </c>
      <c r="P121" s="25">
        <v>43191</v>
      </c>
      <c r="Q121" s="236"/>
      <c r="R121" s="3" t="s">
        <v>1211</v>
      </c>
      <c r="S121" s="25">
        <v>43271</v>
      </c>
      <c r="T121" s="25">
        <v>43263</v>
      </c>
      <c r="U121" s="107"/>
      <c r="V121" s="107"/>
    </row>
    <row r="122" spans="1:22" ht="39.6" hidden="1">
      <c r="A122" s="139" t="s">
        <v>1061</v>
      </c>
      <c r="B122" s="21" t="s">
        <v>64</v>
      </c>
      <c r="C122" s="46" t="s">
        <v>577</v>
      </c>
      <c r="D122" s="21" t="s">
        <v>230</v>
      </c>
      <c r="E122" s="198" t="s">
        <v>602</v>
      </c>
      <c r="F122" s="198" t="s">
        <v>952</v>
      </c>
      <c r="G122" s="198" t="s">
        <v>9</v>
      </c>
      <c r="H122" s="19" t="s">
        <v>58</v>
      </c>
      <c r="I122" s="209">
        <v>12</v>
      </c>
      <c r="J122" s="10" t="s">
        <v>1358</v>
      </c>
      <c r="K122" s="21" t="s">
        <v>1479</v>
      </c>
      <c r="L122" s="3"/>
      <c r="M122" s="3"/>
      <c r="N122" s="3"/>
      <c r="O122" s="25">
        <v>43160</v>
      </c>
      <c r="P122" s="25">
        <v>43191</v>
      </c>
      <c r="Q122" s="236"/>
      <c r="R122" s="3" t="s">
        <v>1211</v>
      </c>
      <c r="S122" s="25">
        <v>43271</v>
      </c>
      <c r="T122" s="25">
        <v>43263</v>
      </c>
      <c r="U122" s="107"/>
      <c r="V122" s="107"/>
    </row>
    <row r="123" spans="1:22" ht="39.6" hidden="1">
      <c r="A123" s="139" t="s">
        <v>1062</v>
      </c>
      <c r="B123" s="21" t="s">
        <v>64</v>
      </c>
      <c r="C123" s="46" t="s">
        <v>577</v>
      </c>
      <c r="D123" s="21" t="s">
        <v>230</v>
      </c>
      <c r="E123" s="298" t="s">
        <v>953</v>
      </c>
      <c r="F123" s="298" t="s">
        <v>954</v>
      </c>
      <c r="G123" s="298" t="s">
        <v>6</v>
      </c>
      <c r="H123" s="19" t="s">
        <v>58</v>
      </c>
      <c r="I123" s="209">
        <v>12</v>
      </c>
      <c r="J123" s="10" t="s">
        <v>1358</v>
      </c>
      <c r="K123" s="21" t="s">
        <v>1479</v>
      </c>
      <c r="L123" s="3"/>
      <c r="M123" s="3"/>
      <c r="N123" s="3"/>
      <c r="O123" s="25">
        <v>43160</v>
      </c>
      <c r="P123" s="25">
        <v>43191</v>
      </c>
      <c r="Q123" s="236"/>
      <c r="R123" s="3" t="s">
        <v>1211</v>
      </c>
      <c r="S123" s="25">
        <v>43271</v>
      </c>
      <c r="T123" s="25">
        <v>43263</v>
      </c>
      <c r="U123" s="107"/>
      <c r="V123" s="107"/>
    </row>
    <row r="124" spans="1:22" ht="39.6" hidden="1">
      <c r="A124" s="139" t="s">
        <v>1063</v>
      </c>
      <c r="B124" s="21" t="s">
        <v>64</v>
      </c>
      <c r="C124" s="46" t="s">
        <v>577</v>
      </c>
      <c r="D124" s="21" t="s">
        <v>230</v>
      </c>
      <c r="E124" s="298" t="s">
        <v>953</v>
      </c>
      <c r="F124" s="298" t="s">
        <v>955</v>
      </c>
      <c r="G124" s="298" t="s">
        <v>6</v>
      </c>
      <c r="H124" s="19" t="s">
        <v>58</v>
      </c>
      <c r="I124" s="209">
        <v>12</v>
      </c>
      <c r="J124" s="10" t="s">
        <v>1358</v>
      </c>
      <c r="K124" s="21" t="s">
        <v>1479</v>
      </c>
      <c r="L124" s="3"/>
      <c r="M124" s="3"/>
      <c r="N124" s="3"/>
      <c r="O124" s="25">
        <v>43160</v>
      </c>
      <c r="P124" s="25">
        <v>43191</v>
      </c>
      <c r="Q124" s="236"/>
      <c r="R124" s="3" t="s">
        <v>1211</v>
      </c>
      <c r="S124" s="25">
        <v>43271</v>
      </c>
      <c r="T124" s="25">
        <v>43263</v>
      </c>
      <c r="U124" s="107"/>
      <c r="V124" s="107"/>
    </row>
    <row r="125" spans="1:22" ht="39.6" hidden="1">
      <c r="A125" s="139" t="s">
        <v>1064</v>
      </c>
      <c r="B125" s="21" t="s">
        <v>64</v>
      </c>
      <c r="C125" s="46" t="s">
        <v>577</v>
      </c>
      <c r="D125" s="21" t="s">
        <v>230</v>
      </c>
      <c r="E125" s="298" t="s">
        <v>956</v>
      </c>
      <c r="F125" s="298" t="s">
        <v>957</v>
      </c>
      <c r="G125" s="298" t="s">
        <v>946</v>
      </c>
      <c r="H125" s="19" t="s">
        <v>58</v>
      </c>
      <c r="I125" s="209">
        <v>12</v>
      </c>
      <c r="J125" s="10" t="s">
        <v>1358</v>
      </c>
      <c r="K125" s="21" t="s">
        <v>1479</v>
      </c>
      <c r="L125" s="3"/>
      <c r="M125" s="3"/>
      <c r="N125" s="3"/>
      <c r="O125" s="25">
        <v>43160</v>
      </c>
      <c r="P125" s="25">
        <v>43191</v>
      </c>
      <c r="Q125" s="236"/>
      <c r="R125" s="3" t="s">
        <v>1211</v>
      </c>
      <c r="S125" s="25">
        <v>43271</v>
      </c>
      <c r="T125" s="25">
        <v>43263</v>
      </c>
      <c r="U125" s="107"/>
      <c r="V125" s="107"/>
    </row>
    <row r="126" spans="1:22" ht="39.6" hidden="1">
      <c r="A126" s="139" t="s">
        <v>1065</v>
      </c>
      <c r="B126" s="21" t="s">
        <v>64</v>
      </c>
      <c r="C126" s="46" t="s">
        <v>577</v>
      </c>
      <c r="D126" s="21" t="s">
        <v>230</v>
      </c>
      <c r="E126" s="298" t="s">
        <v>945</v>
      </c>
      <c r="F126" s="298" t="s">
        <v>957</v>
      </c>
      <c r="G126" s="298" t="s">
        <v>947</v>
      </c>
      <c r="H126" s="19" t="s">
        <v>58</v>
      </c>
      <c r="I126" s="209">
        <v>12</v>
      </c>
      <c r="J126" s="10" t="s">
        <v>1358</v>
      </c>
      <c r="K126" s="21" t="s">
        <v>1479</v>
      </c>
      <c r="L126" s="3"/>
      <c r="M126" s="3"/>
      <c r="N126" s="3"/>
      <c r="O126" s="25">
        <v>43160</v>
      </c>
      <c r="P126" s="25">
        <v>43191</v>
      </c>
      <c r="Q126" s="236"/>
      <c r="R126" s="3" t="s">
        <v>1211</v>
      </c>
      <c r="S126" s="25">
        <v>43271</v>
      </c>
      <c r="T126" s="25">
        <v>43263</v>
      </c>
      <c r="U126" s="107"/>
      <c r="V126" s="107"/>
    </row>
    <row r="127" spans="1:22" ht="39.6" hidden="1">
      <c r="A127" s="139" t="s">
        <v>1066</v>
      </c>
      <c r="B127" s="21" t="s">
        <v>64</v>
      </c>
      <c r="C127" s="46" t="s">
        <v>577</v>
      </c>
      <c r="D127" s="21" t="s">
        <v>230</v>
      </c>
      <c r="E127" s="298" t="s">
        <v>602</v>
      </c>
      <c r="F127" s="298" t="s">
        <v>957</v>
      </c>
      <c r="G127" s="298" t="s">
        <v>9</v>
      </c>
      <c r="H127" s="19" t="s">
        <v>58</v>
      </c>
      <c r="I127" s="209">
        <v>12</v>
      </c>
      <c r="J127" s="10" t="s">
        <v>1358</v>
      </c>
      <c r="K127" s="21" t="s">
        <v>1479</v>
      </c>
      <c r="L127" s="3"/>
      <c r="M127" s="3"/>
      <c r="N127" s="3"/>
      <c r="O127" s="25">
        <v>43160</v>
      </c>
      <c r="P127" s="25">
        <v>43191</v>
      </c>
      <c r="Q127" s="236"/>
      <c r="R127" s="3" t="s">
        <v>1211</v>
      </c>
      <c r="S127" s="25">
        <v>43271</v>
      </c>
      <c r="T127" s="25">
        <v>43263</v>
      </c>
      <c r="U127" s="107"/>
      <c r="V127" s="107"/>
    </row>
    <row r="128" spans="1:22" ht="39.6" hidden="1">
      <c r="A128" s="139" t="s">
        <v>1067</v>
      </c>
      <c r="B128" s="21" t="s">
        <v>64</v>
      </c>
      <c r="C128" s="46" t="s">
        <v>577</v>
      </c>
      <c r="D128" s="21" t="s">
        <v>230</v>
      </c>
      <c r="E128" s="298" t="s">
        <v>956</v>
      </c>
      <c r="F128" s="298" t="s">
        <v>957</v>
      </c>
      <c r="G128" s="298" t="s">
        <v>689</v>
      </c>
      <c r="H128" s="19" t="s">
        <v>58</v>
      </c>
      <c r="I128" s="209">
        <v>12</v>
      </c>
      <c r="J128" s="10" t="s">
        <v>1358</v>
      </c>
      <c r="K128" s="21" t="s">
        <v>1479</v>
      </c>
      <c r="L128" s="3"/>
      <c r="M128" s="3"/>
      <c r="N128" s="3"/>
      <c r="O128" s="25">
        <v>43160</v>
      </c>
      <c r="P128" s="25">
        <v>43191</v>
      </c>
      <c r="Q128" s="236"/>
      <c r="R128" s="3" t="s">
        <v>1211</v>
      </c>
      <c r="S128" s="25">
        <v>43271</v>
      </c>
      <c r="T128" s="25">
        <v>43263</v>
      </c>
      <c r="U128" s="107"/>
      <c r="V128" s="107"/>
    </row>
    <row r="129" spans="1:22" ht="39.6" hidden="1">
      <c r="A129" s="139" t="s">
        <v>1068</v>
      </c>
      <c r="B129" s="21" t="s">
        <v>64</v>
      </c>
      <c r="C129" s="46" t="s">
        <v>577</v>
      </c>
      <c r="D129" s="21" t="s">
        <v>230</v>
      </c>
      <c r="E129" s="298" t="s">
        <v>945</v>
      </c>
      <c r="F129" s="298" t="s">
        <v>957</v>
      </c>
      <c r="G129" s="298" t="s">
        <v>958</v>
      </c>
      <c r="H129" s="19" t="s">
        <v>58</v>
      </c>
      <c r="I129" s="209">
        <v>12</v>
      </c>
      <c r="J129" s="10" t="s">
        <v>1358</v>
      </c>
      <c r="K129" s="21" t="s">
        <v>1479</v>
      </c>
      <c r="L129" s="3"/>
      <c r="M129" s="3"/>
      <c r="N129" s="3"/>
      <c r="O129" s="25">
        <v>43160</v>
      </c>
      <c r="P129" s="25">
        <v>43191</v>
      </c>
      <c r="Q129" s="236"/>
      <c r="R129" s="3" t="s">
        <v>1211</v>
      </c>
      <c r="S129" s="25">
        <v>43271</v>
      </c>
      <c r="T129" s="25">
        <v>43263</v>
      </c>
      <c r="U129" s="107"/>
      <c r="V129" s="107"/>
    </row>
    <row r="130" spans="1:22" ht="39.6" hidden="1">
      <c r="A130" s="139" t="s">
        <v>1069</v>
      </c>
      <c r="B130" s="21" t="s">
        <v>64</v>
      </c>
      <c r="C130" s="46" t="s">
        <v>577</v>
      </c>
      <c r="D130" s="21" t="s">
        <v>230</v>
      </c>
      <c r="E130" s="298" t="s">
        <v>587</v>
      </c>
      <c r="F130" s="298" t="s">
        <v>959</v>
      </c>
      <c r="G130" s="298" t="s">
        <v>960</v>
      </c>
      <c r="H130" s="19" t="s">
        <v>58</v>
      </c>
      <c r="I130" s="209">
        <v>12</v>
      </c>
      <c r="J130" s="10" t="s">
        <v>1358</v>
      </c>
      <c r="K130" s="21" t="s">
        <v>1479</v>
      </c>
      <c r="L130" s="3"/>
      <c r="M130" s="3"/>
      <c r="N130" s="3"/>
      <c r="O130" s="25">
        <v>43160</v>
      </c>
      <c r="P130" s="25">
        <v>43191</v>
      </c>
      <c r="Q130" s="236"/>
      <c r="R130" s="3" t="s">
        <v>1211</v>
      </c>
      <c r="S130" s="25">
        <v>43271</v>
      </c>
      <c r="T130" s="25">
        <v>43263</v>
      </c>
      <c r="U130" s="107"/>
      <c r="V130" s="107"/>
    </row>
    <row r="131" spans="1:22" ht="39.6" hidden="1">
      <c r="A131" s="139" t="s">
        <v>1070</v>
      </c>
      <c r="B131" s="21" t="s">
        <v>64</v>
      </c>
      <c r="C131" s="46" t="s">
        <v>577</v>
      </c>
      <c r="D131" s="21" t="s">
        <v>230</v>
      </c>
      <c r="E131" s="298" t="s">
        <v>602</v>
      </c>
      <c r="F131" s="298" t="s">
        <v>961</v>
      </c>
      <c r="G131" s="298" t="s">
        <v>936</v>
      </c>
      <c r="H131" s="19" t="s">
        <v>58</v>
      </c>
      <c r="I131" s="209">
        <v>12</v>
      </c>
      <c r="J131" s="10" t="s">
        <v>1358</v>
      </c>
      <c r="K131" s="21" t="s">
        <v>1479</v>
      </c>
      <c r="L131" s="3"/>
      <c r="M131" s="3"/>
      <c r="N131" s="3"/>
      <c r="O131" s="25">
        <v>43160</v>
      </c>
      <c r="P131" s="25">
        <v>43191</v>
      </c>
      <c r="Q131" s="236"/>
      <c r="R131" s="3" t="s">
        <v>1211</v>
      </c>
      <c r="S131" s="25">
        <v>43271</v>
      </c>
      <c r="T131" s="25">
        <v>43263</v>
      </c>
      <c r="U131" s="107"/>
      <c r="V131" s="107"/>
    </row>
    <row r="132" spans="1:22" ht="39.6" hidden="1">
      <c r="A132" s="139" t="s">
        <v>1071</v>
      </c>
      <c r="B132" s="21" t="s">
        <v>64</v>
      </c>
      <c r="C132" s="46" t="s">
        <v>577</v>
      </c>
      <c r="D132" s="21" t="s">
        <v>230</v>
      </c>
      <c r="E132" s="298" t="s">
        <v>602</v>
      </c>
      <c r="F132" s="298" t="s">
        <v>961</v>
      </c>
      <c r="G132" s="298" t="s">
        <v>937</v>
      </c>
      <c r="H132" s="19" t="s">
        <v>58</v>
      </c>
      <c r="I132" s="209">
        <v>12</v>
      </c>
      <c r="J132" s="10" t="s">
        <v>1358</v>
      </c>
      <c r="K132" s="21" t="s">
        <v>1479</v>
      </c>
      <c r="L132" s="3"/>
      <c r="M132" s="3"/>
      <c r="N132" s="3"/>
      <c r="O132" s="25">
        <v>43160</v>
      </c>
      <c r="P132" s="25">
        <v>43191</v>
      </c>
      <c r="Q132" s="236"/>
      <c r="R132" s="3" t="s">
        <v>1211</v>
      </c>
      <c r="S132" s="25">
        <v>43271</v>
      </c>
      <c r="T132" s="25">
        <v>43263</v>
      </c>
      <c r="U132" s="107"/>
      <c r="V132" s="107"/>
    </row>
    <row r="133" spans="1:22" ht="39.6" hidden="1">
      <c r="A133" s="139" t="s">
        <v>1072</v>
      </c>
      <c r="B133" s="21" t="s">
        <v>64</v>
      </c>
      <c r="C133" s="46" t="s">
        <v>577</v>
      </c>
      <c r="D133" s="21" t="s">
        <v>230</v>
      </c>
      <c r="E133" s="298" t="s">
        <v>602</v>
      </c>
      <c r="F133" s="298" t="s">
        <v>962</v>
      </c>
      <c r="G133" s="298" t="s">
        <v>947</v>
      </c>
      <c r="H133" s="19" t="s">
        <v>58</v>
      </c>
      <c r="I133" s="209">
        <v>12</v>
      </c>
      <c r="J133" s="10" t="s">
        <v>1358</v>
      </c>
      <c r="K133" s="21" t="s">
        <v>1479</v>
      </c>
      <c r="L133" s="3"/>
      <c r="M133" s="3"/>
      <c r="N133" s="3"/>
      <c r="O133" s="25">
        <v>43160</v>
      </c>
      <c r="P133" s="25">
        <v>43191</v>
      </c>
      <c r="Q133" s="236"/>
      <c r="R133" s="3" t="s">
        <v>1211</v>
      </c>
      <c r="S133" s="25">
        <v>43271</v>
      </c>
      <c r="T133" s="25">
        <v>43263</v>
      </c>
      <c r="U133" s="107"/>
      <c r="V133" s="107"/>
    </row>
    <row r="134" spans="1:22" ht="39.6" hidden="1">
      <c r="A134" s="139" t="s">
        <v>1073</v>
      </c>
      <c r="B134" s="21" t="s">
        <v>64</v>
      </c>
      <c r="C134" s="46" t="s">
        <v>577</v>
      </c>
      <c r="D134" s="21" t="s">
        <v>230</v>
      </c>
      <c r="E134" s="298" t="s">
        <v>602</v>
      </c>
      <c r="F134" s="298" t="s">
        <v>962</v>
      </c>
      <c r="G134" s="298" t="s">
        <v>13</v>
      </c>
      <c r="H134" s="19" t="s">
        <v>58</v>
      </c>
      <c r="I134" s="209">
        <v>12</v>
      </c>
      <c r="J134" s="10" t="s">
        <v>1358</v>
      </c>
      <c r="K134" s="21" t="s">
        <v>1479</v>
      </c>
      <c r="L134" s="3"/>
      <c r="M134" s="3"/>
      <c r="N134" s="3"/>
      <c r="O134" s="25">
        <v>43160</v>
      </c>
      <c r="P134" s="25">
        <v>43191</v>
      </c>
      <c r="Q134" s="236"/>
      <c r="R134" s="3" t="s">
        <v>1211</v>
      </c>
      <c r="S134" s="25">
        <v>43271</v>
      </c>
      <c r="T134" s="25">
        <v>43263</v>
      </c>
      <c r="U134" s="107"/>
      <c r="V134" s="107"/>
    </row>
    <row r="135" spans="1:22" ht="39.6" hidden="1">
      <c r="A135" s="139" t="s">
        <v>1074</v>
      </c>
      <c r="B135" s="21" t="s">
        <v>64</v>
      </c>
      <c r="C135" s="46" t="s">
        <v>577</v>
      </c>
      <c r="D135" s="21" t="s">
        <v>230</v>
      </c>
      <c r="E135" s="298" t="s">
        <v>602</v>
      </c>
      <c r="F135" s="298" t="s">
        <v>962</v>
      </c>
      <c r="G135" s="298" t="s">
        <v>9</v>
      </c>
      <c r="H135" s="19" t="s">
        <v>58</v>
      </c>
      <c r="I135" s="209">
        <v>12</v>
      </c>
      <c r="J135" s="10" t="s">
        <v>1358</v>
      </c>
      <c r="K135" s="21" t="s">
        <v>1479</v>
      </c>
      <c r="L135" s="3"/>
      <c r="M135" s="3"/>
      <c r="N135" s="3"/>
      <c r="O135" s="25">
        <v>43160</v>
      </c>
      <c r="P135" s="25">
        <v>43191</v>
      </c>
      <c r="Q135" s="236"/>
      <c r="R135" s="3" t="s">
        <v>1211</v>
      </c>
      <c r="S135" s="25">
        <v>43271</v>
      </c>
      <c r="T135" s="25">
        <v>43263</v>
      </c>
      <c r="U135" s="107"/>
      <c r="V135" s="107"/>
    </row>
    <row r="136" spans="1:22" ht="39.6" hidden="1">
      <c r="A136" s="139" t="s">
        <v>1075</v>
      </c>
      <c r="B136" s="21" t="s">
        <v>64</v>
      </c>
      <c r="C136" s="46" t="s">
        <v>577</v>
      </c>
      <c r="D136" s="21" t="s">
        <v>230</v>
      </c>
      <c r="E136" s="198" t="s">
        <v>602</v>
      </c>
      <c r="F136" s="198" t="s">
        <v>963</v>
      </c>
      <c r="G136" s="198" t="s">
        <v>6</v>
      </c>
      <c r="H136" s="19" t="s">
        <v>58</v>
      </c>
      <c r="I136" s="209">
        <v>12</v>
      </c>
      <c r="J136" s="10" t="s">
        <v>1358</v>
      </c>
      <c r="K136" s="21" t="s">
        <v>1479</v>
      </c>
      <c r="L136" s="3"/>
      <c r="M136" s="3"/>
      <c r="N136" s="3"/>
      <c r="O136" s="25">
        <v>43160</v>
      </c>
      <c r="P136" s="25">
        <v>43191</v>
      </c>
      <c r="Q136" s="236"/>
      <c r="R136" s="3" t="s">
        <v>1211</v>
      </c>
      <c r="S136" s="25">
        <v>43271</v>
      </c>
      <c r="T136" s="25">
        <v>43263</v>
      </c>
      <c r="U136" s="107"/>
      <c r="V136" s="107"/>
    </row>
    <row r="137" spans="1:22" ht="39.6" hidden="1">
      <c r="A137" s="139" t="s">
        <v>1076</v>
      </c>
      <c r="B137" s="21" t="s">
        <v>64</v>
      </c>
      <c r="C137" s="46" t="s">
        <v>577</v>
      </c>
      <c r="D137" s="21" t="s">
        <v>230</v>
      </c>
      <c r="E137" s="198" t="s">
        <v>602</v>
      </c>
      <c r="F137" s="198" t="s">
        <v>963</v>
      </c>
      <c r="G137" s="198" t="s">
        <v>9</v>
      </c>
      <c r="H137" s="19" t="s">
        <v>58</v>
      </c>
      <c r="I137" s="209">
        <v>12</v>
      </c>
      <c r="J137" s="10" t="s">
        <v>1358</v>
      </c>
      <c r="K137" s="21" t="s">
        <v>1479</v>
      </c>
      <c r="L137" s="3"/>
      <c r="M137" s="3"/>
      <c r="N137" s="3"/>
      <c r="O137" s="25">
        <v>43160</v>
      </c>
      <c r="P137" s="25">
        <v>43191</v>
      </c>
      <c r="Q137" s="236"/>
      <c r="R137" s="3" t="s">
        <v>1211</v>
      </c>
      <c r="S137" s="25">
        <v>43271</v>
      </c>
      <c r="T137" s="25">
        <v>43263</v>
      </c>
      <c r="U137" s="107"/>
      <c r="V137" s="107"/>
    </row>
    <row r="138" spans="1:22" ht="39.6" hidden="1">
      <c r="A138" s="139" t="s">
        <v>1077</v>
      </c>
      <c r="B138" s="21" t="s">
        <v>64</v>
      </c>
      <c r="C138" s="46" t="s">
        <v>577</v>
      </c>
      <c r="D138" s="21" t="s">
        <v>230</v>
      </c>
      <c r="E138" s="198" t="s">
        <v>602</v>
      </c>
      <c r="F138" s="198" t="s">
        <v>963</v>
      </c>
      <c r="G138" s="198" t="s">
        <v>13</v>
      </c>
      <c r="H138" s="19" t="s">
        <v>58</v>
      </c>
      <c r="I138" s="209">
        <v>12</v>
      </c>
      <c r="J138" s="10" t="s">
        <v>1358</v>
      </c>
      <c r="K138" s="21" t="s">
        <v>1479</v>
      </c>
      <c r="L138" s="3"/>
      <c r="M138" s="3"/>
      <c r="N138" s="3"/>
      <c r="O138" s="25">
        <v>43160</v>
      </c>
      <c r="P138" s="25">
        <v>43191</v>
      </c>
      <c r="Q138" s="236"/>
      <c r="R138" s="3" t="s">
        <v>1211</v>
      </c>
      <c r="S138" s="25">
        <v>43271</v>
      </c>
      <c r="T138" s="25">
        <v>43263</v>
      </c>
      <c r="U138" s="107"/>
      <c r="V138" s="107"/>
    </row>
    <row r="139" spans="1:22" ht="39.6" hidden="1">
      <c r="A139" s="139" t="s">
        <v>1078</v>
      </c>
      <c r="B139" s="21" t="s">
        <v>64</v>
      </c>
      <c r="C139" s="46" t="s">
        <v>577</v>
      </c>
      <c r="D139" s="21" t="s">
        <v>230</v>
      </c>
      <c r="E139" s="198" t="s">
        <v>602</v>
      </c>
      <c r="F139" s="198" t="s">
        <v>964</v>
      </c>
      <c r="G139" s="198" t="s">
        <v>936</v>
      </c>
      <c r="H139" s="19" t="s">
        <v>58</v>
      </c>
      <c r="I139" s="209">
        <v>12</v>
      </c>
      <c r="J139" s="10" t="s">
        <v>1358</v>
      </c>
      <c r="K139" s="21" t="s">
        <v>1479</v>
      </c>
      <c r="L139" s="3"/>
      <c r="M139" s="3"/>
      <c r="N139" s="3"/>
      <c r="O139" s="25">
        <v>43160</v>
      </c>
      <c r="P139" s="25">
        <v>43191</v>
      </c>
      <c r="Q139" s="236"/>
      <c r="R139" s="3" t="s">
        <v>1211</v>
      </c>
      <c r="S139" s="25">
        <v>43271</v>
      </c>
      <c r="T139" s="25">
        <v>43263</v>
      </c>
      <c r="U139" s="107"/>
      <c r="V139" s="107"/>
    </row>
    <row r="140" spans="1:22" ht="39.6" hidden="1">
      <c r="A140" s="139" t="s">
        <v>1079</v>
      </c>
      <c r="B140" s="21" t="s">
        <v>64</v>
      </c>
      <c r="C140" s="46" t="s">
        <v>577</v>
      </c>
      <c r="D140" s="21" t="s">
        <v>230</v>
      </c>
      <c r="E140" s="198" t="s">
        <v>602</v>
      </c>
      <c r="F140" s="198" t="s">
        <v>964</v>
      </c>
      <c r="G140" s="198" t="s">
        <v>589</v>
      </c>
      <c r="H140" s="19" t="s">
        <v>58</v>
      </c>
      <c r="I140" s="209">
        <v>12</v>
      </c>
      <c r="J140" s="10" t="s">
        <v>1358</v>
      </c>
      <c r="K140" s="21" t="s">
        <v>1479</v>
      </c>
      <c r="L140" s="3"/>
      <c r="M140" s="3"/>
      <c r="N140" s="3"/>
      <c r="O140" s="25">
        <v>43160</v>
      </c>
      <c r="P140" s="25">
        <v>43191</v>
      </c>
      <c r="Q140" s="236"/>
      <c r="R140" s="3" t="s">
        <v>1211</v>
      </c>
      <c r="S140" s="25">
        <v>43271</v>
      </c>
      <c r="T140" s="25">
        <v>43263</v>
      </c>
      <c r="U140" s="107"/>
      <c r="V140" s="107"/>
    </row>
    <row r="141" spans="1:22" ht="39.6" hidden="1">
      <c r="A141" s="139" t="s">
        <v>1080</v>
      </c>
      <c r="B141" s="21" t="s">
        <v>64</v>
      </c>
      <c r="C141" s="46" t="s">
        <v>577</v>
      </c>
      <c r="D141" s="21" t="s">
        <v>230</v>
      </c>
      <c r="E141" s="198" t="s">
        <v>602</v>
      </c>
      <c r="F141" s="198" t="s">
        <v>964</v>
      </c>
      <c r="G141" s="198" t="s">
        <v>569</v>
      </c>
      <c r="H141" s="19" t="s">
        <v>58</v>
      </c>
      <c r="I141" s="209">
        <v>12</v>
      </c>
      <c r="J141" s="10" t="s">
        <v>1358</v>
      </c>
      <c r="K141" s="21" t="s">
        <v>1479</v>
      </c>
      <c r="L141" s="3"/>
      <c r="M141" s="3"/>
      <c r="N141" s="3"/>
      <c r="O141" s="25">
        <v>43160</v>
      </c>
      <c r="P141" s="25">
        <v>43191</v>
      </c>
      <c r="Q141" s="236"/>
      <c r="R141" s="3" t="s">
        <v>1211</v>
      </c>
      <c r="S141" s="25">
        <v>43271</v>
      </c>
      <c r="T141" s="25">
        <v>43263</v>
      </c>
      <c r="U141" s="107"/>
      <c r="V141" s="107"/>
    </row>
    <row r="142" spans="1:22" ht="39.6" hidden="1">
      <c r="A142" s="139" t="s">
        <v>1081</v>
      </c>
      <c r="B142" s="21" t="s">
        <v>64</v>
      </c>
      <c r="C142" s="46" t="s">
        <v>577</v>
      </c>
      <c r="D142" s="21" t="s">
        <v>230</v>
      </c>
      <c r="E142" s="198" t="s">
        <v>602</v>
      </c>
      <c r="F142" s="198" t="s">
        <v>964</v>
      </c>
      <c r="G142" s="198" t="s">
        <v>575</v>
      </c>
      <c r="H142" s="19" t="s">
        <v>58</v>
      </c>
      <c r="I142" s="209">
        <v>12</v>
      </c>
      <c r="J142" s="10" t="s">
        <v>1358</v>
      </c>
      <c r="K142" s="21" t="s">
        <v>1479</v>
      </c>
      <c r="L142" s="3"/>
      <c r="M142" s="3"/>
      <c r="N142" s="3"/>
      <c r="O142" s="25">
        <v>43160</v>
      </c>
      <c r="P142" s="25">
        <v>43191</v>
      </c>
      <c r="Q142" s="236"/>
      <c r="R142" s="3" t="s">
        <v>1211</v>
      </c>
      <c r="S142" s="25">
        <v>43271</v>
      </c>
      <c r="T142" s="25">
        <v>43263</v>
      </c>
      <c r="U142" s="107"/>
      <c r="V142" s="107"/>
    </row>
    <row r="143" spans="1:22" ht="39.6" hidden="1">
      <c r="A143" s="139" t="s">
        <v>1082</v>
      </c>
      <c r="B143" s="21" t="s">
        <v>64</v>
      </c>
      <c r="C143" s="46" t="s">
        <v>577</v>
      </c>
      <c r="D143" s="21" t="s">
        <v>230</v>
      </c>
      <c r="E143" s="198" t="s">
        <v>602</v>
      </c>
      <c r="F143" s="198" t="s">
        <v>964</v>
      </c>
      <c r="G143" s="198" t="s">
        <v>965</v>
      </c>
      <c r="H143" s="19" t="s">
        <v>58</v>
      </c>
      <c r="I143" s="209">
        <v>12</v>
      </c>
      <c r="J143" s="10" t="s">
        <v>1358</v>
      </c>
      <c r="K143" s="21" t="s">
        <v>1479</v>
      </c>
      <c r="L143" s="3"/>
      <c r="M143" s="3"/>
      <c r="N143" s="3"/>
      <c r="O143" s="25">
        <v>43160</v>
      </c>
      <c r="P143" s="25">
        <v>43191</v>
      </c>
      <c r="Q143" s="236"/>
      <c r="R143" s="3" t="s">
        <v>1211</v>
      </c>
      <c r="S143" s="25">
        <v>43271</v>
      </c>
      <c r="T143" s="25">
        <v>43263</v>
      </c>
      <c r="U143" s="107"/>
      <c r="V143" s="107"/>
    </row>
    <row r="144" spans="1:22" ht="39.6" hidden="1">
      <c r="A144" s="139" t="s">
        <v>1083</v>
      </c>
      <c r="B144" s="21" t="s">
        <v>64</v>
      </c>
      <c r="C144" s="46" t="s">
        <v>577</v>
      </c>
      <c r="D144" s="21" t="s">
        <v>230</v>
      </c>
      <c r="E144" s="198" t="s">
        <v>602</v>
      </c>
      <c r="F144" s="198" t="s">
        <v>966</v>
      </c>
      <c r="G144" s="198" t="s">
        <v>689</v>
      </c>
      <c r="H144" s="19" t="s">
        <v>58</v>
      </c>
      <c r="I144" s="209">
        <v>12</v>
      </c>
      <c r="J144" s="10" t="s">
        <v>1358</v>
      </c>
      <c r="K144" s="21" t="s">
        <v>1479</v>
      </c>
      <c r="L144" s="3"/>
      <c r="M144" s="3"/>
      <c r="N144" s="3"/>
      <c r="O144" s="25">
        <v>43160</v>
      </c>
      <c r="P144" s="25">
        <v>43191</v>
      </c>
      <c r="Q144" s="236"/>
      <c r="R144" s="3" t="s">
        <v>1211</v>
      </c>
      <c r="S144" s="25">
        <v>43271</v>
      </c>
      <c r="T144" s="25">
        <v>43263</v>
      </c>
      <c r="U144" s="107"/>
      <c r="V144" s="107"/>
    </row>
    <row r="145" spans="1:22" ht="39.6" hidden="1">
      <c r="A145" s="139" t="s">
        <v>1084</v>
      </c>
      <c r="B145" s="21" t="s">
        <v>64</v>
      </c>
      <c r="C145" s="46" t="s">
        <v>577</v>
      </c>
      <c r="D145" s="21" t="s">
        <v>230</v>
      </c>
      <c r="E145" s="198" t="s">
        <v>602</v>
      </c>
      <c r="F145" s="198" t="s">
        <v>966</v>
      </c>
      <c r="G145" s="198" t="s">
        <v>65</v>
      </c>
      <c r="H145" s="19" t="s">
        <v>58</v>
      </c>
      <c r="I145" s="209">
        <v>12</v>
      </c>
      <c r="J145" s="10" t="s">
        <v>1358</v>
      </c>
      <c r="K145" s="21" t="s">
        <v>1479</v>
      </c>
      <c r="L145" s="3"/>
      <c r="M145" s="3"/>
      <c r="N145" s="3"/>
      <c r="O145" s="25">
        <v>43160</v>
      </c>
      <c r="P145" s="25">
        <v>43191</v>
      </c>
      <c r="Q145" s="236"/>
      <c r="R145" s="3" t="s">
        <v>1211</v>
      </c>
      <c r="S145" s="25">
        <v>43271</v>
      </c>
      <c r="T145" s="25">
        <v>43263</v>
      </c>
      <c r="U145" s="107"/>
      <c r="V145" s="107"/>
    </row>
    <row r="146" spans="1:22" ht="39.6" hidden="1">
      <c r="A146" s="139" t="s">
        <v>1085</v>
      </c>
      <c r="B146" s="21" t="s">
        <v>64</v>
      </c>
      <c r="C146" s="46" t="s">
        <v>577</v>
      </c>
      <c r="D146" s="21" t="s">
        <v>230</v>
      </c>
      <c r="E146" s="198" t="s">
        <v>602</v>
      </c>
      <c r="F146" s="198" t="s">
        <v>966</v>
      </c>
      <c r="G146" s="198" t="s">
        <v>946</v>
      </c>
      <c r="H146" s="19" t="s">
        <v>58</v>
      </c>
      <c r="I146" s="209">
        <v>12</v>
      </c>
      <c r="J146" s="10" t="s">
        <v>1358</v>
      </c>
      <c r="K146" s="21" t="s">
        <v>1479</v>
      </c>
      <c r="L146" s="3"/>
      <c r="M146" s="3"/>
      <c r="N146" s="3"/>
      <c r="O146" s="25">
        <v>43160</v>
      </c>
      <c r="P146" s="25">
        <v>43191</v>
      </c>
      <c r="Q146" s="236"/>
      <c r="R146" s="3" t="s">
        <v>1211</v>
      </c>
      <c r="S146" s="25">
        <v>43271</v>
      </c>
      <c r="T146" s="25">
        <v>43263</v>
      </c>
      <c r="U146" s="107"/>
      <c r="V146" s="107"/>
    </row>
    <row r="147" spans="1:22" ht="39.6" hidden="1">
      <c r="A147" s="139" t="s">
        <v>1086</v>
      </c>
      <c r="B147" s="21" t="s">
        <v>64</v>
      </c>
      <c r="C147" s="46" t="s">
        <v>577</v>
      </c>
      <c r="D147" s="21" t="s">
        <v>230</v>
      </c>
      <c r="E147" s="198" t="s">
        <v>602</v>
      </c>
      <c r="F147" s="198" t="s">
        <v>967</v>
      </c>
      <c r="G147" s="198" t="s">
        <v>936</v>
      </c>
      <c r="H147" s="19" t="s">
        <v>58</v>
      </c>
      <c r="I147" s="209">
        <v>12</v>
      </c>
      <c r="J147" s="10" t="s">
        <v>1358</v>
      </c>
      <c r="K147" s="21" t="s">
        <v>1479</v>
      </c>
      <c r="L147" s="3"/>
      <c r="M147" s="3"/>
      <c r="N147" s="3"/>
      <c r="O147" s="25">
        <v>43160</v>
      </c>
      <c r="P147" s="25">
        <v>43191</v>
      </c>
      <c r="Q147" s="236"/>
      <c r="R147" s="3" t="s">
        <v>1211</v>
      </c>
      <c r="S147" s="25">
        <v>43271</v>
      </c>
      <c r="T147" s="25">
        <v>43263</v>
      </c>
      <c r="U147" s="107"/>
      <c r="V147" s="107"/>
    </row>
    <row r="148" spans="1:22" ht="39.6" hidden="1">
      <c r="A148" s="139" t="s">
        <v>1087</v>
      </c>
      <c r="B148" s="21" t="s">
        <v>64</v>
      </c>
      <c r="C148" s="46" t="s">
        <v>577</v>
      </c>
      <c r="D148" s="21" t="s">
        <v>230</v>
      </c>
      <c r="E148" s="198" t="s">
        <v>602</v>
      </c>
      <c r="F148" s="198" t="s">
        <v>967</v>
      </c>
      <c r="G148" s="198" t="s">
        <v>937</v>
      </c>
      <c r="H148" s="19" t="s">
        <v>58</v>
      </c>
      <c r="I148" s="209">
        <v>12</v>
      </c>
      <c r="J148" s="10" t="s">
        <v>1358</v>
      </c>
      <c r="K148" s="21" t="s">
        <v>1479</v>
      </c>
      <c r="L148" s="3"/>
      <c r="M148" s="3"/>
      <c r="N148" s="3"/>
      <c r="O148" s="25">
        <v>43160</v>
      </c>
      <c r="P148" s="25">
        <v>43191</v>
      </c>
      <c r="Q148" s="236"/>
      <c r="R148" s="3" t="s">
        <v>1211</v>
      </c>
      <c r="S148" s="25">
        <v>43271</v>
      </c>
      <c r="T148" s="25">
        <v>43263</v>
      </c>
      <c r="U148" s="107"/>
      <c r="V148" s="107"/>
    </row>
    <row r="149" spans="1:22" ht="39.6" hidden="1">
      <c r="A149" s="139" t="s">
        <v>1088</v>
      </c>
      <c r="B149" s="21" t="s">
        <v>64</v>
      </c>
      <c r="C149" s="46" t="s">
        <v>577</v>
      </c>
      <c r="D149" s="21" t="s">
        <v>230</v>
      </c>
      <c r="E149" s="198" t="s">
        <v>945</v>
      </c>
      <c r="F149" s="198" t="s">
        <v>968</v>
      </c>
      <c r="G149" s="198" t="s">
        <v>936</v>
      </c>
      <c r="H149" s="19" t="s">
        <v>58</v>
      </c>
      <c r="I149" s="209">
        <v>12</v>
      </c>
      <c r="J149" s="10" t="s">
        <v>1358</v>
      </c>
      <c r="K149" s="21" t="s">
        <v>1479</v>
      </c>
      <c r="L149" s="3"/>
      <c r="M149" s="3"/>
      <c r="N149" s="3"/>
      <c r="O149" s="25">
        <v>43160</v>
      </c>
      <c r="P149" s="25">
        <v>43191</v>
      </c>
      <c r="Q149" s="236"/>
      <c r="R149" s="3" t="s">
        <v>1211</v>
      </c>
      <c r="S149" s="25">
        <v>43271</v>
      </c>
      <c r="T149" s="25">
        <v>43263</v>
      </c>
      <c r="U149" s="107"/>
      <c r="V149" s="107"/>
    </row>
    <row r="150" spans="1:22" ht="39.6" hidden="1">
      <c r="A150" s="139" t="s">
        <v>1089</v>
      </c>
      <c r="B150" s="21" t="s">
        <v>64</v>
      </c>
      <c r="C150" s="46" t="s">
        <v>577</v>
      </c>
      <c r="D150" s="21" t="s">
        <v>230</v>
      </c>
      <c r="E150" s="198" t="s">
        <v>945</v>
      </c>
      <c r="F150" s="198" t="s">
        <v>968</v>
      </c>
      <c r="G150" s="198" t="s">
        <v>9</v>
      </c>
      <c r="H150" s="19" t="s">
        <v>58</v>
      </c>
      <c r="I150" s="209">
        <v>12</v>
      </c>
      <c r="J150" s="10" t="s">
        <v>1358</v>
      </c>
      <c r="K150" s="21" t="s">
        <v>1479</v>
      </c>
      <c r="L150" s="3"/>
      <c r="M150" s="3"/>
      <c r="N150" s="3"/>
      <c r="O150" s="25">
        <v>43160</v>
      </c>
      <c r="P150" s="25">
        <v>43191</v>
      </c>
      <c r="Q150" s="236"/>
      <c r="R150" s="3" t="s">
        <v>1211</v>
      </c>
      <c r="S150" s="25">
        <v>43271</v>
      </c>
      <c r="T150" s="25">
        <v>43263</v>
      </c>
      <c r="U150" s="107"/>
      <c r="V150" s="107"/>
    </row>
    <row r="151" spans="1:22" ht="39.6" hidden="1">
      <c r="A151" s="139" t="s">
        <v>1090</v>
      </c>
      <c r="B151" s="21" t="s">
        <v>64</v>
      </c>
      <c r="C151" s="46" t="s">
        <v>577</v>
      </c>
      <c r="D151" s="21" t="s">
        <v>230</v>
      </c>
      <c r="E151" s="198" t="s">
        <v>602</v>
      </c>
      <c r="F151" s="198" t="s">
        <v>969</v>
      </c>
      <c r="G151" s="198" t="s">
        <v>575</v>
      </c>
      <c r="H151" s="19" t="s">
        <v>58</v>
      </c>
      <c r="I151" s="209">
        <v>12</v>
      </c>
      <c r="J151" s="10" t="s">
        <v>1358</v>
      </c>
      <c r="K151" s="21" t="s">
        <v>1479</v>
      </c>
      <c r="L151" s="3"/>
      <c r="M151" s="3"/>
      <c r="N151" s="3"/>
      <c r="O151" s="25">
        <v>43160</v>
      </c>
      <c r="P151" s="25">
        <v>43191</v>
      </c>
      <c r="Q151" s="236"/>
      <c r="R151" s="3" t="s">
        <v>1211</v>
      </c>
      <c r="S151" s="25">
        <v>43271</v>
      </c>
      <c r="T151" s="25">
        <v>43263</v>
      </c>
      <c r="U151" s="107"/>
      <c r="V151" s="107"/>
    </row>
    <row r="152" spans="1:22" ht="39.6" hidden="1">
      <c r="A152" s="139" t="s">
        <v>1091</v>
      </c>
      <c r="B152" s="21" t="s">
        <v>64</v>
      </c>
      <c r="C152" s="46" t="s">
        <v>577</v>
      </c>
      <c r="D152" s="21" t="s">
        <v>230</v>
      </c>
      <c r="E152" s="198" t="s">
        <v>602</v>
      </c>
      <c r="F152" s="198" t="s">
        <v>970</v>
      </c>
      <c r="G152" s="198" t="s">
        <v>910</v>
      </c>
      <c r="H152" s="19" t="s">
        <v>58</v>
      </c>
      <c r="I152" s="209">
        <v>12</v>
      </c>
      <c r="J152" s="10" t="s">
        <v>1358</v>
      </c>
      <c r="K152" s="21" t="s">
        <v>1479</v>
      </c>
      <c r="L152" s="3"/>
      <c r="M152" s="3"/>
      <c r="N152" s="3"/>
      <c r="O152" s="25">
        <v>43160</v>
      </c>
      <c r="P152" s="25">
        <v>43191</v>
      </c>
      <c r="Q152" s="236"/>
      <c r="R152" s="3" t="s">
        <v>1211</v>
      </c>
      <c r="S152" s="25">
        <v>43271</v>
      </c>
      <c r="T152" s="25">
        <v>43263</v>
      </c>
      <c r="U152" s="107"/>
      <c r="V152" s="107"/>
    </row>
    <row r="153" spans="1:22" ht="39.6" hidden="1">
      <c r="A153" s="139" t="s">
        <v>1092</v>
      </c>
      <c r="B153" s="21" t="s">
        <v>64</v>
      </c>
      <c r="C153" s="46" t="s">
        <v>577</v>
      </c>
      <c r="D153" s="21" t="s">
        <v>230</v>
      </c>
      <c r="E153" s="198" t="s">
        <v>602</v>
      </c>
      <c r="F153" s="198" t="s">
        <v>970</v>
      </c>
      <c r="G153" s="198" t="s">
        <v>971</v>
      </c>
      <c r="H153" s="19" t="s">
        <v>58</v>
      </c>
      <c r="I153" s="209">
        <v>12</v>
      </c>
      <c r="J153" s="10" t="s">
        <v>1358</v>
      </c>
      <c r="K153" s="21" t="s">
        <v>1479</v>
      </c>
      <c r="L153" s="3"/>
      <c r="M153" s="3"/>
      <c r="N153" s="3"/>
      <c r="O153" s="25">
        <v>43160</v>
      </c>
      <c r="P153" s="25">
        <v>43191</v>
      </c>
      <c r="Q153" s="236"/>
      <c r="R153" s="3" t="s">
        <v>1211</v>
      </c>
      <c r="S153" s="25">
        <v>43271</v>
      </c>
      <c r="T153" s="25">
        <v>43263</v>
      </c>
      <c r="U153" s="107"/>
      <c r="V153" s="107"/>
    </row>
  </sheetData>
  <protectedRanges>
    <protectedRange password="CF7A" sqref="C30" name="区域9_1_1"/>
    <protectedRange password="CF7A" sqref="C33" name="区域9_2_1"/>
    <protectedRange password="DD63" sqref="E40:G60" name="区域1" securityDescriptor="O:WDG:WDD:(A;;CC;;;S-1-5-21-1891859003-1200709052-621696214-358638)"/>
    <protectedRange password="DD63" sqref="E61:G68" name="区域1_1" securityDescriptor="O:WDG:WDD:(A;;CC;;;S-1-5-21-1891859003-1200709052-621696214-358638)"/>
    <protectedRange password="DD63" sqref="E69:G153" name="区域1_2" securityDescriptor="O:WDG:WDD:(A;;CC;;;S-1-5-21-1891859003-1200709052-621696214-358638)"/>
  </protectedRanges>
  <autoFilter ref="A4:V153">
    <filterColumn colId="9">
      <filters>
        <filter val="引擎盖内板锁扣安装加强件总成"/>
      </filters>
    </filterColumn>
  </autoFilter>
  <mergeCells count="4">
    <mergeCell ref="A1:F2"/>
    <mergeCell ref="J2:N2"/>
    <mergeCell ref="O2:R2"/>
    <mergeCell ref="S2:V2"/>
  </mergeCells>
  <phoneticPr fontId="52" type="noConversion"/>
  <conditionalFormatting sqref="H1">
    <cfRule type="expression" dxfId="320" priority="161">
      <formula>$B1="del"</formula>
    </cfRule>
  </conditionalFormatting>
  <conditionalFormatting sqref="I1">
    <cfRule type="expression" dxfId="319" priority="160">
      <formula>$B1="del"</formula>
    </cfRule>
  </conditionalFormatting>
  <conditionalFormatting sqref="G1">
    <cfRule type="expression" dxfId="318" priority="159">
      <formula>$B1="del"</formula>
    </cfRule>
  </conditionalFormatting>
  <conditionalFormatting sqref="J1:K1">
    <cfRule type="expression" dxfId="317" priority="158">
      <formula>$B1="del"</formula>
    </cfRule>
  </conditionalFormatting>
  <conditionalFormatting sqref="L1">
    <cfRule type="expression" dxfId="316" priority="157">
      <formula>$B1="del"</formula>
    </cfRule>
  </conditionalFormatting>
  <conditionalFormatting sqref="B5:G13">
    <cfRule type="expression" dxfId="315" priority="156">
      <formula>$B5="del"</formula>
    </cfRule>
  </conditionalFormatting>
  <conditionalFormatting sqref="R6">
    <cfRule type="cellIs" dxfId="314" priority="137" stopIfTrue="1" operator="equal">
      <formula>"Y"</formula>
    </cfRule>
    <cfRule type="cellIs" dxfId="313" priority="138" stopIfTrue="1" operator="equal">
      <formula>"N"</formula>
    </cfRule>
    <cfRule type="cellIs" dxfId="312" priority="139" stopIfTrue="1" operator="equal">
      <formula>"NA"</formula>
    </cfRule>
  </conditionalFormatting>
  <conditionalFormatting sqref="M9:N13 J5:N5 J6:J8 L6:N8 K6:K153">
    <cfRule type="expression" dxfId="311" priority="155">
      <formula>$B5="del"</formula>
    </cfRule>
  </conditionalFormatting>
  <conditionalFormatting sqref="V5">
    <cfRule type="cellIs" dxfId="310" priority="152" stopIfTrue="1" operator="equal">
      <formula>"R"</formula>
    </cfRule>
    <cfRule type="cellIs" dxfId="309" priority="153" stopIfTrue="1" operator="equal">
      <formula>"Y"</formula>
    </cfRule>
    <cfRule type="cellIs" dxfId="308" priority="154" stopIfTrue="1" operator="equal">
      <formula>"G"</formula>
    </cfRule>
  </conditionalFormatting>
  <conditionalFormatting sqref="R5:R8">
    <cfRule type="cellIs" dxfId="307" priority="149" stopIfTrue="1" operator="equal">
      <formula>"Y"</formula>
    </cfRule>
    <cfRule type="cellIs" dxfId="306" priority="150" stopIfTrue="1" operator="equal">
      <formula>"N"</formula>
    </cfRule>
    <cfRule type="cellIs" dxfId="305" priority="151" stopIfTrue="1" operator="equal">
      <formula>"NA"</formula>
    </cfRule>
  </conditionalFormatting>
  <conditionalFormatting sqref="O5">
    <cfRule type="cellIs" dxfId="304" priority="146" stopIfTrue="1" operator="equal">
      <formula>"Y"</formula>
    </cfRule>
    <cfRule type="cellIs" dxfId="303" priority="147" stopIfTrue="1" operator="equal">
      <formula>"N"</formula>
    </cfRule>
    <cfRule type="cellIs" dxfId="302" priority="148" stopIfTrue="1" operator="equal">
      <formula>"NA"</formula>
    </cfRule>
  </conditionalFormatting>
  <conditionalFormatting sqref="S5">
    <cfRule type="cellIs" dxfId="301" priority="143" stopIfTrue="1" operator="equal">
      <formula>"Y"</formula>
    </cfRule>
    <cfRule type="cellIs" dxfId="300" priority="144" stopIfTrue="1" operator="equal">
      <formula>"N"</formula>
    </cfRule>
    <cfRule type="cellIs" dxfId="299" priority="145" stopIfTrue="1" operator="equal">
      <formula>"NA"</formula>
    </cfRule>
  </conditionalFormatting>
  <conditionalFormatting sqref="V6">
    <cfRule type="cellIs" dxfId="298" priority="140" stopIfTrue="1" operator="equal">
      <formula>"R"</formula>
    </cfRule>
    <cfRule type="cellIs" dxfId="297" priority="141" stopIfTrue="1" operator="equal">
      <formula>"Y"</formula>
    </cfRule>
    <cfRule type="cellIs" dxfId="296" priority="142" stopIfTrue="1" operator="equal">
      <formula>"G"</formula>
    </cfRule>
  </conditionalFormatting>
  <conditionalFormatting sqref="O6">
    <cfRule type="cellIs" dxfId="295" priority="134" stopIfTrue="1" operator="equal">
      <formula>"Y"</formula>
    </cfRule>
    <cfRule type="cellIs" dxfId="294" priority="135" stopIfTrue="1" operator="equal">
      <formula>"N"</formula>
    </cfRule>
    <cfRule type="cellIs" dxfId="293" priority="136" stopIfTrue="1" operator="equal">
      <formula>"NA"</formula>
    </cfRule>
  </conditionalFormatting>
  <conditionalFormatting sqref="S6">
    <cfRule type="cellIs" dxfId="292" priority="131" stopIfTrue="1" operator="equal">
      <formula>"Y"</formula>
    </cfRule>
    <cfRule type="cellIs" dxfId="291" priority="132" stopIfTrue="1" operator="equal">
      <formula>"N"</formula>
    </cfRule>
    <cfRule type="cellIs" dxfId="290" priority="133" stopIfTrue="1" operator="equal">
      <formula>"NA"</formula>
    </cfRule>
  </conditionalFormatting>
  <conditionalFormatting sqref="V7">
    <cfRule type="cellIs" dxfId="289" priority="128" stopIfTrue="1" operator="equal">
      <formula>"R"</formula>
    </cfRule>
    <cfRule type="cellIs" dxfId="288" priority="129" stopIfTrue="1" operator="equal">
      <formula>"Y"</formula>
    </cfRule>
    <cfRule type="cellIs" dxfId="287" priority="130" stopIfTrue="1" operator="equal">
      <formula>"G"</formula>
    </cfRule>
  </conditionalFormatting>
  <conditionalFormatting sqref="R7">
    <cfRule type="cellIs" dxfId="286" priority="125" stopIfTrue="1" operator="equal">
      <formula>"Y"</formula>
    </cfRule>
    <cfRule type="cellIs" dxfId="285" priority="126" stopIfTrue="1" operator="equal">
      <formula>"N"</formula>
    </cfRule>
    <cfRule type="cellIs" dxfId="284" priority="127" stopIfTrue="1" operator="equal">
      <formula>"NA"</formula>
    </cfRule>
  </conditionalFormatting>
  <conditionalFormatting sqref="O7">
    <cfRule type="cellIs" dxfId="283" priority="122" stopIfTrue="1" operator="equal">
      <formula>"Y"</formula>
    </cfRule>
    <cfRule type="cellIs" dxfId="282" priority="123" stopIfTrue="1" operator="equal">
      <formula>"N"</formula>
    </cfRule>
    <cfRule type="cellIs" dxfId="281" priority="124" stopIfTrue="1" operator="equal">
      <formula>"NA"</formula>
    </cfRule>
  </conditionalFormatting>
  <conditionalFormatting sqref="S7">
    <cfRule type="cellIs" dxfId="280" priority="119" stopIfTrue="1" operator="equal">
      <formula>"Y"</formula>
    </cfRule>
    <cfRule type="cellIs" dxfId="279" priority="120" stopIfTrue="1" operator="equal">
      <formula>"N"</formula>
    </cfRule>
    <cfRule type="cellIs" dxfId="278" priority="121" stopIfTrue="1" operator="equal">
      <formula>"NA"</formula>
    </cfRule>
  </conditionalFormatting>
  <conditionalFormatting sqref="V8">
    <cfRule type="cellIs" dxfId="277" priority="116" stopIfTrue="1" operator="equal">
      <formula>"R"</formula>
    </cfRule>
    <cfRule type="cellIs" dxfId="276" priority="117" stopIfTrue="1" operator="equal">
      <formula>"Y"</formula>
    </cfRule>
    <cfRule type="cellIs" dxfId="275" priority="118" stopIfTrue="1" operator="equal">
      <formula>"G"</formula>
    </cfRule>
  </conditionalFormatting>
  <conditionalFormatting sqref="R8">
    <cfRule type="cellIs" dxfId="274" priority="113" stopIfTrue="1" operator="equal">
      <formula>"Y"</formula>
    </cfRule>
    <cfRule type="cellIs" dxfId="273" priority="114" stopIfTrue="1" operator="equal">
      <formula>"N"</formula>
    </cfRule>
    <cfRule type="cellIs" dxfId="272" priority="115" stopIfTrue="1" operator="equal">
      <formula>"NA"</formula>
    </cfRule>
  </conditionalFormatting>
  <conditionalFormatting sqref="O8">
    <cfRule type="cellIs" dxfId="271" priority="110" stopIfTrue="1" operator="equal">
      <formula>"Y"</formula>
    </cfRule>
    <cfRule type="cellIs" dxfId="270" priority="111" stopIfTrue="1" operator="equal">
      <formula>"N"</formula>
    </cfRule>
    <cfRule type="cellIs" dxfId="269" priority="112" stopIfTrue="1" operator="equal">
      <formula>"NA"</formula>
    </cfRule>
  </conditionalFormatting>
  <conditionalFormatting sqref="S8">
    <cfRule type="cellIs" dxfId="268" priority="107" stopIfTrue="1" operator="equal">
      <formula>"Y"</formula>
    </cfRule>
    <cfRule type="cellIs" dxfId="267" priority="108" stopIfTrue="1" operator="equal">
      <formula>"N"</formula>
    </cfRule>
    <cfRule type="cellIs" dxfId="266" priority="109" stopIfTrue="1" operator="equal">
      <formula>"NA"</formula>
    </cfRule>
  </conditionalFormatting>
  <conditionalFormatting sqref="T5:T8">
    <cfRule type="cellIs" dxfId="265" priority="104" stopIfTrue="1" operator="equal">
      <formula>"Y"</formula>
    </cfRule>
    <cfRule type="cellIs" dxfId="264" priority="105" stopIfTrue="1" operator="equal">
      <formula>"N"</formula>
    </cfRule>
    <cfRule type="cellIs" dxfId="263" priority="106" stopIfTrue="1" operator="equal">
      <formula>"NA"</formula>
    </cfRule>
  </conditionalFormatting>
  <conditionalFormatting sqref="T6">
    <cfRule type="cellIs" dxfId="262" priority="101" stopIfTrue="1" operator="equal">
      <formula>"Y"</formula>
    </cfRule>
    <cfRule type="cellIs" dxfId="261" priority="102" stopIfTrue="1" operator="equal">
      <formula>"N"</formula>
    </cfRule>
    <cfRule type="cellIs" dxfId="260" priority="103" stopIfTrue="1" operator="equal">
      <formula>"NA"</formula>
    </cfRule>
  </conditionalFormatting>
  <conditionalFormatting sqref="T7">
    <cfRule type="cellIs" dxfId="259" priority="98" stopIfTrue="1" operator="equal">
      <formula>"Y"</formula>
    </cfRule>
    <cfRule type="cellIs" dxfId="258" priority="99" stopIfTrue="1" operator="equal">
      <formula>"N"</formula>
    </cfRule>
    <cfRule type="cellIs" dxfId="257" priority="100" stopIfTrue="1" operator="equal">
      <formula>"NA"</formula>
    </cfRule>
  </conditionalFormatting>
  <conditionalFormatting sqref="T8">
    <cfRule type="cellIs" dxfId="256" priority="95" stopIfTrue="1" operator="equal">
      <formula>"Y"</formula>
    </cfRule>
    <cfRule type="cellIs" dxfId="255" priority="96" stopIfTrue="1" operator="equal">
      <formula>"N"</formula>
    </cfRule>
    <cfRule type="cellIs" dxfId="254" priority="97" stopIfTrue="1" operator="equal">
      <formula>"NA"</formula>
    </cfRule>
  </conditionalFormatting>
  <conditionalFormatting sqref="P5:P8">
    <cfRule type="cellIs" dxfId="253" priority="92" stopIfTrue="1" operator="equal">
      <formula>"Y"</formula>
    </cfRule>
    <cfRule type="cellIs" dxfId="252" priority="93" stopIfTrue="1" operator="equal">
      <formula>"N"</formula>
    </cfRule>
    <cfRule type="cellIs" dxfId="251" priority="94" stopIfTrue="1" operator="equal">
      <formula>"NA"</formula>
    </cfRule>
  </conditionalFormatting>
  <conditionalFormatting sqref="P6">
    <cfRule type="cellIs" dxfId="250" priority="89" stopIfTrue="1" operator="equal">
      <formula>"Y"</formula>
    </cfRule>
    <cfRule type="cellIs" dxfId="249" priority="90" stopIfTrue="1" operator="equal">
      <formula>"N"</formula>
    </cfRule>
    <cfRule type="cellIs" dxfId="248" priority="91" stopIfTrue="1" operator="equal">
      <formula>"NA"</formula>
    </cfRule>
  </conditionalFormatting>
  <conditionalFormatting sqref="P7">
    <cfRule type="cellIs" dxfId="247" priority="86" stopIfTrue="1" operator="equal">
      <formula>"Y"</formula>
    </cfRule>
    <cfRule type="cellIs" dxfId="246" priority="87" stopIfTrue="1" operator="equal">
      <formula>"N"</formula>
    </cfRule>
    <cfRule type="cellIs" dxfId="245" priority="88" stopIfTrue="1" operator="equal">
      <formula>"NA"</formula>
    </cfRule>
  </conditionalFormatting>
  <conditionalFormatting sqref="P8">
    <cfRule type="cellIs" dxfId="244" priority="83" stopIfTrue="1" operator="equal">
      <formula>"Y"</formula>
    </cfRule>
    <cfRule type="cellIs" dxfId="243" priority="84" stopIfTrue="1" operator="equal">
      <formula>"N"</formula>
    </cfRule>
    <cfRule type="cellIs" dxfId="242" priority="85" stopIfTrue="1" operator="equal">
      <formula>"NA"</formula>
    </cfRule>
  </conditionalFormatting>
  <conditionalFormatting sqref="O31:R153 O30:Q30 O5:R29">
    <cfRule type="expression" dxfId="241" priority="79">
      <formula>AND($V5="",$U5&gt;$U$1,$U5&lt;$V$1)</formula>
    </cfRule>
    <cfRule type="expression" dxfId="240" priority="80">
      <formula>AND($V5="",$U5&lt;$T$1)</formula>
    </cfRule>
    <cfRule type="expression" dxfId="239" priority="81">
      <formula>AND($V5&gt;0)</formula>
    </cfRule>
    <cfRule type="expression" dxfId="238" priority="82">
      <formula>AND($V5="",$U5&lt;&gt;"",$U5&gt;$T$1,$U5&lt;=$U$1)</formula>
    </cfRule>
  </conditionalFormatting>
  <conditionalFormatting sqref="R30 S5:V153">
    <cfRule type="expression" dxfId="237" priority="75">
      <formula>AND($Z5="",$Y5&gt;$U$1,$Y5&lt;$V$1)</formula>
    </cfRule>
    <cfRule type="expression" dxfId="236" priority="76">
      <formula>AND($Z5="",$Y5&gt;$T$1,$Y5&lt;=$U$1)</formula>
    </cfRule>
    <cfRule type="expression" dxfId="235" priority="77">
      <formula>AND($Z5="",$Y5&lt;$T$1)</formula>
    </cfRule>
    <cfRule type="expression" dxfId="234" priority="78">
      <formula>AND($Z5&lt;&gt;"")</formula>
    </cfRule>
  </conditionalFormatting>
  <conditionalFormatting sqref="I9:I13">
    <cfRule type="cellIs" dxfId="233" priority="72" stopIfTrue="1" operator="equal">
      <formula>"Y"</formula>
    </cfRule>
    <cfRule type="cellIs" dxfId="232" priority="73" stopIfTrue="1" operator="equal">
      <formula>"N"</formula>
    </cfRule>
    <cfRule type="cellIs" dxfId="231" priority="74" stopIfTrue="1" operator="equal">
      <formula>"NA"</formula>
    </cfRule>
  </conditionalFormatting>
  <conditionalFormatting sqref="J9:J12 L9:L12">
    <cfRule type="expression" dxfId="230" priority="71">
      <formula>$B10="del"</formula>
    </cfRule>
  </conditionalFormatting>
  <conditionalFormatting sqref="U9:V13">
    <cfRule type="cellIs" dxfId="229" priority="67" stopIfTrue="1" operator="equal">
      <formula>"R"</formula>
    </cfRule>
    <cfRule type="cellIs" dxfId="228" priority="68" stopIfTrue="1" operator="equal">
      <formula>"Y"</formula>
    </cfRule>
    <cfRule type="cellIs" dxfId="227" priority="69" stopIfTrue="1" operator="equal">
      <formula>"G"</formula>
    </cfRule>
  </conditionalFormatting>
  <conditionalFormatting sqref="O9:O13 Q9:S9 R10:S13">
    <cfRule type="cellIs" dxfId="226" priority="64" stopIfTrue="1" operator="equal">
      <formula>"Y"</formula>
    </cfRule>
    <cfRule type="cellIs" dxfId="225" priority="65" stopIfTrue="1" operator="equal">
      <formula>"N"</formula>
    </cfRule>
    <cfRule type="cellIs" dxfId="224" priority="66" stopIfTrue="1" operator="equal">
      <formula>"NA"</formula>
    </cfRule>
  </conditionalFormatting>
  <conditionalFormatting sqref="Q10:R13">
    <cfRule type="cellIs" dxfId="223" priority="61" stopIfTrue="1" operator="equal">
      <formula>"Y"</formula>
    </cfRule>
    <cfRule type="cellIs" dxfId="222" priority="62" stopIfTrue="1" operator="equal">
      <formula>"N"</formula>
    </cfRule>
    <cfRule type="cellIs" dxfId="221" priority="63" stopIfTrue="1" operator="equal">
      <formula>"NA"</formula>
    </cfRule>
  </conditionalFormatting>
  <conditionalFormatting sqref="J13 L13">
    <cfRule type="expression" dxfId="220" priority="70">
      <formula>#REF!="del"</formula>
    </cfRule>
  </conditionalFormatting>
  <conditionalFormatting sqref="T9:T13">
    <cfRule type="cellIs" dxfId="219" priority="58" stopIfTrue="1" operator="equal">
      <formula>"Y"</formula>
    </cfRule>
    <cfRule type="cellIs" dxfId="218" priority="59" stopIfTrue="1" operator="equal">
      <formula>"N"</formula>
    </cfRule>
    <cfRule type="cellIs" dxfId="217" priority="60" stopIfTrue="1" operator="equal">
      <formula>"NA"</formula>
    </cfRule>
  </conditionalFormatting>
  <conditionalFormatting sqref="P9:P13">
    <cfRule type="cellIs" dxfId="216" priority="55" stopIfTrue="1" operator="equal">
      <formula>"Y"</formula>
    </cfRule>
    <cfRule type="cellIs" dxfId="215" priority="56" stopIfTrue="1" operator="equal">
      <formula>"N"</formula>
    </cfRule>
    <cfRule type="cellIs" dxfId="214" priority="57" stopIfTrue="1" operator="equal">
      <formula>"NA"</formula>
    </cfRule>
  </conditionalFormatting>
  <conditionalFormatting sqref="I25:I29 I15:I21">
    <cfRule type="cellIs" dxfId="213" priority="52" stopIfTrue="1" operator="equal">
      <formula>"Y"</formula>
    </cfRule>
    <cfRule type="cellIs" dxfId="212" priority="53" stopIfTrue="1" operator="equal">
      <formula>"N"</formula>
    </cfRule>
    <cfRule type="cellIs" dxfId="211" priority="54" stopIfTrue="1" operator="equal">
      <formula>"NA"</formula>
    </cfRule>
  </conditionalFormatting>
  <conditionalFormatting sqref="U40:U41 U42:V153 R30 T14:V30">
    <cfRule type="expression" dxfId="210" priority="48">
      <formula>AND($Z14&gt;0)</formula>
    </cfRule>
    <cfRule type="expression" dxfId="209" priority="49">
      <formula>AND($Z14="",$Y14&lt;&gt;"",$Y14&gt;$U$1,$Y14&lt;=$V$1)</formula>
    </cfRule>
    <cfRule type="expression" dxfId="208" priority="50">
      <formula>AND($Z14="",$Y14&lt;&gt;"",$Y14&gt;$T$1,$Y14&lt;=$V$1)</formula>
    </cfRule>
    <cfRule type="expression" dxfId="207" priority="51">
      <formula>AND($Z14="",$Y14&lt;&gt;"",$Y14&lt;=$T$1)</formula>
    </cfRule>
  </conditionalFormatting>
  <conditionalFormatting sqref="Q14:R23 Q28:R28 O14:O30 S14:S30 R24:R27 R29">
    <cfRule type="cellIs" dxfId="206" priority="45" stopIfTrue="1" operator="equal">
      <formula>"Y"</formula>
    </cfRule>
    <cfRule type="cellIs" dxfId="205" priority="46" stopIfTrue="1" operator="equal">
      <formula>"N"</formula>
    </cfRule>
    <cfRule type="cellIs" dxfId="204" priority="47" stopIfTrue="1" operator="equal">
      <formula>"NA"</formula>
    </cfRule>
  </conditionalFormatting>
  <conditionalFormatting sqref="J36:J39 N38:N39 E36:G36 F37:G37 B36:C37 C38:C39 G38:G39 B32:B35 D31:D39 L36:L39">
    <cfRule type="expression" dxfId="203" priority="44">
      <formula>$B31="del"</formula>
    </cfRule>
  </conditionalFormatting>
  <conditionalFormatting sqref="V31">
    <cfRule type="cellIs" dxfId="202" priority="41" stopIfTrue="1" operator="equal">
      <formula>"R"</formula>
    </cfRule>
    <cfRule type="cellIs" dxfId="201" priority="42" stopIfTrue="1" operator="equal">
      <formula>"Y"</formula>
    </cfRule>
    <cfRule type="cellIs" dxfId="200" priority="43" stopIfTrue="1" operator="equal">
      <formula>"G"</formula>
    </cfRule>
  </conditionalFormatting>
  <conditionalFormatting sqref="O38:O39 Q36:S39 T36:T37 Q32:R32 R33:R35 S32:T35 I32:I39 O31:O35 R31">
    <cfRule type="cellIs" dxfId="199" priority="38" stopIfTrue="1" operator="equal">
      <formula>"Y"</formula>
    </cfRule>
    <cfRule type="cellIs" dxfId="198" priority="39" stopIfTrue="1" operator="equal">
      <formula>"N"</formula>
    </cfRule>
    <cfRule type="cellIs" dxfId="197" priority="40" stopIfTrue="1" operator="equal">
      <formula>"NA"</formula>
    </cfRule>
  </conditionalFormatting>
  <conditionalFormatting sqref="P38:P39 P31:P35">
    <cfRule type="cellIs" dxfId="196" priority="35" stopIfTrue="1" operator="equal">
      <formula>"Y"</formula>
    </cfRule>
    <cfRule type="cellIs" dxfId="195" priority="36" stopIfTrue="1" operator="equal">
      <formula>"N"</formula>
    </cfRule>
    <cfRule type="cellIs" dxfId="194" priority="37" stopIfTrue="1" operator="equal">
      <formula>"NA"</formula>
    </cfRule>
  </conditionalFormatting>
  <conditionalFormatting sqref="T31">
    <cfRule type="cellIs" dxfId="193" priority="32" stopIfTrue="1" operator="equal">
      <formula>"Y"</formula>
    </cfRule>
    <cfRule type="cellIs" dxfId="192" priority="33" stopIfTrue="1" operator="equal">
      <formula>"N"</formula>
    </cfRule>
    <cfRule type="cellIs" dxfId="191" priority="34" stopIfTrue="1" operator="equal">
      <formula>"NA"</formula>
    </cfRule>
  </conditionalFormatting>
  <conditionalFormatting sqref="V38:V39 V34:V35">
    <cfRule type="cellIs" dxfId="190" priority="29" stopIfTrue="1" operator="equal">
      <formula>"R"</formula>
    </cfRule>
    <cfRule type="cellIs" dxfId="189" priority="30" stopIfTrue="1" operator="equal">
      <formula>"Y"</formula>
    </cfRule>
    <cfRule type="cellIs" dxfId="188" priority="31" stopIfTrue="1" operator="equal">
      <formula>"G"</formula>
    </cfRule>
  </conditionalFormatting>
  <conditionalFormatting sqref="B38:B39">
    <cfRule type="expression" dxfId="187" priority="28">
      <formula>$B38="del"</formula>
    </cfRule>
  </conditionalFormatting>
  <conditionalFormatting sqref="E56:G72 F73:G73 E74:F74 E75:G153">
    <cfRule type="expression" dxfId="186" priority="27">
      <formula>$B56="del"</formula>
    </cfRule>
  </conditionalFormatting>
  <conditionalFormatting sqref="E40:G40 E50 G50 E41:E44 G41:G44">
    <cfRule type="expression" dxfId="185" priority="26">
      <formula>$B40="del"</formula>
    </cfRule>
  </conditionalFormatting>
  <conditionalFormatting sqref="E49 G49">
    <cfRule type="expression" dxfId="184" priority="23">
      <formula>$B49="del"</formula>
    </cfRule>
  </conditionalFormatting>
  <conditionalFormatting sqref="E45 G45">
    <cfRule type="expression" dxfId="183" priority="25">
      <formula>$B45="del"</formula>
    </cfRule>
  </conditionalFormatting>
  <conditionalFormatting sqref="E46 G46">
    <cfRule type="expression" dxfId="182" priority="24">
      <formula>$B46="del"</formula>
    </cfRule>
  </conditionalFormatting>
  <conditionalFormatting sqref="E48 G48">
    <cfRule type="expression" dxfId="181" priority="21">
      <formula>$B48="del"</formula>
    </cfRule>
  </conditionalFormatting>
  <conditionalFormatting sqref="E47 G47">
    <cfRule type="expression" dxfId="180" priority="22">
      <formula>$B47="del"</formula>
    </cfRule>
  </conditionalFormatting>
  <conditionalFormatting sqref="E55:G55">
    <cfRule type="expression" dxfId="179" priority="20">
      <formula>$B55="del"</formula>
    </cfRule>
  </conditionalFormatting>
  <conditionalFormatting sqref="E53 G53">
    <cfRule type="expression" dxfId="178" priority="16">
      <formula>$B53="del"</formula>
    </cfRule>
  </conditionalFormatting>
  <conditionalFormatting sqref="E52 G52">
    <cfRule type="expression" dxfId="177" priority="19">
      <formula>$B52="del"</formula>
    </cfRule>
  </conditionalFormatting>
  <conditionalFormatting sqref="E51 G51">
    <cfRule type="expression" dxfId="176" priority="18">
      <formula>$B51="del"</formula>
    </cfRule>
  </conditionalFormatting>
  <conditionalFormatting sqref="E54 G54">
    <cfRule type="expression" dxfId="175" priority="17">
      <formula>$B54="del"</formula>
    </cfRule>
  </conditionalFormatting>
  <conditionalFormatting sqref="E73">
    <cfRule type="expression" dxfId="174" priority="15">
      <formula>$B73="del"</formula>
    </cfRule>
  </conditionalFormatting>
  <conditionalFormatting sqref="G74">
    <cfRule type="expression" dxfId="173" priority="14">
      <formula>$B74="del"</formula>
    </cfRule>
  </conditionalFormatting>
  <conditionalFormatting sqref="B40:D153">
    <cfRule type="expression" dxfId="172" priority="13">
      <formula>$B40="del"</formula>
    </cfRule>
  </conditionalFormatting>
  <conditionalFormatting sqref="I40:I153">
    <cfRule type="cellIs" dxfId="171" priority="10" stopIfTrue="1" operator="equal">
      <formula>"Y"</formula>
    </cfRule>
    <cfRule type="cellIs" dxfId="170" priority="11" stopIfTrue="1" operator="equal">
      <formula>"N"</formula>
    </cfRule>
    <cfRule type="cellIs" dxfId="169" priority="12" stopIfTrue="1" operator="equal">
      <formula>"NA"</formula>
    </cfRule>
  </conditionalFormatting>
  <conditionalFormatting sqref="O144:O153 T40:T153 P40:Q153">
    <cfRule type="cellIs" dxfId="168" priority="7" stopIfTrue="1" operator="equal">
      <formula>"Y"</formula>
    </cfRule>
    <cfRule type="cellIs" dxfId="167" priority="8" stopIfTrue="1" operator="equal">
      <formula>"N"</formula>
    </cfRule>
    <cfRule type="cellIs" dxfId="166" priority="9" stopIfTrue="1" operator="equal">
      <formula>"NA"</formula>
    </cfRule>
  </conditionalFormatting>
  <conditionalFormatting sqref="S40:S153">
    <cfRule type="cellIs" dxfId="165" priority="4" stopIfTrue="1" operator="equal">
      <formula>"Y"</formula>
    </cfRule>
    <cfRule type="cellIs" dxfId="164" priority="5" stopIfTrue="1" operator="equal">
      <formula>"N"</formula>
    </cfRule>
    <cfRule type="cellIs" dxfId="163" priority="6" stopIfTrue="1" operator="equal">
      <formula>"NA"</formula>
    </cfRule>
  </conditionalFormatting>
  <conditionalFormatting sqref="O40:O143">
    <cfRule type="cellIs" dxfId="162" priority="1" stopIfTrue="1" operator="equal">
      <formula>"Y"</formula>
    </cfRule>
    <cfRule type="cellIs" dxfId="161" priority="2" stopIfTrue="1" operator="equal">
      <formula>"N"</formula>
    </cfRule>
    <cfRule type="cellIs" dxfId="160" priority="3" stopIfTrue="1" operator="equal">
      <formula>"NA"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Freeze_Panes">
                <anchor moveWithCells="1" sizeWithCells="1">
                  <from>
                    <xdr:col>0</xdr:col>
                    <xdr:colOff>190500</xdr:colOff>
                    <xdr:row>0</xdr:row>
                    <xdr:rowOff>83820</xdr:rowOff>
                  </from>
                  <to>
                    <xdr:col>2</xdr:col>
                    <xdr:colOff>106680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nFreeze_Panes">
                <anchor moveWithCells="1" sizeWithCells="1">
                  <from>
                    <xdr:col>0</xdr:col>
                    <xdr:colOff>190500</xdr:colOff>
                    <xdr:row>1</xdr:row>
                    <xdr:rowOff>22860</xdr:rowOff>
                  </from>
                  <to>
                    <xdr:col>2</xdr:col>
                    <xdr:colOff>106680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lear_Filter">
                <anchor moveWithCells="1" sizeWithCells="1">
                  <from>
                    <xdr:col>2</xdr:col>
                    <xdr:colOff>114300</xdr:colOff>
                    <xdr:row>0</xdr:row>
                    <xdr:rowOff>83820</xdr:rowOff>
                  </from>
                  <to>
                    <xdr:col>2</xdr:col>
                    <xdr:colOff>975360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>
                <anchor moveWithCells="1">
                  <from>
                    <xdr:col>17</xdr:col>
                    <xdr:colOff>121920</xdr:colOff>
                    <xdr:row>0</xdr:row>
                    <xdr:rowOff>60960</xdr:rowOff>
                  </from>
                  <to>
                    <xdr:col>17</xdr:col>
                    <xdr:colOff>1051560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>
                <anchor moveWithCells="1">
                  <from>
                    <xdr:col>17</xdr:col>
                    <xdr:colOff>922020</xdr:colOff>
                    <xdr:row>0</xdr:row>
                    <xdr:rowOff>60960</xdr:rowOff>
                  </from>
                  <to>
                    <xdr:col>18</xdr:col>
                    <xdr:colOff>609600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Button 6">
              <controlPr defaultSize="0" print="0" autoFill="0" autoPict="0" macro="[0]!Filter_Overdue">
                <anchor moveWithCells="1" sizeWithCells="1">
                  <from>
                    <xdr:col>19</xdr:col>
                    <xdr:colOff>38100</xdr:colOff>
                    <xdr:row>0</xdr:row>
                    <xdr:rowOff>99060</xdr:rowOff>
                  </from>
                  <to>
                    <xdr:col>20</xdr:col>
                    <xdr:colOff>38100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Button 7">
              <controlPr defaultSize="0" print="0" autoFill="0" autoPict="0" macro="[0]!Filter_Yellow">
                <anchor moveWithCells="1" sizeWithCells="1">
                  <from>
                    <xdr:col>20</xdr:col>
                    <xdr:colOff>99060</xdr:colOff>
                    <xdr:row>0</xdr:row>
                    <xdr:rowOff>99060</xdr:rowOff>
                  </from>
                  <to>
                    <xdr:col>21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Filter_Blue">
                <anchor moveWithCells="1" sizeWithCells="1">
                  <from>
                    <xdr:col>21</xdr:col>
                    <xdr:colOff>365760</xdr:colOff>
                    <xdr:row>0</xdr:row>
                    <xdr:rowOff>99060</xdr:rowOff>
                  </from>
                  <to>
                    <xdr:col>23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16"/>
  <sheetViews>
    <sheetView workbookViewId="0">
      <selection activeCell="O7" sqref="O7"/>
    </sheetView>
  </sheetViews>
  <sheetFormatPr defaultRowHeight="13.2"/>
  <cols>
    <col min="2" max="2" width="0" hidden="1" customWidth="1"/>
    <col min="3" max="3" width="10.33203125" hidden="1" customWidth="1"/>
    <col min="5" max="9" width="0" hidden="1" customWidth="1"/>
    <col min="10" max="10" width="25.109375" customWidth="1"/>
    <col min="11" max="11" width="27.5546875" customWidth="1"/>
    <col min="12" max="12" width="12.33203125" customWidth="1"/>
    <col min="13" max="13" width="21.88671875" customWidth="1"/>
    <col min="14" max="14" width="11.5546875" customWidth="1"/>
    <col min="15" max="15" width="12.6640625" customWidth="1"/>
    <col min="18" max="18" width="30.6640625" customWidth="1"/>
    <col min="19" max="21" width="0" hidden="1" customWidth="1"/>
    <col min="22" max="22" width="9.5546875" hidden="1" customWidth="1"/>
  </cols>
  <sheetData>
    <row r="1" spans="1:22" ht="27.75" customHeight="1">
      <c r="A1" s="348" t="s">
        <v>1195</v>
      </c>
      <c r="B1" s="349"/>
      <c r="C1" s="349"/>
      <c r="D1" s="349"/>
      <c r="E1" s="349"/>
      <c r="F1" s="350"/>
      <c r="G1" s="359" t="s">
        <v>268</v>
      </c>
      <c r="H1" s="359" t="s">
        <v>47</v>
      </c>
      <c r="I1" s="360" t="s">
        <v>269</v>
      </c>
      <c r="J1" s="361"/>
      <c r="K1" s="362"/>
      <c r="L1" s="362"/>
      <c r="M1" s="363"/>
      <c r="N1" s="364"/>
      <c r="O1" s="365">
        <v>43168</v>
      </c>
      <c r="P1" s="366">
        <v>43175</v>
      </c>
      <c r="Q1" s="367">
        <v>43182</v>
      </c>
      <c r="R1" s="368"/>
      <c r="S1" s="28"/>
      <c r="T1" s="138"/>
      <c r="U1" s="26"/>
      <c r="V1" s="26"/>
    </row>
    <row r="2" spans="1:22" ht="15.75" customHeight="1">
      <c r="A2" s="393" t="s">
        <v>20</v>
      </c>
      <c r="B2" s="346"/>
      <c r="C2" s="346"/>
      <c r="D2" s="393" t="s">
        <v>1482</v>
      </c>
      <c r="E2" s="346"/>
      <c r="F2" s="346"/>
      <c r="G2" s="18">
        <v>43278</v>
      </c>
      <c r="H2" s="18">
        <v>43299</v>
      </c>
      <c r="I2" s="18">
        <v>43390</v>
      </c>
      <c r="J2" s="394" t="s">
        <v>26</v>
      </c>
      <c r="K2" s="394"/>
      <c r="L2" s="394"/>
      <c r="M2" s="395"/>
      <c r="N2" s="394"/>
      <c r="O2" s="396" t="s">
        <v>59</v>
      </c>
      <c r="P2" s="396"/>
      <c r="Q2" s="396"/>
      <c r="R2" s="397"/>
      <c r="S2" s="388" t="s">
        <v>60</v>
      </c>
      <c r="T2" s="388"/>
      <c r="U2" s="388"/>
      <c r="V2" s="388"/>
    </row>
    <row r="3" spans="1:22" ht="53.4" thickBot="1">
      <c r="A3" s="393"/>
      <c r="B3" s="338" t="s">
        <v>52</v>
      </c>
      <c r="C3" s="338" t="s">
        <v>29</v>
      </c>
      <c r="D3" s="393"/>
      <c r="E3" s="338" t="s">
        <v>10</v>
      </c>
      <c r="F3" s="338" t="s">
        <v>11</v>
      </c>
      <c r="G3" s="338" t="s">
        <v>12</v>
      </c>
      <c r="H3" s="338" t="s">
        <v>23</v>
      </c>
      <c r="I3" s="338" t="s">
        <v>24</v>
      </c>
      <c r="J3" s="339" t="s">
        <v>16</v>
      </c>
      <c r="K3" s="339" t="s">
        <v>17</v>
      </c>
      <c r="L3" s="339" t="s">
        <v>1478</v>
      </c>
      <c r="M3" s="340" t="s">
        <v>1477</v>
      </c>
      <c r="N3" s="341" t="s">
        <v>1</v>
      </c>
      <c r="O3" s="342" t="s">
        <v>67</v>
      </c>
      <c r="P3" s="342" t="s">
        <v>54</v>
      </c>
      <c r="Q3" s="342" t="s">
        <v>18</v>
      </c>
      <c r="R3" s="342" t="s">
        <v>31</v>
      </c>
      <c r="S3" s="356" t="s">
        <v>68</v>
      </c>
      <c r="T3" s="41" t="s">
        <v>28</v>
      </c>
      <c r="U3" s="41" t="s">
        <v>22</v>
      </c>
      <c r="V3" s="45" t="s">
        <v>32</v>
      </c>
    </row>
    <row r="4" spans="1:22">
      <c r="A4" s="327">
        <v>149</v>
      </c>
      <c r="B4" s="338">
        <v>149</v>
      </c>
      <c r="C4" s="338">
        <v>149</v>
      </c>
      <c r="D4" s="338">
        <v>149</v>
      </c>
      <c r="E4" s="338">
        <v>149</v>
      </c>
      <c r="F4" s="338">
        <v>149</v>
      </c>
      <c r="G4" s="338">
        <v>149</v>
      </c>
      <c r="H4" s="338">
        <v>149</v>
      </c>
      <c r="I4" s="338">
        <v>142</v>
      </c>
      <c r="J4" s="327">
        <v>148</v>
      </c>
      <c r="K4" s="327">
        <v>35</v>
      </c>
      <c r="L4" s="327"/>
      <c r="M4" s="327">
        <v>35</v>
      </c>
      <c r="N4" s="327">
        <v>34</v>
      </c>
      <c r="O4" s="327">
        <v>149</v>
      </c>
      <c r="P4" s="327">
        <v>149</v>
      </c>
      <c r="Q4" s="327">
        <v>0</v>
      </c>
      <c r="R4" s="327">
        <v>149</v>
      </c>
      <c r="S4" s="125">
        <v>149</v>
      </c>
      <c r="T4" s="125">
        <v>149</v>
      </c>
      <c r="U4" s="125">
        <v>0</v>
      </c>
      <c r="V4" s="125">
        <v>5</v>
      </c>
    </row>
    <row r="5" spans="1:22" ht="30" customHeight="1">
      <c r="A5" s="139">
        <v>1</v>
      </c>
      <c r="B5" s="15" t="s">
        <v>306</v>
      </c>
      <c r="C5" s="56" t="s">
        <v>307</v>
      </c>
      <c r="D5" s="15" t="s">
        <v>231</v>
      </c>
      <c r="E5" s="15" t="s">
        <v>313</v>
      </c>
      <c r="F5" s="15" t="s">
        <v>318</v>
      </c>
      <c r="G5" s="15" t="s">
        <v>319</v>
      </c>
      <c r="H5" s="3" t="s">
        <v>61</v>
      </c>
      <c r="I5" s="5">
        <v>8</v>
      </c>
      <c r="J5" s="15" t="s">
        <v>320</v>
      </c>
      <c r="K5" s="35" t="s">
        <v>321</v>
      </c>
      <c r="L5" s="373">
        <v>4</v>
      </c>
      <c r="M5" s="15" t="s">
        <v>1203</v>
      </c>
      <c r="N5" s="15" t="s">
        <v>312</v>
      </c>
      <c r="O5" s="4">
        <v>43160</v>
      </c>
      <c r="P5" s="4" t="s">
        <v>1204</v>
      </c>
      <c r="Q5" s="4"/>
      <c r="R5" s="311" t="s">
        <v>1460</v>
      </c>
      <c r="S5" s="357">
        <v>43224</v>
      </c>
      <c r="T5" s="25">
        <v>43230</v>
      </c>
      <c r="U5" s="4"/>
      <c r="V5" s="54"/>
    </row>
    <row r="6" spans="1:22" ht="30" customHeight="1">
      <c r="A6" s="139">
        <v>2</v>
      </c>
      <c r="B6" s="15" t="s">
        <v>340</v>
      </c>
      <c r="C6" s="370" t="s">
        <v>341</v>
      </c>
      <c r="D6" s="15" t="s">
        <v>231</v>
      </c>
      <c r="E6" s="233" t="s">
        <v>282</v>
      </c>
      <c r="F6" s="245" t="s">
        <v>342</v>
      </c>
      <c r="G6" s="233" t="s">
        <v>6</v>
      </c>
      <c r="H6" s="3" t="s">
        <v>61</v>
      </c>
      <c r="I6" s="5">
        <v>4</v>
      </c>
      <c r="J6" s="242" t="s">
        <v>343</v>
      </c>
      <c r="K6" s="371" t="s">
        <v>344</v>
      </c>
      <c r="L6" s="373">
        <v>1</v>
      </c>
      <c r="M6" s="35" t="s">
        <v>345</v>
      </c>
      <c r="N6" s="239" t="s">
        <v>233</v>
      </c>
      <c r="O6" s="4">
        <v>43164</v>
      </c>
      <c r="P6" s="4">
        <v>43228</v>
      </c>
      <c r="Q6" s="4"/>
      <c r="R6" s="311" t="s">
        <v>1483</v>
      </c>
      <c r="S6" s="357">
        <v>43191</v>
      </c>
      <c r="T6" s="25">
        <v>43255</v>
      </c>
      <c r="U6" s="4"/>
      <c r="V6" s="54"/>
    </row>
    <row r="7" spans="1:22" ht="30" customHeight="1">
      <c r="A7" s="139">
        <v>3</v>
      </c>
      <c r="B7" s="15" t="s">
        <v>340</v>
      </c>
      <c r="C7" s="370" t="s">
        <v>341</v>
      </c>
      <c r="D7" s="15" t="s">
        <v>231</v>
      </c>
      <c r="E7" s="233" t="s">
        <v>347</v>
      </c>
      <c r="F7" s="245" t="s">
        <v>348</v>
      </c>
      <c r="G7" s="233" t="s">
        <v>6</v>
      </c>
      <c r="H7" s="3" t="s">
        <v>61</v>
      </c>
      <c r="I7" s="5">
        <v>4</v>
      </c>
      <c r="J7" s="242" t="s">
        <v>349</v>
      </c>
      <c r="K7" s="371" t="s">
        <v>350</v>
      </c>
      <c r="L7" s="373">
        <v>1</v>
      </c>
      <c r="M7" s="35" t="s">
        <v>345</v>
      </c>
      <c r="N7" s="239" t="s">
        <v>233</v>
      </c>
      <c r="O7" s="4">
        <v>43164</v>
      </c>
      <c r="P7" s="4">
        <v>43228</v>
      </c>
      <c r="Q7" s="4"/>
      <c r="R7" s="311" t="s">
        <v>1483</v>
      </c>
      <c r="S7" s="357">
        <v>43191</v>
      </c>
      <c r="T7" s="25">
        <v>43255</v>
      </c>
      <c r="U7" s="4"/>
      <c r="V7" s="54"/>
    </row>
    <row r="8" spans="1:22" ht="30" customHeight="1">
      <c r="A8" s="139">
        <v>4</v>
      </c>
      <c r="B8" s="15" t="s">
        <v>340</v>
      </c>
      <c r="C8" s="370" t="s">
        <v>341</v>
      </c>
      <c r="D8" s="15" t="s">
        <v>231</v>
      </c>
      <c r="E8" s="233" t="s">
        <v>282</v>
      </c>
      <c r="F8" s="245" t="s">
        <v>351</v>
      </c>
      <c r="G8" s="233" t="s">
        <v>352</v>
      </c>
      <c r="H8" s="3" t="s">
        <v>61</v>
      </c>
      <c r="I8" s="5">
        <v>4</v>
      </c>
      <c r="J8" s="238" t="s">
        <v>353</v>
      </c>
      <c r="K8" s="371" t="s">
        <v>354</v>
      </c>
      <c r="L8" s="373">
        <v>1</v>
      </c>
      <c r="M8" s="35" t="s">
        <v>345</v>
      </c>
      <c r="N8" s="239" t="s">
        <v>233</v>
      </c>
      <c r="O8" s="4">
        <v>43164</v>
      </c>
      <c r="P8" s="4">
        <v>43228</v>
      </c>
      <c r="Q8" s="4"/>
      <c r="R8" s="311" t="s">
        <v>1483</v>
      </c>
      <c r="S8" s="357">
        <v>43191</v>
      </c>
      <c r="T8" s="25">
        <v>43255</v>
      </c>
      <c r="U8" s="4"/>
      <c r="V8" s="54"/>
    </row>
    <row r="9" spans="1:22" ht="30" customHeight="1">
      <c r="A9" s="139">
        <v>5</v>
      </c>
      <c r="B9" s="15" t="s">
        <v>340</v>
      </c>
      <c r="C9" s="370" t="s">
        <v>341</v>
      </c>
      <c r="D9" s="15" t="s">
        <v>231</v>
      </c>
      <c r="E9" s="233" t="s">
        <v>282</v>
      </c>
      <c r="F9" s="245" t="s">
        <v>355</v>
      </c>
      <c r="G9" s="233" t="s">
        <v>352</v>
      </c>
      <c r="H9" s="3" t="s">
        <v>61</v>
      </c>
      <c r="I9" s="5">
        <v>4</v>
      </c>
      <c r="J9" s="242" t="s">
        <v>356</v>
      </c>
      <c r="K9" s="371" t="s">
        <v>354</v>
      </c>
      <c r="L9" s="373">
        <v>1</v>
      </c>
      <c r="M9" s="35" t="s">
        <v>345</v>
      </c>
      <c r="N9" s="239" t="s">
        <v>233</v>
      </c>
      <c r="O9" s="4">
        <v>43164</v>
      </c>
      <c r="P9" s="4">
        <v>43228</v>
      </c>
      <c r="Q9" s="4"/>
      <c r="R9" s="311" t="s">
        <v>1484</v>
      </c>
      <c r="S9" s="357">
        <v>43191</v>
      </c>
      <c r="T9" s="25">
        <v>43255</v>
      </c>
      <c r="U9" s="25"/>
      <c r="V9" s="237"/>
    </row>
    <row r="10" spans="1:22" ht="30" customHeight="1">
      <c r="A10" s="139">
        <v>6</v>
      </c>
      <c r="B10" s="15" t="s">
        <v>340</v>
      </c>
      <c r="C10" s="370" t="s">
        <v>341</v>
      </c>
      <c r="D10" s="15" t="s">
        <v>231</v>
      </c>
      <c r="E10" s="233" t="s">
        <v>357</v>
      </c>
      <c r="F10" s="245" t="s">
        <v>358</v>
      </c>
      <c r="G10" s="233" t="s">
        <v>359</v>
      </c>
      <c r="H10" s="3" t="s">
        <v>61</v>
      </c>
      <c r="I10" s="5">
        <v>4</v>
      </c>
      <c r="J10" s="238" t="s">
        <v>360</v>
      </c>
      <c r="K10" s="371" t="s">
        <v>361</v>
      </c>
      <c r="L10" s="373">
        <v>1</v>
      </c>
      <c r="M10" s="35" t="s">
        <v>345</v>
      </c>
      <c r="N10" s="239" t="s">
        <v>233</v>
      </c>
      <c r="O10" s="4">
        <v>43164</v>
      </c>
      <c r="P10" s="4">
        <v>43228</v>
      </c>
      <c r="Q10" s="4"/>
      <c r="R10" s="311" t="s">
        <v>1483</v>
      </c>
      <c r="S10" s="357">
        <v>43191</v>
      </c>
      <c r="T10" s="25">
        <v>43255</v>
      </c>
      <c r="U10" s="25"/>
      <c r="V10" s="237"/>
    </row>
    <row r="11" spans="1:22" ht="54" customHeight="1">
      <c r="A11" s="139">
        <v>7</v>
      </c>
      <c r="B11" s="15" t="s">
        <v>699</v>
      </c>
      <c r="C11" s="279" t="s">
        <v>700</v>
      </c>
      <c r="D11" s="15" t="s">
        <v>824</v>
      </c>
      <c r="E11" s="278" t="s">
        <v>701</v>
      </c>
      <c r="F11" s="278" t="s">
        <v>702</v>
      </c>
      <c r="G11" s="210" t="s">
        <v>703</v>
      </c>
      <c r="H11" s="210" t="s">
        <v>232</v>
      </c>
      <c r="I11" s="59">
        <v>16</v>
      </c>
      <c r="J11" s="49" t="s">
        <v>700</v>
      </c>
      <c r="K11" s="35" t="s">
        <v>770</v>
      </c>
      <c r="L11" s="58">
        <v>16</v>
      </c>
      <c r="M11" s="49" t="s">
        <v>771</v>
      </c>
      <c r="N11" s="49" t="s">
        <v>772</v>
      </c>
      <c r="O11" s="4">
        <v>43143</v>
      </c>
      <c r="P11" s="4">
        <v>43171</v>
      </c>
      <c r="Q11" s="4"/>
      <c r="R11" s="311" t="s">
        <v>1485</v>
      </c>
      <c r="S11" s="357">
        <v>43259</v>
      </c>
      <c r="T11" s="353">
        <v>43277</v>
      </c>
      <c r="U11" s="353"/>
      <c r="V11" s="353"/>
    </row>
    <row r="12" spans="1:22" ht="30" customHeight="1">
      <c r="A12" s="139">
        <v>8</v>
      </c>
      <c r="B12" s="15" t="s">
        <v>739</v>
      </c>
      <c r="C12" s="56" t="s">
        <v>740</v>
      </c>
      <c r="D12" s="15" t="s">
        <v>824</v>
      </c>
      <c r="E12" s="15" t="s">
        <v>741</v>
      </c>
      <c r="F12" s="15" t="s">
        <v>742</v>
      </c>
      <c r="G12" s="15" t="s">
        <v>743</v>
      </c>
      <c r="H12" s="3" t="s">
        <v>232</v>
      </c>
      <c r="I12" s="5">
        <v>8</v>
      </c>
      <c r="J12" s="35" t="s">
        <v>740</v>
      </c>
      <c r="K12" s="35" t="s">
        <v>780</v>
      </c>
      <c r="L12" s="58">
        <v>1</v>
      </c>
      <c r="M12" s="49" t="s">
        <v>781</v>
      </c>
      <c r="N12" s="49" t="s">
        <v>782</v>
      </c>
      <c r="O12" s="4">
        <v>43143</v>
      </c>
      <c r="P12" s="4">
        <v>43205</v>
      </c>
      <c r="Q12" s="4"/>
      <c r="R12" s="311" t="s">
        <v>1486</v>
      </c>
      <c r="S12" s="357">
        <v>43202</v>
      </c>
      <c r="T12" s="353">
        <v>43252</v>
      </c>
      <c r="U12" s="353"/>
      <c r="V12" s="352" t="s">
        <v>1209</v>
      </c>
    </row>
    <row r="13" spans="1:22" ht="30" customHeight="1">
      <c r="A13" s="139">
        <v>9</v>
      </c>
      <c r="B13" s="344" t="s">
        <v>228</v>
      </c>
      <c r="C13" s="344" t="s">
        <v>417</v>
      </c>
      <c r="D13" s="344" t="s">
        <v>0</v>
      </c>
      <c r="E13" s="344" t="s">
        <v>412</v>
      </c>
      <c r="F13" s="344" t="s">
        <v>418</v>
      </c>
      <c r="G13" s="344" t="s">
        <v>229</v>
      </c>
      <c r="H13" s="344" t="s">
        <v>364</v>
      </c>
      <c r="I13" s="344"/>
      <c r="J13" s="344" t="s">
        <v>419</v>
      </c>
      <c r="K13" s="344" t="s">
        <v>417</v>
      </c>
      <c r="L13" s="344">
        <v>1</v>
      </c>
      <c r="M13" s="344" t="s">
        <v>420</v>
      </c>
      <c r="N13" s="35"/>
      <c r="O13" s="4">
        <v>43160</v>
      </c>
      <c r="P13" s="4">
        <v>43205</v>
      </c>
      <c r="Q13" s="4"/>
      <c r="R13" s="311" t="s">
        <v>1488</v>
      </c>
      <c r="S13" s="357">
        <v>43191</v>
      </c>
      <c r="T13" s="25">
        <v>43261</v>
      </c>
      <c r="U13" s="19"/>
      <c r="V13" s="25"/>
    </row>
    <row r="14" spans="1:22" ht="30" customHeight="1">
      <c r="A14" s="139">
        <v>10</v>
      </c>
      <c r="B14" s="35" t="s">
        <v>239</v>
      </c>
      <c r="C14" s="56" t="s">
        <v>476</v>
      </c>
      <c r="D14" s="344" t="s">
        <v>0</v>
      </c>
      <c r="E14" s="15" t="s">
        <v>412</v>
      </c>
      <c r="F14" s="15" t="s">
        <v>477</v>
      </c>
      <c r="G14" s="15" t="s">
        <v>229</v>
      </c>
      <c r="H14" s="344" t="s">
        <v>364</v>
      </c>
      <c r="I14" s="344">
        <v>7</v>
      </c>
      <c r="J14" s="287" t="s">
        <v>478</v>
      </c>
      <c r="K14" s="56" t="s">
        <v>476</v>
      </c>
      <c r="L14" s="56">
        <v>1</v>
      </c>
      <c r="M14" s="344" t="s">
        <v>366</v>
      </c>
      <c r="N14" s="286" t="s">
        <v>479</v>
      </c>
      <c r="O14" s="4">
        <v>43090</v>
      </c>
      <c r="P14" s="4">
        <v>42840</v>
      </c>
      <c r="Q14" s="4"/>
      <c r="R14" s="311" t="s">
        <v>1487</v>
      </c>
      <c r="S14" s="358">
        <v>43139</v>
      </c>
      <c r="T14" s="4">
        <v>43235</v>
      </c>
      <c r="U14" s="3"/>
      <c r="V14" s="309" t="s">
        <v>1207</v>
      </c>
    </row>
    <row r="15" spans="1:22" ht="30" customHeight="1">
      <c r="A15" s="139">
        <v>11</v>
      </c>
      <c r="B15" s="15" t="s">
        <v>64</v>
      </c>
      <c r="C15" s="56" t="s">
        <v>577</v>
      </c>
      <c r="D15" s="15" t="s">
        <v>230</v>
      </c>
      <c r="E15" s="351" t="s">
        <v>602</v>
      </c>
      <c r="F15" s="351" t="s">
        <v>877</v>
      </c>
      <c r="G15" s="351" t="s">
        <v>878</v>
      </c>
      <c r="H15" s="3" t="s">
        <v>58</v>
      </c>
      <c r="I15" s="5">
        <v>12</v>
      </c>
      <c r="J15" s="10" t="s">
        <v>1358</v>
      </c>
      <c r="K15" s="3" t="s">
        <v>1481</v>
      </c>
      <c r="L15" s="3">
        <v>114</v>
      </c>
      <c r="M15" s="3"/>
      <c r="N15" s="3"/>
      <c r="O15" s="4">
        <v>43160</v>
      </c>
      <c r="P15" s="4">
        <v>43191</v>
      </c>
      <c r="Q15" s="61"/>
      <c r="R15" s="311" t="s">
        <v>1211</v>
      </c>
      <c r="S15" s="358">
        <v>43271</v>
      </c>
      <c r="T15" s="4">
        <v>43263</v>
      </c>
      <c r="U15" s="107"/>
      <c r="V15" s="71"/>
    </row>
    <row r="16" spans="1:22">
      <c r="L16" s="372"/>
    </row>
  </sheetData>
  <protectedRanges>
    <protectedRange password="CF7A" sqref="C27" name="区域9_1_1"/>
    <protectedRange password="CF7A" sqref="C30" name="区域9_2_1"/>
    <protectedRange password="DD63" sqref="E37:G57" name="区域1" securityDescriptor="O:WDG:WDD:(A;;CC;;;S-1-5-21-1891859003-1200709052-621696214-358638)"/>
    <protectedRange password="DD63" sqref="E58:G65" name="区域1_1" securityDescriptor="O:WDG:WDD:(A;;CC;;;S-1-5-21-1891859003-1200709052-621696214-358638)"/>
    <protectedRange password="DD63" sqref="E66:G150" name="区域1_2" securityDescriptor="O:WDG:WDD:(A;;CC;;;S-1-5-21-1891859003-1200709052-621696214-358638)"/>
  </protectedRanges>
  <mergeCells count="5">
    <mergeCell ref="J2:N2"/>
    <mergeCell ref="O2:R2"/>
    <mergeCell ref="S2:V2"/>
    <mergeCell ref="A2:A3"/>
    <mergeCell ref="D2:D3"/>
  </mergeCells>
  <phoneticPr fontId="52" type="noConversion"/>
  <conditionalFormatting sqref="H1">
    <cfRule type="expression" dxfId="159" priority="161">
      <formula>$B1="del"</formula>
    </cfRule>
  </conditionalFormatting>
  <conditionalFormatting sqref="I1">
    <cfRule type="expression" dxfId="158" priority="160">
      <formula>$B1="del"</formula>
    </cfRule>
  </conditionalFormatting>
  <conditionalFormatting sqref="G1">
    <cfRule type="expression" dxfId="157" priority="159">
      <formula>$B1="del"</formula>
    </cfRule>
  </conditionalFormatting>
  <conditionalFormatting sqref="J1">
    <cfRule type="expression" dxfId="156" priority="158">
      <formula>$B1="del"</formula>
    </cfRule>
  </conditionalFormatting>
  <conditionalFormatting sqref="K1:L1">
    <cfRule type="expression" dxfId="155" priority="157">
      <formula>$B1="del"</formula>
    </cfRule>
  </conditionalFormatting>
  <conditionalFormatting sqref="B5:G13">
    <cfRule type="expression" dxfId="154" priority="156">
      <formula>$B5="del"</formula>
    </cfRule>
  </conditionalFormatting>
  <conditionalFormatting sqref="R6 I14:I15 S14">
    <cfRule type="cellIs" dxfId="153" priority="137" stopIfTrue="1" operator="equal">
      <formula>"Y"</formula>
    </cfRule>
    <cfRule type="cellIs" dxfId="152" priority="138" stopIfTrue="1" operator="equal">
      <formula>"N"</formula>
    </cfRule>
    <cfRule type="cellIs" dxfId="151" priority="139" stopIfTrue="1" operator="equal">
      <formula>"NA"</formula>
    </cfRule>
  </conditionalFormatting>
  <conditionalFormatting sqref="M9:N13 J5:N8">
    <cfRule type="expression" dxfId="150" priority="155">
      <formula>$B5="del"</formula>
    </cfRule>
  </conditionalFormatting>
  <conditionalFormatting sqref="V5">
    <cfRule type="cellIs" dxfId="149" priority="152" stopIfTrue="1" operator="equal">
      <formula>"R"</formula>
    </cfRule>
    <cfRule type="cellIs" dxfId="148" priority="153" stopIfTrue="1" operator="equal">
      <formula>"Y"</formula>
    </cfRule>
    <cfRule type="cellIs" dxfId="147" priority="154" stopIfTrue="1" operator="equal">
      <formula>"G"</formula>
    </cfRule>
  </conditionalFormatting>
  <conditionalFormatting sqref="R5:R11 R15">
    <cfRule type="cellIs" dxfId="146" priority="149" stopIfTrue="1" operator="equal">
      <formula>"Y"</formula>
    </cfRule>
    <cfRule type="cellIs" dxfId="145" priority="150" stopIfTrue="1" operator="equal">
      <formula>"N"</formula>
    </cfRule>
    <cfRule type="cellIs" dxfId="144" priority="151" stopIfTrue="1" operator="equal">
      <formula>"NA"</formula>
    </cfRule>
  </conditionalFormatting>
  <conditionalFormatting sqref="O5">
    <cfRule type="cellIs" dxfId="143" priority="146" stopIfTrue="1" operator="equal">
      <formula>"Y"</formula>
    </cfRule>
    <cfRule type="cellIs" dxfId="142" priority="147" stopIfTrue="1" operator="equal">
      <formula>"N"</formula>
    </cfRule>
    <cfRule type="cellIs" dxfId="141" priority="148" stopIfTrue="1" operator="equal">
      <formula>"NA"</formula>
    </cfRule>
  </conditionalFormatting>
  <conditionalFormatting sqref="S5">
    <cfRule type="cellIs" dxfId="140" priority="143" stopIfTrue="1" operator="equal">
      <formula>"Y"</formula>
    </cfRule>
    <cfRule type="cellIs" dxfId="139" priority="144" stopIfTrue="1" operator="equal">
      <formula>"N"</formula>
    </cfRule>
    <cfRule type="cellIs" dxfId="138" priority="145" stopIfTrue="1" operator="equal">
      <formula>"NA"</formula>
    </cfRule>
  </conditionalFormatting>
  <conditionalFormatting sqref="V6">
    <cfRule type="cellIs" dxfId="137" priority="140" stopIfTrue="1" operator="equal">
      <formula>"R"</formula>
    </cfRule>
    <cfRule type="cellIs" dxfId="136" priority="141" stopIfTrue="1" operator="equal">
      <formula>"Y"</formula>
    </cfRule>
    <cfRule type="cellIs" dxfId="135" priority="142" stopIfTrue="1" operator="equal">
      <formula>"G"</formula>
    </cfRule>
  </conditionalFormatting>
  <conditionalFormatting sqref="O6">
    <cfRule type="cellIs" dxfId="134" priority="134" stopIfTrue="1" operator="equal">
      <formula>"Y"</formula>
    </cfRule>
    <cfRule type="cellIs" dxfId="133" priority="135" stopIfTrue="1" operator="equal">
      <formula>"N"</formula>
    </cfRule>
    <cfRule type="cellIs" dxfId="132" priority="136" stopIfTrue="1" operator="equal">
      <formula>"NA"</formula>
    </cfRule>
  </conditionalFormatting>
  <conditionalFormatting sqref="S6">
    <cfRule type="cellIs" dxfId="131" priority="131" stopIfTrue="1" operator="equal">
      <formula>"Y"</formula>
    </cfRule>
    <cfRule type="cellIs" dxfId="130" priority="132" stopIfTrue="1" operator="equal">
      <formula>"N"</formula>
    </cfRule>
    <cfRule type="cellIs" dxfId="129" priority="133" stopIfTrue="1" operator="equal">
      <formula>"NA"</formula>
    </cfRule>
  </conditionalFormatting>
  <conditionalFormatting sqref="V7">
    <cfRule type="cellIs" dxfId="128" priority="128" stopIfTrue="1" operator="equal">
      <formula>"R"</formula>
    </cfRule>
    <cfRule type="cellIs" dxfId="127" priority="129" stopIfTrue="1" operator="equal">
      <formula>"Y"</formula>
    </cfRule>
    <cfRule type="cellIs" dxfId="126" priority="130" stopIfTrue="1" operator="equal">
      <formula>"G"</formula>
    </cfRule>
  </conditionalFormatting>
  <conditionalFormatting sqref="R7">
    <cfRule type="cellIs" dxfId="125" priority="125" stopIfTrue="1" operator="equal">
      <formula>"Y"</formula>
    </cfRule>
    <cfRule type="cellIs" dxfId="124" priority="126" stopIfTrue="1" operator="equal">
      <formula>"N"</formula>
    </cfRule>
    <cfRule type="cellIs" dxfId="123" priority="127" stopIfTrue="1" operator="equal">
      <formula>"NA"</formula>
    </cfRule>
  </conditionalFormatting>
  <conditionalFormatting sqref="O7">
    <cfRule type="cellIs" dxfId="122" priority="122" stopIfTrue="1" operator="equal">
      <formula>"Y"</formula>
    </cfRule>
    <cfRule type="cellIs" dxfId="121" priority="123" stopIfTrue="1" operator="equal">
      <formula>"N"</formula>
    </cfRule>
    <cfRule type="cellIs" dxfId="120" priority="124" stopIfTrue="1" operator="equal">
      <formula>"NA"</formula>
    </cfRule>
  </conditionalFormatting>
  <conditionalFormatting sqref="S7">
    <cfRule type="cellIs" dxfId="119" priority="119" stopIfTrue="1" operator="equal">
      <formula>"Y"</formula>
    </cfRule>
    <cfRule type="cellIs" dxfId="118" priority="120" stopIfTrue="1" operator="equal">
      <formula>"N"</formula>
    </cfRule>
    <cfRule type="cellIs" dxfId="117" priority="121" stopIfTrue="1" operator="equal">
      <formula>"NA"</formula>
    </cfRule>
  </conditionalFormatting>
  <conditionalFormatting sqref="V8">
    <cfRule type="cellIs" dxfId="116" priority="116" stopIfTrue="1" operator="equal">
      <formula>"R"</formula>
    </cfRule>
    <cfRule type="cellIs" dxfId="115" priority="117" stopIfTrue="1" operator="equal">
      <formula>"Y"</formula>
    </cfRule>
    <cfRule type="cellIs" dxfId="114" priority="118" stopIfTrue="1" operator="equal">
      <formula>"G"</formula>
    </cfRule>
  </conditionalFormatting>
  <conditionalFormatting sqref="R8">
    <cfRule type="cellIs" dxfId="113" priority="113" stopIfTrue="1" operator="equal">
      <formula>"Y"</formula>
    </cfRule>
    <cfRule type="cellIs" dxfId="112" priority="114" stopIfTrue="1" operator="equal">
      <formula>"N"</formula>
    </cfRule>
    <cfRule type="cellIs" dxfId="111" priority="115" stopIfTrue="1" operator="equal">
      <formula>"NA"</formula>
    </cfRule>
  </conditionalFormatting>
  <conditionalFormatting sqref="O8">
    <cfRule type="cellIs" dxfId="110" priority="110" stopIfTrue="1" operator="equal">
      <formula>"Y"</formula>
    </cfRule>
    <cfRule type="cellIs" dxfId="109" priority="111" stopIfTrue="1" operator="equal">
      <formula>"N"</formula>
    </cfRule>
    <cfRule type="cellIs" dxfId="108" priority="112" stopIfTrue="1" operator="equal">
      <formula>"NA"</formula>
    </cfRule>
  </conditionalFormatting>
  <conditionalFormatting sqref="S8">
    <cfRule type="cellIs" dxfId="107" priority="107" stopIfTrue="1" operator="equal">
      <formula>"Y"</formula>
    </cfRule>
    <cfRule type="cellIs" dxfId="106" priority="108" stopIfTrue="1" operator="equal">
      <formula>"N"</formula>
    </cfRule>
    <cfRule type="cellIs" dxfId="105" priority="109" stopIfTrue="1" operator="equal">
      <formula>"NA"</formula>
    </cfRule>
  </conditionalFormatting>
  <conditionalFormatting sqref="T5:T8">
    <cfRule type="cellIs" dxfId="104" priority="104" stopIfTrue="1" operator="equal">
      <formula>"Y"</formula>
    </cfRule>
    <cfRule type="cellIs" dxfId="103" priority="105" stopIfTrue="1" operator="equal">
      <formula>"N"</formula>
    </cfRule>
    <cfRule type="cellIs" dxfId="102" priority="106" stopIfTrue="1" operator="equal">
      <formula>"NA"</formula>
    </cfRule>
  </conditionalFormatting>
  <conditionalFormatting sqref="T6">
    <cfRule type="cellIs" dxfId="101" priority="101" stopIfTrue="1" operator="equal">
      <formula>"Y"</formula>
    </cfRule>
    <cfRule type="cellIs" dxfId="100" priority="102" stopIfTrue="1" operator="equal">
      <formula>"N"</formula>
    </cfRule>
    <cfRule type="cellIs" dxfId="99" priority="103" stopIfTrue="1" operator="equal">
      <formula>"NA"</formula>
    </cfRule>
  </conditionalFormatting>
  <conditionalFormatting sqref="T7">
    <cfRule type="cellIs" dxfId="98" priority="98" stopIfTrue="1" operator="equal">
      <formula>"Y"</formula>
    </cfRule>
    <cfRule type="cellIs" dxfId="97" priority="99" stopIfTrue="1" operator="equal">
      <formula>"N"</formula>
    </cfRule>
    <cfRule type="cellIs" dxfId="96" priority="100" stopIfTrue="1" operator="equal">
      <formula>"NA"</formula>
    </cfRule>
  </conditionalFormatting>
  <conditionalFormatting sqref="T8">
    <cfRule type="cellIs" dxfId="95" priority="95" stopIfTrue="1" operator="equal">
      <formula>"Y"</formula>
    </cfRule>
    <cfRule type="cellIs" dxfId="94" priority="96" stopIfTrue="1" operator="equal">
      <formula>"N"</formula>
    </cfRule>
    <cfRule type="cellIs" dxfId="93" priority="97" stopIfTrue="1" operator="equal">
      <formula>"NA"</formula>
    </cfRule>
  </conditionalFormatting>
  <conditionalFormatting sqref="P5:P8">
    <cfRule type="cellIs" dxfId="92" priority="92" stopIfTrue="1" operator="equal">
      <formula>"Y"</formula>
    </cfRule>
    <cfRule type="cellIs" dxfId="91" priority="93" stopIfTrue="1" operator="equal">
      <formula>"N"</formula>
    </cfRule>
    <cfRule type="cellIs" dxfId="90" priority="94" stopIfTrue="1" operator="equal">
      <formula>"NA"</formula>
    </cfRule>
  </conditionalFormatting>
  <conditionalFormatting sqref="P6">
    <cfRule type="cellIs" dxfId="89" priority="89" stopIfTrue="1" operator="equal">
      <formula>"Y"</formula>
    </cfRule>
    <cfRule type="cellIs" dxfId="88" priority="90" stopIfTrue="1" operator="equal">
      <formula>"N"</formula>
    </cfRule>
    <cfRule type="cellIs" dxfId="87" priority="91" stopIfTrue="1" operator="equal">
      <formula>"NA"</formula>
    </cfRule>
  </conditionalFormatting>
  <conditionalFormatting sqref="P7">
    <cfRule type="cellIs" dxfId="86" priority="86" stopIfTrue="1" operator="equal">
      <formula>"Y"</formula>
    </cfRule>
    <cfRule type="cellIs" dxfId="85" priority="87" stopIfTrue="1" operator="equal">
      <formula>"N"</formula>
    </cfRule>
    <cfRule type="cellIs" dxfId="84" priority="88" stopIfTrue="1" operator="equal">
      <formula>"NA"</formula>
    </cfRule>
  </conditionalFormatting>
  <conditionalFormatting sqref="P8">
    <cfRule type="cellIs" dxfId="83" priority="83" stopIfTrue="1" operator="equal">
      <formula>"Y"</formula>
    </cfRule>
    <cfRule type="cellIs" dxfId="82" priority="84" stopIfTrue="1" operator="equal">
      <formula>"N"</formula>
    </cfRule>
    <cfRule type="cellIs" dxfId="81" priority="85" stopIfTrue="1" operator="equal">
      <formula>"NA"</formula>
    </cfRule>
  </conditionalFormatting>
  <conditionalFormatting sqref="O5:R11 O15:R15">
    <cfRule type="expression" dxfId="80" priority="79">
      <formula>AND($V5="",$U5&gt;$U$1,$U5&lt;$V$1)</formula>
    </cfRule>
    <cfRule type="expression" dxfId="79" priority="80">
      <formula>AND($V5="",$U5&lt;$T$1)</formula>
    </cfRule>
    <cfRule type="expression" dxfId="78" priority="81">
      <formula>AND($V5&gt;0)</formula>
    </cfRule>
    <cfRule type="expression" dxfId="77" priority="82">
      <formula>AND($V5="",$U5&lt;&gt;"",$U5&gt;$T$1,$U5&lt;=$U$1)</formula>
    </cfRule>
  </conditionalFormatting>
  <conditionalFormatting sqref="S5:V15">
    <cfRule type="expression" dxfId="76" priority="75">
      <formula>AND($Z5="",$Y5&gt;$U$1,$Y5&lt;$V$1)</formula>
    </cfRule>
    <cfRule type="expression" dxfId="75" priority="76">
      <formula>AND($Z5="",$Y5&gt;$T$1,$Y5&lt;=$U$1)</formula>
    </cfRule>
    <cfRule type="expression" dxfId="74" priority="77">
      <formula>AND($Z5="",$Y5&lt;$T$1)</formula>
    </cfRule>
    <cfRule type="expression" dxfId="73" priority="78">
      <formula>AND($Z5&lt;&gt;"")</formula>
    </cfRule>
  </conditionalFormatting>
  <conditionalFormatting sqref="I9:I13">
    <cfRule type="cellIs" dxfId="72" priority="72" stopIfTrue="1" operator="equal">
      <formula>"Y"</formula>
    </cfRule>
    <cfRule type="cellIs" dxfId="71" priority="73" stopIfTrue="1" operator="equal">
      <formula>"N"</formula>
    </cfRule>
    <cfRule type="cellIs" dxfId="70" priority="74" stopIfTrue="1" operator="equal">
      <formula>"NA"</formula>
    </cfRule>
  </conditionalFormatting>
  <conditionalFormatting sqref="J9:L12">
    <cfRule type="expression" dxfId="69" priority="71">
      <formula>$B10="del"</formula>
    </cfRule>
  </conditionalFormatting>
  <conditionalFormatting sqref="U9:V13">
    <cfRule type="cellIs" dxfId="68" priority="67" stopIfTrue="1" operator="equal">
      <formula>"R"</formula>
    </cfRule>
    <cfRule type="cellIs" dxfId="67" priority="68" stopIfTrue="1" operator="equal">
      <formula>"Y"</formula>
    </cfRule>
    <cfRule type="cellIs" dxfId="66" priority="69" stopIfTrue="1" operator="equal">
      <formula>"G"</formula>
    </cfRule>
  </conditionalFormatting>
  <conditionalFormatting sqref="O9:O11 Q9:S9 R10:S11 S12:S13">
    <cfRule type="cellIs" dxfId="65" priority="64" stopIfTrue="1" operator="equal">
      <formula>"Y"</formula>
    </cfRule>
    <cfRule type="cellIs" dxfId="64" priority="65" stopIfTrue="1" operator="equal">
      <formula>"N"</formula>
    </cfRule>
    <cfRule type="cellIs" dxfId="63" priority="66" stopIfTrue="1" operator="equal">
      <formula>"NA"</formula>
    </cfRule>
  </conditionalFormatting>
  <conditionalFormatting sqref="Q10:R11">
    <cfRule type="cellIs" dxfId="62" priority="61" stopIfTrue="1" operator="equal">
      <formula>"Y"</formula>
    </cfRule>
    <cfRule type="cellIs" dxfId="61" priority="62" stopIfTrue="1" operator="equal">
      <formula>"N"</formula>
    </cfRule>
    <cfRule type="cellIs" dxfId="60" priority="63" stopIfTrue="1" operator="equal">
      <formula>"NA"</formula>
    </cfRule>
  </conditionalFormatting>
  <conditionalFormatting sqref="J13:L13">
    <cfRule type="expression" dxfId="59" priority="70">
      <formula>#REF!="del"</formula>
    </cfRule>
  </conditionalFormatting>
  <conditionalFormatting sqref="T9:T13">
    <cfRule type="cellIs" dxfId="58" priority="58" stopIfTrue="1" operator="equal">
      <formula>"Y"</formula>
    </cfRule>
    <cfRule type="cellIs" dxfId="57" priority="59" stopIfTrue="1" operator="equal">
      <formula>"N"</formula>
    </cfRule>
    <cfRule type="cellIs" dxfId="56" priority="60" stopIfTrue="1" operator="equal">
      <formula>"NA"</formula>
    </cfRule>
  </conditionalFormatting>
  <conditionalFormatting sqref="P9:P11">
    <cfRule type="cellIs" dxfId="55" priority="55" stopIfTrue="1" operator="equal">
      <formula>"Y"</formula>
    </cfRule>
    <cfRule type="cellIs" dxfId="54" priority="56" stopIfTrue="1" operator="equal">
      <formula>"N"</formula>
    </cfRule>
    <cfRule type="cellIs" dxfId="53" priority="57" stopIfTrue="1" operator="equal">
      <formula>"NA"</formula>
    </cfRule>
  </conditionalFormatting>
  <conditionalFormatting sqref="T14:V15">
    <cfRule type="expression" dxfId="52" priority="48">
      <formula>AND($Z14&gt;0)</formula>
    </cfRule>
    <cfRule type="expression" dxfId="51" priority="49">
      <formula>AND($Z14="",$Y14&lt;&gt;"",$Y14&gt;$U$1,$Y14&lt;=$V$1)</formula>
    </cfRule>
    <cfRule type="expression" dxfId="50" priority="50">
      <formula>AND($Z14="",$Y14&lt;&gt;"",$Y14&gt;$T$1,$Y14&lt;=$V$1)</formula>
    </cfRule>
    <cfRule type="expression" dxfId="49" priority="51">
      <formula>AND($Z14="",$Y14&lt;&gt;"",$Y14&lt;=$T$1)</formula>
    </cfRule>
  </conditionalFormatting>
  <conditionalFormatting sqref="O15 Q15:S15">
    <cfRule type="cellIs" dxfId="48" priority="45" stopIfTrue="1" operator="equal">
      <formula>"Y"</formula>
    </cfRule>
    <cfRule type="cellIs" dxfId="47" priority="46" stopIfTrue="1" operator="equal">
      <formula>"N"</formula>
    </cfRule>
    <cfRule type="cellIs" dxfId="46" priority="47" stopIfTrue="1" operator="equal">
      <formula>"NA"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3" name="Button 3">
              <controlPr defaultSize="0" print="0" autoFill="0" autoPict="0" macro="[0]!Clear_Filter">
                <anchor moveWithCells="1" sizeWithCells="1">
                  <from>
                    <xdr:col>2</xdr:col>
                    <xdr:colOff>114300</xdr:colOff>
                    <xdr:row>0</xdr:row>
                    <xdr:rowOff>83820</xdr:rowOff>
                  </from>
                  <to>
                    <xdr:col>2</xdr:col>
                    <xdr:colOff>975360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69"/>
  <sheetViews>
    <sheetView zoomScale="85" zoomScaleNormal="85" workbookViewId="0">
      <pane ySplit="1" topLeftCell="A11" activePane="bottomLeft" state="frozen"/>
      <selection pane="bottomLeft" activeCell="B30" sqref="B30"/>
    </sheetView>
  </sheetViews>
  <sheetFormatPr defaultRowHeight="13.2"/>
  <cols>
    <col min="1" max="1" width="9.109375" style="71"/>
    <col min="2" max="2" width="35" style="71" customWidth="1"/>
    <col min="3" max="3" width="6" style="71" customWidth="1"/>
    <col min="4" max="4" width="8" style="71" customWidth="1"/>
    <col min="5" max="5" width="10.88671875" style="71" customWidth="1"/>
    <col min="6" max="6" width="7.33203125" style="71" customWidth="1"/>
    <col min="7" max="7" width="65.44140625" style="71" customWidth="1"/>
    <col min="8" max="8" width="18.6640625" style="71" customWidth="1"/>
    <col min="9" max="9" width="11.33203125" style="122" customWidth="1"/>
    <col min="10" max="10" width="13.5546875" style="196" customWidth="1"/>
    <col min="258" max="258" width="35" customWidth="1"/>
    <col min="259" max="259" width="6" customWidth="1"/>
    <col min="260" max="260" width="8" customWidth="1"/>
    <col min="261" max="261" width="10.88671875" customWidth="1"/>
    <col min="262" max="262" width="7.33203125" customWidth="1"/>
    <col min="263" max="263" width="65.44140625" customWidth="1"/>
    <col min="264" max="264" width="18.6640625" customWidth="1"/>
    <col min="265" max="265" width="11.33203125" customWidth="1"/>
    <col min="266" max="266" width="13.5546875" customWidth="1"/>
    <col min="514" max="514" width="35" customWidth="1"/>
    <col min="515" max="515" width="6" customWidth="1"/>
    <col min="516" max="516" width="8" customWidth="1"/>
    <col min="517" max="517" width="10.88671875" customWidth="1"/>
    <col min="518" max="518" width="7.33203125" customWidth="1"/>
    <col min="519" max="519" width="65.44140625" customWidth="1"/>
    <col min="520" max="520" width="18.6640625" customWidth="1"/>
    <col min="521" max="521" width="11.33203125" customWidth="1"/>
    <col min="522" max="522" width="13.5546875" customWidth="1"/>
    <col min="770" max="770" width="35" customWidth="1"/>
    <col min="771" max="771" width="6" customWidth="1"/>
    <col min="772" max="772" width="8" customWidth="1"/>
    <col min="773" max="773" width="10.88671875" customWidth="1"/>
    <col min="774" max="774" width="7.33203125" customWidth="1"/>
    <col min="775" max="775" width="65.44140625" customWidth="1"/>
    <col min="776" max="776" width="18.6640625" customWidth="1"/>
    <col min="777" max="777" width="11.33203125" customWidth="1"/>
    <col min="778" max="778" width="13.5546875" customWidth="1"/>
    <col min="1026" max="1026" width="35" customWidth="1"/>
    <col min="1027" max="1027" width="6" customWidth="1"/>
    <col min="1028" max="1028" width="8" customWidth="1"/>
    <col min="1029" max="1029" width="10.88671875" customWidth="1"/>
    <col min="1030" max="1030" width="7.33203125" customWidth="1"/>
    <col min="1031" max="1031" width="65.44140625" customWidth="1"/>
    <col min="1032" max="1032" width="18.6640625" customWidth="1"/>
    <col min="1033" max="1033" width="11.33203125" customWidth="1"/>
    <col min="1034" max="1034" width="13.5546875" customWidth="1"/>
    <col min="1282" max="1282" width="35" customWidth="1"/>
    <col min="1283" max="1283" width="6" customWidth="1"/>
    <col min="1284" max="1284" width="8" customWidth="1"/>
    <col min="1285" max="1285" width="10.88671875" customWidth="1"/>
    <col min="1286" max="1286" width="7.33203125" customWidth="1"/>
    <col min="1287" max="1287" width="65.44140625" customWidth="1"/>
    <col min="1288" max="1288" width="18.6640625" customWidth="1"/>
    <col min="1289" max="1289" width="11.33203125" customWidth="1"/>
    <col min="1290" max="1290" width="13.5546875" customWidth="1"/>
    <col min="1538" max="1538" width="35" customWidth="1"/>
    <col min="1539" max="1539" width="6" customWidth="1"/>
    <col min="1540" max="1540" width="8" customWidth="1"/>
    <col min="1541" max="1541" width="10.88671875" customWidth="1"/>
    <col min="1542" max="1542" width="7.33203125" customWidth="1"/>
    <col min="1543" max="1543" width="65.44140625" customWidth="1"/>
    <col min="1544" max="1544" width="18.6640625" customWidth="1"/>
    <col min="1545" max="1545" width="11.33203125" customWidth="1"/>
    <col min="1546" max="1546" width="13.5546875" customWidth="1"/>
    <col min="1794" max="1794" width="35" customWidth="1"/>
    <col min="1795" max="1795" width="6" customWidth="1"/>
    <col min="1796" max="1796" width="8" customWidth="1"/>
    <col min="1797" max="1797" width="10.88671875" customWidth="1"/>
    <col min="1798" max="1798" width="7.33203125" customWidth="1"/>
    <col min="1799" max="1799" width="65.44140625" customWidth="1"/>
    <col min="1800" max="1800" width="18.6640625" customWidth="1"/>
    <col min="1801" max="1801" width="11.33203125" customWidth="1"/>
    <col min="1802" max="1802" width="13.5546875" customWidth="1"/>
    <col min="2050" max="2050" width="35" customWidth="1"/>
    <col min="2051" max="2051" width="6" customWidth="1"/>
    <col min="2052" max="2052" width="8" customWidth="1"/>
    <col min="2053" max="2053" width="10.88671875" customWidth="1"/>
    <col min="2054" max="2054" width="7.33203125" customWidth="1"/>
    <col min="2055" max="2055" width="65.44140625" customWidth="1"/>
    <col min="2056" max="2056" width="18.6640625" customWidth="1"/>
    <col min="2057" max="2057" width="11.33203125" customWidth="1"/>
    <col min="2058" max="2058" width="13.5546875" customWidth="1"/>
    <col min="2306" max="2306" width="35" customWidth="1"/>
    <col min="2307" max="2307" width="6" customWidth="1"/>
    <col min="2308" max="2308" width="8" customWidth="1"/>
    <col min="2309" max="2309" width="10.88671875" customWidth="1"/>
    <col min="2310" max="2310" width="7.33203125" customWidth="1"/>
    <col min="2311" max="2311" width="65.44140625" customWidth="1"/>
    <col min="2312" max="2312" width="18.6640625" customWidth="1"/>
    <col min="2313" max="2313" width="11.33203125" customWidth="1"/>
    <col min="2314" max="2314" width="13.5546875" customWidth="1"/>
    <col min="2562" max="2562" width="35" customWidth="1"/>
    <col min="2563" max="2563" width="6" customWidth="1"/>
    <col min="2564" max="2564" width="8" customWidth="1"/>
    <col min="2565" max="2565" width="10.88671875" customWidth="1"/>
    <col min="2566" max="2566" width="7.33203125" customWidth="1"/>
    <col min="2567" max="2567" width="65.44140625" customWidth="1"/>
    <col min="2568" max="2568" width="18.6640625" customWidth="1"/>
    <col min="2569" max="2569" width="11.33203125" customWidth="1"/>
    <col min="2570" max="2570" width="13.5546875" customWidth="1"/>
    <col min="2818" max="2818" width="35" customWidth="1"/>
    <col min="2819" max="2819" width="6" customWidth="1"/>
    <col min="2820" max="2820" width="8" customWidth="1"/>
    <col min="2821" max="2821" width="10.88671875" customWidth="1"/>
    <col min="2822" max="2822" width="7.33203125" customWidth="1"/>
    <col min="2823" max="2823" width="65.44140625" customWidth="1"/>
    <col min="2824" max="2824" width="18.6640625" customWidth="1"/>
    <col min="2825" max="2825" width="11.33203125" customWidth="1"/>
    <col min="2826" max="2826" width="13.5546875" customWidth="1"/>
    <col min="3074" max="3074" width="35" customWidth="1"/>
    <col min="3075" max="3075" width="6" customWidth="1"/>
    <col min="3076" max="3076" width="8" customWidth="1"/>
    <col min="3077" max="3077" width="10.88671875" customWidth="1"/>
    <col min="3078" max="3078" width="7.33203125" customWidth="1"/>
    <col min="3079" max="3079" width="65.44140625" customWidth="1"/>
    <col min="3080" max="3080" width="18.6640625" customWidth="1"/>
    <col min="3081" max="3081" width="11.33203125" customWidth="1"/>
    <col min="3082" max="3082" width="13.5546875" customWidth="1"/>
    <col min="3330" max="3330" width="35" customWidth="1"/>
    <col min="3331" max="3331" width="6" customWidth="1"/>
    <col min="3332" max="3332" width="8" customWidth="1"/>
    <col min="3333" max="3333" width="10.88671875" customWidth="1"/>
    <col min="3334" max="3334" width="7.33203125" customWidth="1"/>
    <col min="3335" max="3335" width="65.44140625" customWidth="1"/>
    <col min="3336" max="3336" width="18.6640625" customWidth="1"/>
    <col min="3337" max="3337" width="11.33203125" customWidth="1"/>
    <col min="3338" max="3338" width="13.5546875" customWidth="1"/>
    <col min="3586" max="3586" width="35" customWidth="1"/>
    <col min="3587" max="3587" width="6" customWidth="1"/>
    <col min="3588" max="3588" width="8" customWidth="1"/>
    <col min="3589" max="3589" width="10.88671875" customWidth="1"/>
    <col min="3590" max="3590" width="7.33203125" customWidth="1"/>
    <col min="3591" max="3591" width="65.44140625" customWidth="1"/>
    <col min="3592" max="3592" width="18.6640625" customWidth="1"/>
    <col min="3593" max="3593" width="11.33203125" customWidth="1"/>
    <col min="3594" max="3594" width="13.5546875" customWidth="1"/>
    <col min="3842" max="3842" width="35" customWidth="1"/>
    <col min="3843" max="3843" width="6" customWidth="1"/>
    <col min="3844" max="3844" width="8" customWidth="1"/>
    <col min="3845" max="3845" width="10.88671875" customWidth="1"/>
    <col min="3846" max="3846" width="7.33203125" customWidth="1"/>
    <col min="3847" max="3847" width="65.44140625" customWidth="1"/>
    <col min="3848" max="3848" width="18.6640625" customWidth="1"/>
    <col min="3849" max="3849" width="11.33203125" customWidth="1"/>
    <col min="3850" max="3850" width="13.5546875" customWidth="1"/>
    <col min="4098" max="4098" width="35" customWidth="1"/>
    <col min="4099" max="4099" width="6" customWidth="1"/>
    <col min="4100" max="4100" width="8" customWidth="1"/>
    <col min="4101" max="4101" width="10.88671875" customWidth="1"/>
    <col min="4102" max="4102" width="7.33203125" customWidth="1"/>
    <col min="4103" max="4103" width="65.44140625" customWidth="1"/>
    <col min="4104" max="4104" width="18.6640625" customWidth="1"/>
    <col min="4105" max="4105" width="11.33203125" customWidth="1"/>
    <col min="4106" max="4106" width="13.5546875" customWidth="1"/>
    <col min="4354" max="4354" width="35" customWidth="1"/>
    <col min="4355" max="4355" width="6" customWidth="1"/>
    <col min="4356" max="4356" width="8" customWidth="1"/>
    <col min="4357" max="4357" width="10.88671875" customWidth="1"/>
    <col min="4358" max="4358" width="7.33203125" customWidth="1"/>
    <col min="4359" max="4359" width="65.44140625" customWidth="1"/>
    <col min="4360" max="4360" width="18.6640625" customWidth="1"/>
    <col min="4361" max="4361" width="11.33203125" customWidth="1"/>
    <col min="4362" max="4362" width="13.5546875" customWidth="1"/>
    <col min="4610" max="4610" width="35" customWidth="1"/>
    <col min="4611" max="4611" width="6" customWidth="1"/>
    <col min="4612" max="4612" width="8" customWidth="1"/>
    <col min="4613" max="4613" width="10.88671875" customWidth="1"/>
    <col min="4614" max="4614" width="7.33203125" customWidth="1"/>
    <col min="4615" max="4615" width="65.44140625" customWidth="1"/>
    <col min="4616" max="4616" width="18.6640625" customWidth="1"/>
    <col min="4617" max="4617" width="11.33203125" customWidth="1"/>
    <col min="4618" max="4618" width="13.5546875" customWidth="1"/>
    <col min="4866" max="4866" width="35" customWidth="1"/>
    <col min="4867" max="4867" width="6" customWidth="1"/>
    <col min="4868" max="4868" width="8" customWidth="1"/>
    <col min="4869" max="4869" width="10.88671875" customWidth="1"/>
    <col min="4870" max="4870" width="7.33203125" customWidth="1"/>
    <col min="4871" max="4871" width="65.44140625" customWidth="1"/>
    <col min="4872" max="4872" width="18.6640625" customWidth="1"/>
    <col min="4873" max="4873" width="11.33203125" customWidth="1"/>
    <col min="4874" max="4874" width="13.5546875" customWidth="1"/>
    <col min="5122" max="5122" width="35" customWidth="1"/>
    <col min="5123" max="5123" width="6" customWidth="1"/>
    <col min="5124" max="5124" width="8" customWidth="1"/>
    <col min="5125" max="5125" width="10.88671875" customWidth="1"/>
    <col min="5126" max="5126" width="7.33203125" customWidth="1"/>
    <col min="5127" max="5127" width="65.44140625" customWidth="1"/>
    <col min="5128" max="5128" width="18.6640625" customWidth="1"/>
    <col min="5129" max="5129" width="11.33203125" customWidth="1"/>
    <col min="5130" max="5130" width="13.5546875" customWidth="1"/>
    <col min="5378" max="5378" width="35" customWidth="1"/>
    <col min="5379" max="5379" width="6" customWidth="1"/>
    <col min="5380" max="5380" width="8" customWidth="1"/>
    <col min="5381" max="5381" width="10.88671875" customWidth="1"/>
    <col min="5382" max="5382" width="7.33203125" customWidth="1"/>
    <col min="5383" max="5383" width="65.44140625" customWidth="1"/>
    <col min="5384" max="5384" width="18.6640625" customWidth="1"/>
    <col min="5385" max="5385" width="11.33203125" customWidth="1"/>
    <col min="5386" max="5386" width="13.5546875" customWidth="1"/>
    <col min="5634" max="5634" width="35" customWidth="1"/>
    <col min="5635" max="5635" width="6" customWidth="1"/>
    <col min="5636" max="5636" width="8" customWidth="1"/>
    <col min="5637" max="5637" width="10.88671875" customWidth="1"/>
    <col min="5638" max="5638" width="7.33203125" customWidth="1"/>
    <col min="5639" max="5639" width="65.44140625" customWidth="1"/>
    <col min="5640" max="5640" width="18.6640625" customWidth="1"/>
    <col min="5641" max="5641" width="11.33203125" customWidth="1"/>
    <col min="5642" max="5642" width="13.5546875" customWidth="1"/>
    <col min="5890" max="5890" width="35" customWidth="1"/>
    <col min="5891" max="5891" width="6" customWidth="1"/>
    <col min="5892" max="5892" width="8" customWidth="1"/>
    <col min="5893" max="5893" width="10.88671875" customWidth="1"/>
    <col min="5894" max="5894" width="7.33203125" customWidth="1"/>
    <col min="5895" max="5895" width="65.44140625" customWidth="1"/>
    <col min="5896" max="5896" width="18.6640625" customWidth="1"/>
    <col min="5897" max="5897" width="11.33203125" customWidth="1"/>
    <col min="5898" max="5898" width="13.5546875" customWidth="1"/>
    <col min="6146" max="6146" width="35" customWidth="1"/>
    <col min="6147" max="6147" width="6" customWidth="1"/>
    <col min="6148" max="6148" width="8" customWidth="1"/>
    <col min="6149" max="6149" width="10.88671875" customWidth="1"/>
    <col min="6150" max="6150" width="7.33203125" customWidth="1"/>
    <col min="6151" max="6151" width="65.44140625" customWidth="1"/>
    <col min="6152" max="6152" width="18.6640625" customWidth="1"/>
    <col min="6153" max="6153" width="11.33203125" customWidth="1"/>
    <col min="6154" max="6154" width="13.5546875" customWidth="1"/>
    <col min="6402" max="6402" width="35" customWidth="1"/>
    <col min="6403" max="6403" width="6" customWidth="1"/>
    <col min="6404" max="6404" width="8" customWidth="1"/>
    <col min="6405" max="6405" width="10.88671875" customWidth="1"/>
    <col min="6406" max="6406" width="7.33203125" customWidth="1"/>
    <col min="6407" max="6407" width="65.44140625" customWidth="1"/>
    <col min="6408" max="6408" width="18.6640625" customWidth="1"/>
    <col min="6409" max="6409" width="11.33203125" customWidth="1"/>
    <col min="6410" max="6410" width="13.5546875" customWidth="1"/>
    <col min="6658" max="6658" width="35" customWidth="1"/>
    <col min="6659" max="6659" width="6" customWidth="1"/>
    <col min="6660" max="6660" width="8" customWidth="1"/>
    <col min="6661" max="6661" width="10.88671875" customWidth="1"/>
    <col min="6662" max="6662" width="7.33203125" customWidth="1"/>
    <col min="6663" max="6663" width="65.44140625" customWidth="1"/>
    <col min="6664" max="6664" width="18.6640625" customWidth="1"/>
    <col min="6665" max="6665" width="11.33203125" customWidth="1"/>
    <col min="6666" max="6666" width="13.5546875" customWidth="1"/>
    <col min="6914" max="6914" width="35" customWidth="1"/>
    <col min="6915" max="6915" width="6" customWidth="1"/>
    <col min="6916" max="6916" width="8" customWidth="1"/>
    <col min="6917" max="6917" width="10.88671875" customWidth="1"/>
    <col min="6918" max="6918" width="7.33203125" customWidth="1"/>
    <col min="6919" max="6919" width="65.44140625" customWidth="1"/>
    <col min="6920" max="6920" width="18.6640625" customWidth="1"/>
    <col min="6921" max="6921" width="11.33203125" customWidth="1"/>
    <col min="6922" max="6922" width="13.5546875" customWidth="1"/>
    <col min="7170" max="7170" width="35" customWidth="1"/>
    <col min="7171" max="7171" width="6" customWidth="1"/>
    <col min="7172" max="7172" width="8" customWidth="1"/>
    <col min="7173" max="7173" width="10.88671875" customWidth="1"/>
    <col min="7174" max="7174" width="7.33203125" customWidth="1"/>
    <col min="7175" max="7175" width="65.44140625" customWidth="1"/>
    <col min="7176" max="7176" width="18.6640625" customWidth="1"/>
    <col min="7177" max="7177" width="11.33203125" customWidth="1"/>
    <col min="7178" max="7178" width="13.5546875" customWidth="1"/>
    <col min="7426" max="7426" width="35" customWidth="1"/>
    <col min="7427" max="7427" width="6" customWidth="1"/>
    <col min="7428" max="7428" width="8" customWidth="1"/>
    <col min="7429" max="7429" width="10.88671875" customWidth="1"/>
    <col min="7430" max="7430" width="7.33203125" customWidth="1"/>
    <col min="7431" max="7431" width="65.44140625" customWidth="1"/>
    <col min="7432" max="7432" width="18.6640625" customWidth="1"/>
    <col min="7433" max="7433" width="11.33203125" customWidth="1"/>
    <col min="7434" max="7434" width="13.5546875" customWidth="1"/>
    <col min="7682" max="7682" width="35" customWidth="1"/>
    <col min="7683" max="7683" width="6" customWidth="1"/>
    <col min="7684" max="7684" width="8" customWidth="1"/>
    <col min="7685" max="7685" width="10.88671875" customWidth="1"/>
    <col min="7686" max="7686" width="7.33203125" customWidth="1"/>
    <col min="7687" max="7687" width="65.44140625" customWidth="1"/>
    <col min="7688" max="7688" width="18.6640625" customWidth="1"/>
    <col min="7689" max="7689" width="11.33203125" customWidth="1"/>
    <col min="7690" max="7690" width="13.5546875" customWidth="1"/>
    <col min="7938" max="7938" width="35" customWidth="1"/>
    <col min="7939" max="7939" width="6" customWidth="1"/>
    <col min="7940" max="7940" width="8" customWidth="1"/>
    <col min="7941" max="7941" width="10.88671875" customWidth="1"/>
    <col min="7942" max="7942" width="7.33203125" customWidth="1"/>
    <col min="7943" max="7943" width="65.44140625" customWidth="1"/>
    <col min="7944" max="7944" width="18.6640625" customWidth="1"/>
    <col min="7945" max="7945" width="11.33203125" customWidth="1"/>
    <col min="7946" max="7946" width="13.5546875" customWidth="1"/>
    <col min="8194" max="8194" width="35" customWidth="1"/>
    <col min="8195" max="8195" width="6" customWidth="1"/>
    <col min="8196" max="8196" width="8" customWidth="1"/>
    <col min="8197" max="8197" width="10.88671875" customWidth="1"/>
    <col min="8198" max="8198" width="7.33203125" customWidth="1"/>
    <col min="8199" max="8199" width="65.44140625" customWidth="1"/>
    <col min="8200" max="8200" width="18.6640625" customWidth="1"/>
    <col min="8201" max="8201" width="11.33203125" customWidth="1"/>
    <col min="8202" max="8202" width="13.5546875" customWidth="1"/>
    <col min="8450" max="8450" width="35" customWidth="1"/>
    <col min="8451" max="8451" width="6" customWidth="1"/>
    <col min="8452" max="8452" width="8" customWidth="1"/>
    <col min="8453" max="8453" width="10.88671875" customWidth="1"/>
    <col min="8454" max="8454" width="7.33203125" customWidth="1"/>
    <col min="8455" max="8455" width="65.44140625" customWidth="1"/>
    <col min="8456" max="8456" width="18.6640625" customWidth="1"/>
    <col min="8457" max="8457" width="11.33203125" customWidth="1"/>
    <col min="8458" max="8458" width="13.5546875" customWidth="1"/>
    <col min="8706" max="8706" width="35" customWidth="1"/>
    <col min="8707" max="8707" width="6" customWidth="1"/>
    <col min="8708" max="8708" width="8" customWidth="1"/>
    <col min="8709" max="8709" width="10.88671875" customWidth="1"/>
    <col min="8710" max="8710" width="7.33203125" customWidth="1"/>
    <col min="8711" max="8711" width="65.44140625" customWidth="1"/>
    <col min="8712" max="8712" width="18.6640625" customWidth="1"/>
    <col min="8713" max="8713" width="11.33203125" customWidth="1"/>
    <col min="8714" max="8714" width="13.5546875" customWidth="1"/>
    <col min="8962" max="8962" width="35" customWidth="1"/>
    <col min="8963" max="8963" width="6" customWidth="1"/>
    <col min="8964" max="8964" width="8" customWidth="1"/>
    <col min="8965" max="8965" width="10.88671875" customWidth="1"/>
    <col min="8966" max="8966" width="7.33203125" customWidth="1"/>
    <col min="8967" max="8967" width="65.44140625" customWidth="1"/>
    <col min="8968" max="8968" width="18.6640625" customWidth="1"/>
    <col min="8969" max="8969" width="11.33203125" customWidth="1"/>
    <col min="8970" max="8970" width="13.5546875" customWidth="1"/>
    <col min="9218" max="9218" width="35" customWidth="1"/>
    <col min="9219" max="9219" width="6" customWidth="1"/>
    <col min="9220" max="9220" width="8" customWidth="1"/>
    <col min="9221" max="9221" width="10.88671875" customWidth="1"/>
    <col min="9222" max="9222" width="7.33203125" customWidth="1"/>
    <col min="9223" max="9223" width="65.44140625" customWidth="1"/>
    <col min="9224" max="9224" width="18.6640625" customWidth="1"/>
    <col min="9225" max="9225" width="11.33203125" customWidth="1"/>
    <col min="9226" max="9226" width="13.5546875" customWidth="1"/>
    <col min="9474" max="9474" width="35" customWidth="1"/>
    <col min="9475" max="9475" width="6" customWidth="1"/>
    <col min="9476" max="9476" width="8" customWidth="1"/>
    <col min="9477" max="9477" width="10.88671875" customWidth="1"/>
    <col min="9478" max="9478" width="7.33203125" customWidth="1"/>
    <col min="9479" max="9479" width="65.44140625" customWidth="1"/>
    <col min="9480" max="9480" width="18.6640625" customWidth="1"/>
    <col min="9481" max="9481" width="11.33203125" customWidth="1"/>
    <col min="9482" max="9482" width="13.5546875" customWidth="1"/>
    <col min="9730" max="9730" width="35" customWidth="1"/>
    <col min="9731" max="9731" width="6" customWidth="1"/>
    <col min="9732" max="9732" width="8" customWidth="1"/>
    <col min="9733" max="9733" width="10.88671875" customWidth="1"/>
    <col min="9734" max="9734" width="7.33203125" customWidth="1"/>
    <col min="9735" max="9735" width="65.44140625" customWidth="1"/>
    <col min="9736" max="9736" width="18.6640625" customWidth="1"/>
    <col min="9737" max="9737" width="11.33203125" customWidth="1"/>
    <col min="9738" max="9738" width="13.5546875" customWidth="1"/>
    <col min="9986" max="9986" width="35" customWidth="1"/>
    <col min="9987" max="9987" width="6" customWidth="1"/>
    <col min="9988" max="9988" width="8" customWidth="1"/>
    <col min="9989" max="9989" width="10.88671875" customWidth="1"/>
    <col min="9990" max="9990" width="7.33203125" customWidth="1"/>
    <col min="9991" max="9991" width="65.44140625" customWidth="1"/>
    <col min="9992" max="9992" width="18.6640625" customWidth="1"/>
    <col min="9993" max="9993" width="11.33203125" customWidth="1"/>
    <col min="9994" max="9994" width="13.5546875" customWidth="1"/>
    <col min="10242" max="10242" width="35" customWidth="1"/>
    <col min="10243" max="10243" width="6" customWidth="1"/>
    <col min="10244" max="10244" width="8" customWidth="1"/>
    <col min="10245" max="10245" width="10.88671875" customWidth="1"/>
    <col min="10246" max="10246" width="7.33203125" customWidth="1"/>
    <col min="10247" max="10247" width="65.44140625" customWidth="1"/>
    <col min="10248" max="10248" width="18.6640625" customWidth="1"/>
    <col min="10249" max="10249" width="11.33203125" customWidth="1"/>
    <col min="10250" max="10250" width="13.5546875" customWidth="1"/>
    <col min="10498" max="10498" width="35" customWidth="1"/>
    <col min="10499" max="10499" width="6" customWidth="1"/>
    <col min="10500" max="10500" width="8" customWidth="1"/>
    <col min="10501" max="10501" width="10.88671875" customWidth="1"/>
    <col min="10502" max="10502" width="7.33203125" customWidth="1"/>
    <col min="10503" max="10503" width="65.44140625" customWidth="1"/>
    <col min="10504" max="10504" width="18.6640625" customWidth="1"/>
    <col min="10505" max="10505" width="11.33203125" customWidth="1"/>
    <col min="10506" max="10506" width="13.5546875" customWidth="1"/>
    <col min="10754" max="10754" width="35" customWidth="1"/>
    <col min="10755" max="10755" width="6" customWidth="1"/>
    <col min="10756" max="10756" width="8" customWidth="1"/>
    <col min="10757" max="10757" width="10.88671875" customWidth="1"/>
    <col min="10758" max="10758" width="7.33203125" customWidth="1"/>
    <col min="10759" max="10759" width="65.44140625" customWidth="1"/>
    <col min="10760" max="10760" width="18.6640625" customWidth="1"/>
    <col min="10761" max="10761" width="11.33203125" customWidth="1"/>
    <col min="10762" max="10762" width="13.5546875" customWidth="1"/>
    <col min="11010" max="11010" width="35" customWidth="1"/>
    <col min="11011" max="11011" width="6" customWidth="1"/>
    <col min="11012" max="11012" width="8" customWidth="1"/>
    <col min="11013" max="11013" width="10.88671875" customWidth="1"/>
    <col min="11014" max="11014" width="7.33203125" customWidth="1"/>
    <col min="11015" max="11015" width="65.44140625" customWidth="1"/>
    <col min="11016" max="11016" width="18.6640625" customWidth="1"/>
    <col min="11017" max="11017" width="11.33203125" customWidth="1"/>
    <col min="11018" max="11018" width="13.5546875" customWidth="1"/>
    <col min="11266" max="11266" width="35" customWidth="1"/>
    <col min="11267" max="11267" width="6" customWidth="1"/>
    <col min="11268" max="11268" width="8" customWidth="1"/>
    <col min="11269" max="11269" width="10.88671875" customWidth="1"/>
    <col min="11270" max="11270" width="7.33203125" customWidth="1"/>
    <col min="11271" max="11271" width="65.44140625" customWidth="1"/>
    <col min="11272" max="11272" width="18.6640625" customWidth="1"/>
    <col min="11273" max="11273" width="11.33203125" customWidth="1"/>
    <col min="11274" max="11274" width="13.5546875" customWidth="1"/>
    <col min="11522" max="11522" width="35" customWidth="1"/>
    <col min="11523" max="11523" width="6" customWidth="1"/>
    <col min="11524" max="11524" width="8" customWidth="1"/>
    <col min="11525" max="11525" width="10.88671875" customWidth="1"/>
    <col min="11526" max="11526" width="7.33203125" customWidth="1"/>
    <col min="11527" max="11527" width="65.44140625" customWidth="1"/>
    <col min="11528" max="11528" width="18.6640625" customWidth="1"/>
    <col min="11529" max="11529" width="11.33203125" customWidth="1"/>
    <col min="11530" max="11530" width="13.5546875" customWidth="1"/>
    <col min="11778" max="11778" width="35" customWidth="1"/>
    <col min="11779" max="11779" width="6" customWidth="1"/>
    <col min="11780" max="11780" width="8" customWidth="1"/>
    <col min="11781" max="11781" width="10.88671875" customWidth="1"/>
    <col min="11782" max="11782" width="7.33203125" customWidth="1"/>
    <col min="11783" max="11783" width="65.44140625" customWidth="1"/>
    <col min="11784" max="11784" width="18.6640625" customWidth="1"/>
    <col min="11785" max="11785" width="11.33203125" customWidth="1"/>
    <col min="11786" max="11786" width="13.5546875" customWidth="1"/>
    <col min="12034" max="12034" width="35" customWidth="1"/>
    <col min="12035" max="12035" width="6" customWidth="1"/>
    <col min="12036" max="12036" width="8" customWidth="1"/>
    <col min="12037" max="12037" width="10.88671875" customWidth="1"/>
    <col min="12038" max="12038" width="7.33203125" customWidth="1"/>
    <col min="12039" max="12039" width="65.44140625" customWidth="1"/>
    <col min="12040" max="12040" width="18.6640625" customWidth="1"/>
    <col min="12041" max="12041" width="11.33203125" customWidth="1"/>
    <col min="12042" max="12042" width="13.5546875" customWidth="1"/>
    <col min="12290" max="12290" width="35" customWidth="1"/>
    <col min="12291" max="12291" width="6" customWidth="1"/>
    <col min="12292" max="12292" width="8" customWidth="1"/>
    <col min="12293" max="12293" width="10.88671875" customWidth="1"/>
    <col min="12294" max="12294" width="7.33203125" customWidth="1"/>
    <col min="12295" max="12295" width="65.44140625" customWidth="1"/>
    <col min="12296" max="12296" width="18.6640625" customWidth="1"/>
    <col min="12297" max="12297" width="11.33203125" customWidth="1"/>
    <col min="12298" max="12298" width="13.5546875" customWidth="1"/>
    <col min="12546" max="12546" width="35" customWidth="1"/>
    <col min="12547" max="12547" width="6" customWidth="1"/>
    <col min="12548" max="12548" width="8" customWidth="1"/>
    <col min="12549" max="12549" width="10.88671875" customWidth="1"/>
    <col min="12550" max="12550" width="7.33203125" customWidth="1"/>
    <col min="12551" max="12551" width="65.44140625" customWidth="1"/>
    <col min="12552" max="12552" width="18.6640625" customWidth="1"/>
    <col min="12553" max="12553" width="11.33203125" customWidth="1"/>
    <col min="12554" max="12554" width="13.5546875" customWidth="1"/>
    <col min="12802" max="12802" width="35" customWidth="1"/>
    <col min="12803" max="12803" width="6" customWidth="1"/>
    <col min="12804" max="12804" width="8" customWidth="1"/>
    <col min="12805" max="12805" width="10.88671875" customWidth="1"/>
    <col min="12806" max="12806" width="7.33203125" customWidth="1"/>
    <col min="12807" max="12807" width="65.44140625" customWidth="1"/>
    <col min="12808" max="12808" width="18.6640625" customWidth="1"/>
    <col min="12809" max="12809" width="11.33203125" customWidth="1"/>
    <col min="12810" max="12810" width="13.5546875" customWidth="1"/>
    <col min="13058" max="13058" width="35" customWidth="1"/>
    <col min="13059" max="13059" width="6" customWidth="1"/>
    <col min="13060" max="13060" width="8" customWidth="1"/>
    <col min="13061" max="13061" width="10.88671875" customWidth="1"/>
    <col min="13062" max="13062" width="7.33203125" customWidth="1"/>
    <col min="13063" max="13063" width="65.44140625" customWidth="1"/>
    <col min="13064" max="13064" width="18.6640625" customWidth="1"/>
    <col min="13065" max="13065" width="11.33203125" customWidth="1"/>
    <col min="13066" max="13066" width="13.5546875" customWidth="1"/>
    <col min="13314" max="13314" width="35" customWidth="1"/>
    <col min="13315" max="13315" width="6" customWidth="1"/>
    <col min="13316" max="13316" width="8" customWidth="1"/>
    <col min="13317" max="13317" width="10.88671875" customWidth="1"/>
    <col min="13318" max="13318" width="7.33203125" customWidth="1"/>
    <col min="13319" max="13319" width="65.44140625" customWidth="1"/>
    <col min="13320" max="13320" width="18.6640625" customWidth="1"/>
    <col min="13321" max="13321" width="11.33203125" customWidth="1"/>
    <col min="13322" max="13322" width="13.5546875" customWidth="1"/>
    <col min="13570" max="13570" width="35" customWidth="1"/>
    <col min="13571" max="13571" width="6" customWidth="1"/>
    <col min="13572" max="13572" width="8" customWidth="1"/>
    <col min="13573" max="13573" width="10.88671875" customWidth="1"/>
    <col min="13574" max="13574" width="7.33203125" customWidth="1"/>
    <col min="13575" max="13575" width="65.44140625" customWidth="1"/>
    <col min="13576" max="13576" width="18.6640625" customWidth="1"/>
    <col min="13577" max="13577" width="11.33203125" customWidth="1"/>
    <col min="13578" max="13578" width="13.5546875" customWidth="1"/>
    <col min="13826" max="13826" width="35" customWidth="1"/>
    <col min="13827" max="13827" width="6" customWidth="1"/>
    <col min="13828" max="13828" width="8" customWidth="1"/>
    <col min="13829" max="13829" width="10.88671875" customWidth="1"/>
    <col min="13830" max="13830" width="7.33203125" customWidth="1"/>
    <col min="13831" max="13831" width="65.44140625" customWidth="1"/>
    <col min="13832" max="13832" width="18.6640625" customWidth="1"/>
    <col min="13833" max="13833" width="11.33203125" customWidth="1"/>
    <col min="13834" max="13834" width="13.5546875" customWidth="1"/>
    <col min="14082" max="14082" width="35" customWidth="1"/>
    <col min="14083" max="14083" width="6" customWidth="1"/>
    <col min="14084" max="14084" width="8" customWidth="1"/>
    <col min="14085" max="14085" width="10.88671875" customWidth="1"/>
    <col min="14086" max="14086" width="7.33203125" customWidth="1"/>
    <col min="14087" max="14087" width="65.44140625" customWidth="1"/>
    <col min="14088" max="14088" width="18.6640625" customWidth="1"/>
    <col min="14089" max="14089" width="11.33203125" customWidth="1"/>
    <col min="14090" max="14090" width="13.5546875" customWidth="1"/>
    <col min="14338" max="14338" width="35" customWidth="1"/>
    <col min="14339" max="14339" width="6" customWidth="1"/>
    <col min="14340" max="14340" width="8" customWidth="1"/>
    <col min="14341" max="14341" width="10.88671875" customWidth="1"/>
    <col min="14342" max="14342" width="7.33203125" customWidth="1"/>
    <col min="14343" max="14343" width="65.44140625" customWidth="1"/>
    <col min="14344" max="14344" width="18.6640625" customWidth="1"/>
    <col min="14345" max="14345" width="11.33203125" customWidth="1"/>
    <col min="14346" max="14346" width="13.5546875" customWidth="1"/>
    <col min="14594" max="14594" width="35" customWidth="1"/>
    <col min="14595" max="14595" width="6" customWidth="1"/>
    <col min="14596" max="14596" width="8" customWidth="1"/>
    <col min="14597" max="14597" width="10.88671875" customWidth="1"/>
    <col min="14598" max="14598" width="7.33203125" customWidth="1"/>
    <col min="14599" max="14599" width="65.44140625" customWidth="1"/>
    <col min="14600" max="14600" width="18.6640625" customWidth="1"/>
    <col min="14601" max="14601" width="11.33203125" customWidth="1"/>
    <col min="14602" max="14602" width="13.5546875" customWidth="1"/>
    <col min="14850" max="14850" width="35" customWidth="1"/>
    <col min="14851" max="14851" width="6" customWidth="1"/>
    <col min="14852" max="14852" width="8" customWidth="1"/>
    <col min="14853" max="14853" width="10.88671875" customWidth="1"/>
    <col min="14854" max="14854" width="7.33203125" customWidth="1"/>
    <col min="14855" max="14855" width="65.44140625" customWidth="1"/>
    <col min="14856" max="14856" width="18.6640625" customWidth="1"/>
    <col min="14857" max="14857" width="11.33203125" customWidth="1"/>
    <col min="14858" max="14858" width="13.5546875" customWidth="1"/>
    <col min="15106" max="15106" width="35" customWidth="1"/>
    <col min="15107" max="15107" width="6" customWidth="1"/>
    <col min="15108" max="15108" width="8" customWidth="1"/>
    <col min="15109" max="15109" width="10.88671875" customWidth="1"/>
    <col min="15110" max="15110" width="7.33203125" customWidth="1"/>
    <col min="15111" max="15111" width="65.44140625" customWidth="1"/>
    <col min="15112" max="15112" width="18.6640625" customWidth="1"/>
    <col min="15113" max="15113" width="11.33203125" customWidth="1"/>
    <col min="15114" max="15114" width="13.5546875" customWidth="1"/>
    <col min="15362" max="15362" width="35" customWidth="1"/>
    <col min="15363" max="15363" width="6" customWidth="1"/>
    <col min="15364" max="15364" width="8" customWidth="1"/>
    <col min="15365" max="15365" width="10.88671875" customWidth="1"/>
    <col min="15366" max="15366" width="7.33203125" customWidth="1"/>
    <col min="15367" max="15367" width="65.44140625" customWidth="1"/>
    <col min="15368" max="15368" width="18.6640625" customWidth="1"/>
    <col min="15369" max="15369" width="11.33203125" customWidth="1"/>
    <col min="15370" max="15370" width="13.5546875" customWidth="1"/>
    <col min="15618" max="15618" width="35" customWidth="1"/>
    <col min="15619" max="15619" width="6" customWidth="1"/>
    <col min="15620" max="15620" width="8" customWidth="1"/>
    <col min="15621" max="15621" width="10.88671875" customWidth="1"/>
    <col min="15622" max="15622" width="7.33203125" customWidth="1"/>
    <col min="15623" max="15623" width="65.44140625" customWidth="1"/>
    <col min="15624" max="15624" width="18.6640625" customWidth="1"/>
    <col min="15625" max="15625" width="11.33203125" customWidth="1"/>
    <col min="15626" max="15626" width="13.5546875" customWidth="1"/>
    <col min="15874" max="15874" width="35" customWidth="1"/>
    <col min="15875" max="15875" width="6" customWidth="1"/>
    <col min="15876" max="15876" width="8" customWidth="1"/>
    <col min="15877" max="15877" width="10.88671875" customWidth="1"/>
    <col min="15878" max="15878" width="7.33203125" customWidth="1"/>
    <col min="15879" max="15879" width="65.44140625" customWidth="1"/>
    <col min="15880" max="15880" width="18.6640625" customWidth="1"/>
    <col min="15881" max="15881" width="11.33203125" customWidth="1"/>
    <col min="15882" max="15882" width="13.5546875" customWidth="1"/>
    <col min="16130" max="16130" width="35" customWidth="1"/>
    <col min="16131" max="16131" width="6" customWidth="1"/>
    <col min="16132" max="16132" width="8" customWidth="1"/>
    <col min="16133" max="16133" width="10.88671875" customWidth="1"/>
    <col min="16134" max="16134" width="7.33203125" customWidth="1"/>
    <col min="16135" max="16135" width="65.44140625" customWidth="1"/>
    <col min="16136" max="16136" width="18.6640625" customWidth="1"/>
    <col min="16137" max="16137" width="11.33203125" customWidth="1"/>
    <col min="16138" max="16138" width="13.5546875" customWidth="1"/>
  </cols>
  <sheetData>
    <row r="1" spans="1:10" ht="45.75" customHeight="1" thickBot="1">
      <c r="A1" s="72" t="s">
        <v>207</v>
      </c>
      <c r="B1" s="73" t="s">
        <v>208</v>
      </c>
      <c r="C1" s="73" t="s">
        <v>209</v>
      </c>
      <c r="D1" s="73" t="s">
        <v>210</v>
      </c>
      <c r="E1" s="73" t="s">
        <v>211</v>
      </c>
      <c r="F1" s="73" t="s">
        <v>212</v>
      </c>
      <c r="G1" s="73" t="s">
        <v>213</v>
      </c>
      <c r="H1" s="76" t="s">
        <v>214</v>
      </c>
      <c r="I1" s="189" t="s">
        <v>215</v>
      </c>
      <c r="J1" s="190" t="s">
        <v>216</v>
      </c>
    </row>
    <row r="2" spans="1:10">
      <c r="A2" s="88"/>
      <c r="B2" s="88"/>
      <c r="C2" s="110"/>
      <c r="D2" s="111"/>
      <c r="E2" s="112"/>
      <c r="F2" s="112"/>
      <c r="G2" s="74"/>
      <c r="H2" s="74"/>
      <c r="I2" s="107"/>
      <c r="J2" s="191"/>
    </row>
    <row r="3" spans="1:10">
      <c r="A3" s="88"/>
      <c r="B3" s="88"/>
      <c r="C3" s="110"/>
      <c r="D3" s="111"/>
      <c r="E3" s="112"/>
      <c r="F3" s="112"/>
      <c r="G3" s="74"/>
      <c r="H3" s="74"/>
      <c r="I3" s="107"/>
      <c r="J3" s="191"/>
    </row>
    <row r="4" spans="1:10">
      <c r="A4" s="88"/>
      <c r="B4" s="88"/>
      <c r="C4" s="110"/>
      <c r="D4" s="111"/>
      <c r="E4" s="112"/>
      <c r="F4" s="112"/>
      <c r="G4" s="74"/>
      <c r="H4" s="74"/>
      <c r="I4" s="107"/>
      <c r="J4" s="191"/>
    </row>
    <row r="5" spans="1:10">
      <c r="A5" s="88"/>
      <c r="B5" s="88"/>
      <c r="C5" s="110"/>
      <c r="D5" s="111"/>
      <c r="E5" s="112"/>
      <c r="F5" s="112"/>
      <c r="G5" s="74"/>
      <c r="H5" s="74"/>
      <c r="I5" s="107"/>
      <c r="J5" s="191"/>
    </row>
    <row r="6" spans="1:10">
      <c r="A6" s="88"/>
      <c r="B6" s="88"/>
      <c r="C6" s="110"/>
      <c r="D6" s="111"/>
      <c r="E6" s="112"/>
      <c r="F6" s="112"/>
      <c r="G6" s="74"/>
      <c r="H6" s="74"/>
      <c r="I6" s="107"/>
      <c r="J6" s="191"/>
    </row>
    <row r="7" spans="1:10">
      <c r="A7" s="88"/>
      <c r="B7" s="88"/>
      <c r="C7" s="110"/>
      <c r="D7" s="111"/>
      <c r="E7" s="112"/>
      <c r="F7" s="112"/>
      <c r="G7" s="74"/>
      <c r="H7" s="74"/>
      <c r="I7" s="107"/>
      <c r="J7" s="191"/>
    </row>
    <row r="8" spans="1:10">
      <c r="A8" s="88"/>
      <c r="B8" s="88"/>
      <c r="C8" s="110"/>
      <c r="D8" s="111"/>
      <c r="E8" s="112"/>
      <c r="F8" s="112"/>
      <c r="G8" s="74"/>
      <c r="H8" s="74"/>
      <c r="I8" s="107"/>
      <c r="J8" s="191"/>
    </row>
    <row r="9" spans="1:10">
      <c r="A9" s="88"/>
      <c r="B9" s="88"/>
      <c r="C9" s="110"/>
      <c r="D9" s="111"/>
      <c r="E9" s="112"/>
      <c r="F9" s="112"/>
      <c r="G9" s="74"/>
      <c r="H9" s="74"/>
      <c r="I9" s="107"/>
      <c r="J9" s="191"/>
    </row>
    <row r="10" spans="1:10">
      <c r="A10" s="88"/>
      <c r="B10" s="88"/>
      <c r="C10" s="110"/>
      <c r="D10" s="111"/>
      <c r="E10" s="112"/>
      <c r="F10" s="112"/>
      <c r="G10" s="74"/>
      <c r="H10" s="74"/>
      <c r="I10" s="107"/>
      <c r="J10" s="191"/>
    </row>
    <row r="11" spans="1:10" ht="34.200000000000003">
      <c r="A11" s="88"/>
      <c r="B11" s="49" t="s">
        <v>595</v>
      </c>
      <c r="C11" s="46" t="s">
        <v>594</v>
      </c>
      <c r="D11" s="35" t="s">
        <v>596</v>
      </c>
      <c r="E11" s="35" t="s">
        <v>597</v>
      </c>
      <c r="F11" s="112"/>
      <c r="G11" s="74" t="s">
        <v>1462</v>
      </c>
      <c r="H11" s="74"/>
      <c r="I11" s="107"/>
      <c r="J11" s="191"/>
    </row>
    <row r="12" spans="1:10" ht="22.8">
      <c r="A12" s="88"/>
      <c r="B12" s="49" t="s">
        <v>599</v>
      </c>
      <c r="C12" s="35" t="s">
        <v>598</v>
      </c>
      <c r="D12" s="35" t="s">
        <v>596</v>
      </c>
      <c r="E12" s="35" t="s">
        <v>597</v>
      </c>
      <c r="F12" s="112"/>
      <c r="G12" s="74" t="s">
        <v>1462</v>
      </c>
      <c r="H12" s="74"/>
      <c r="I12" s="107"/>
      <c r="J12" s="191"/>
    </row>
    <row r="13" spans="1:10">
      <c r="A13" s="88"/>
      <c r="B13" s="88"/>
      <c r="C13" s="110"/>
      <c r="D13" s="111"/>
      <c r="E13" s="112"/>
      <c r="F13" s="112"/>
      <c r="G13" s="74"/>
      <c r="H13" s="74"/>
      <c r="I13" s="107"/>
      <c r="J13" s="191"/>
    </row>
    <row r="14" spans="1:10">
      <c r="A14" s="88"/>
      <c r="B14" s="88"/>
      <c r="C14" s="110"/>
      <c r="D14" s="111"/>
      <c r="E14" s="112"/>
      <c r="F14" s="112"/>
      <c r="G14" s="74"/>
      <c r="H14" s="74"/>
      <c r="I14" s="107"/>
      <c r="J14" s="191"/>
    </row>
    <row r="15" spans="1:10">
      <c r="A15" s="110"/>
      <c r="B15" s="110"/>
      <c r="C15" s="110"/>
      <c r="D15" s="121"/>
      <c r="E15" s="121"/>
      <c r="F15" s="121"/>
      <c r="G15" s="74"/>
      <c r="H15" s="74"/>
      <c r="I15" s="107"/>
      <c r="J15" s="107"/>
    </row>
    <row r="16" spans="1:10">
      <c r="A16" s="110"/>
      <c r="B16" s="110"/>
      <c r="C16" s="110"/>
      <c r="D16" s="121"/>
      <c r="E16" s="121"/>
      <c r="F16" s="192"/>
      <c r="G16" s="193"/>
      <c r="I16" s="107"/>
      <c r="J16" s="107"/>
    </row>
    <row r="17" spans="1:10">
      <c r="A17" s="110"/>
      <c r="B17" s="110"/>
      <c r="C17" s="110"/>
      <c r="D17" s="121"/>
      <c r="E17" s="194"/>
      <c r="F17" s="195"/>
      <c r="G17" s="193"/>
      <c r="I17" s="107"/>
      <c r="J17" s="107"/>
    </row>
    <row r="18" spans="1:10">
      <c r="A18" s="123"/>
      <c r="B18" s="123"/>
      <c r="C18" s="103"/>
      <c r="D18" s="110"/>
      <c r="E18" s="110"/>
      <c r="F18" s="110"/>
      <c r="I18" s="196"/>
    </row>
    <row r="19" spans="1:10">
      <c r="A19" s="123"/>
      <c r="B19" s="123"/>
      <c r="C19" s="103"/>
      <c r="D19" s="110"/>
      <c r="E19" s="110"/>
      <c r="F19" s="110"/>
      <c r="I19" s="196"/>
    </row>
    <row r="20" spans="1:10">
      <c r="A20" s="110"/>
      <c r="B20" s="110"/>
      <c r="C20" s="110"/>
      <c r="D20" s="121"/>
      <c r="E20" s="121"/>
      <c r="F20" s="121"/>
      <c r="I20" s="107"/>
    </row>
    <row r="21" spans="1:10">
      <c r="A21" s="110"/>
      <c r="B21" s="102"/>
      <c r="C21" s="103"/>
      <c r="D21" s="114"/>
      <c r="E21" s="114"/>
      <c r="F21" s="114"/>
      <c r="I21" s="196"/>
    </row>
    <row r="22" spans="1:10">
      <c r="A22" s="110"/>
      <c r="B22" s="88"/>
      <c r="C22" s="103"/>
      <c r="D22" s="114"/>
      <c r="E22" s="114"/>
      <c r="F22" s="114"/>
      <c r="I22" s="196"/>
    </row>
    <row r="23" spans="1:10">
      <c r="C23" s="103"/>
      <c r="D23" s="211"/>
      <c r="E23" s="212"/>
      <c r="F23" s="211"/>
      <c r="I23" s="196"/>
    </row>
    <row r="24" spans="1:10">
      <c r="C24" s="103"/>
      <c r="D24" s="211"/>
      <c r="E24" s="212"/>
      <c r="F24" s="211"/>
      <c r="I24" s="196"/>
    </row>
    <row r="25" spans="1:10">
      <c r="I25" s="196"/>
    </row>
    <row r="26" spans="1:10">
      <c r="I26" s="196"/>
    </row>
    <row r="27" spans="1:10">
      <c r="I27" s="196"/>
    </row>
    <row r="28" spans="1:10">
      <c r="I28" s="196"/>
    </row>
    <row r="29" spans="1:10">
      <c r="I29" s="196"/>
    </row>
    <row r="30" spans="1:10">
      <c r="I30" s="196"/>
    </row>
    <row r="31" spans="1:10">
      <c r="I31" s="196"/>
    </row>
    <row r="32" spans="1:10">
      <c r="I32" s="196"/>
    </row>
    <row r="33" spans="1:9">
      <c r="I33" s="196"/>
    </row>
    <row r="34" spans="1:9">
      <c r="I34" s="196"/>
    </row>
    <row r="35" spans="1:9">
      <c r="I35" s="196"/>
    </row>
    <row r="36" spans="1:9">
      <c r="G36" s="54"/>
      <c r="I36" s="196"/>
    </row>
    <row r="37" spans="1:9">
      <c r="G37" s="54"/>
      <c r="I37" s="196"/>
    </row>
    <row r="38" spans="1:9">
      <c r="G38" s="54"/>
      <c r="I38" s="196"/>
    </row>
    <row r="39" spans="1:9">
      <c r="G39" s="54"/>
      <c r="I39" s="196"/>
    </row>
    <row r="40" spans="1:9">
      <c r="G40" s="54"/>
      <c r="I40" s="196"/>
    </row>
    <row r="41" spans="1:9">
      <c r="G41" s="54"/>
      <c r="I41" s="196"/>
    </row>
    <row r="42" spans="1:9">
      <c r="I42" s="196"/>
    </row>
    <row r="43" spans="1:9">
      <c r="I43" s="196"/>
    </row>
    <row r="44" spans="1:9">
      <c r="A44" s="70"/>
      <c r="B44" s="70"/>
      <c r="C44" s="70"/>
      <c r="D44" s="70"/>
      <c r="E44" s="70"/>
      <c r="F44" s="70"/>
      <c r="G44" s="70"/>
      <c r="H44" s="70"/>
      <c r="I44" s="196"/>
    </row>
    <row r="45" spans="1:9">
      <c r="I45" s="196"/>
    </row>
    <row r="46" spans="1:9">
      <c r="I46" s="196"/>
    </row>
    <row r="47" spans="1:9">
      <c r="I47" s="196"/>
    </row>
    <row r="48" spans="1:9">
      <c r="I48" s="196"/>
    </row>
    <row r="49" spans="9:9">
      <c r="I49" s="196"/>
    </row>
    <row r="50" spans="9:9">
      <c r="I50" s="196"/>
    </row>
    <row r="51" spans="9:9">
      <c r="I51" s="196"/>
    </row>
    <row r="52" spans="9:9">
      <c r="I52" s="196"/>
    </row>
    <row r="53" spans="9:9">
      <c r="I53" s="196"/>
    </row>
    <row r="54" spans="9:9">
      <c r="I54" s="196"/>
    </row>
    <row r="55" spans="9:9">
      <c r="I55" s="196"/>
    </row>
    <row r="56" spans="9:9">
      <c r="I56" s="196"/>
    </row>
    <row r="57" spans="9:9">
      <c r="I57" s="196"/>
    </row>
    <row r="58" spans="9:9">
      <c r="I58" s="196"/>
    </row>
    <row r="59" spans="9:9">
      <c r="I59" s="196"/>
    </row>
    <row r="60" spans="9:9">
      <c r="I60" s="196"/>
    </row>
    <row r="61" spans="9:9">
      <c r="I61" s="196"/>
    </row>
    <row r="62" spans="9:9">
      <c r="I62" s="196"/>
    </row>
    <row r="63" spans="9:9">
      <c r="I63" s="196"/>
    </row>
    <row r="64" spans="9:9">
      <c r="I64" s="196"/>
    </row>
    <row r="65" spans="9:9">
      <c r="I65" s="196"/>
    </row>
    <row r="66" spans="9:9">
      <c r="I66" s="196"/>
    </row>
    <row r="67" spans="9:9">
      <c r="I67" s="196"/>
    </row>
    <row r="68" spans="9:9">
      <c r="I68" s="196"/>
    </row>
    <row r="69" spans="9:9">
      <c r="I69" s="196"/>
    </row>
    <row r="70" spans="9:9">
      <c r="I70" s="196"/>
    </row>
    <row r="71" spans="9:9">
      <c r="I71" s="196"/>
    </row>
    <row r="72" spans="9:9">
      <c r="I72" s="196"/>
    </row>
    <row r="73" spans="9:9">
      <c r="I73" s="196"/>
    </row>
    <row r="74" spans="9:9">
      <c r="I74" s="196"/>
    </row>
    <row r="75" spans="9:9">
      <c r="I75" s="196"/>
    </row>
    <row r="76" spans="9:9">
      <c r="I76" s="196"/>
    </row>
    <row r="77" spans="9:9">
      <c r="I77" s="196"/>
    </row>
    <row r="78" spans="9:9">
      <c r="I78" s="196"/>
    </row>
    <row r="79" spans="9:9">
      <c r="I79" s="196"/>
    </row>
    <row r="80" spans="9:9">
      <c r="I80" s="196"/>
    </row>
    <row r="81" spans="9:9">
      <c r="I81" s="196"/>
    </row>
    <row r="82" spans="9:9">
      <c r="I82" s="196"/>
    </row>
    <row r="83" spans="9:9">
      <c r="I83" s="196"/>
    </row>
    <row r="84" spans="9:9">
      <c r="I84" s="196"/>
    </row>
    <row r="85" spans="9:9">
      <c r="I85" s="196"/>
    </row>
    <row r="86" spans="9:9">
      <c r="I86" s="196"/>
    </row>
    <row r="87" spans="9:9">
      <c r="I87" s="196"/>
    </row>
    <row r="88" spans="9:9">
      <c r="I88" s="196"/>
    </row>
    <row r="89" spans="9:9">
      <c r="I89" s="196"/>
    </row>
    <row r="90" spans="9:9">
      <c r="I90" s="196"/>
    </row>
    <row r="91" spans="9:9">
      <c r="I91" s="196"/>
    </row>
    <row r="92" spans="9:9">
      <c r="I92" s="196"/>
    </row>
    <row r="93" spans="9:9">
      <c r="I93" s="196"/>
    </row>
    <row r="94" spans="9:9">
      <c r="I94" s="196"/>
    </row>
    <row r="95" spans="9:9">
      <c r="I95" s="196"/>
    </row>
    <row r="96" spans="9:9">
      <c r="I96" s="196"/>
    </row>
    <row r="97" spans="1:9">
      <c r="I97" s="196"/>
    </row>
    <row r="98" spans="1:9">
      <c r="I98" s="196"/>
    </row>
    <row r="99" spans="1:9">
      <c r="I99" s="196"/>
    </row>
    <row r="100" spans="1:9">
      <c r="I100" s="196"/>
    </row>
    <row r="101" spans="1:9">
      <c r="I101" s="196"/>
    </row>
    <row r="102" spans="1:9">
      <c r="I102" s="196"/>
    </row>
    <row r="103" spans="1:9">
      <c r="I103" s="196"/>
    </row>
    <row r="104" spans="1:9">
      <c r="I104" s="196"/>
    </row>
    <row r="105" spans="1:9">
      <c r="I105" s="196"/>
    </row>
    <row r="106" spans="1:9">
      <c r="I106" s="196"/>
    </row>
    <row r="107" spans="1:9">
      <c r="I107" s="196"/>
    </row>
    <row r="108" spans="1:9">
      <c r="G108" s="54"/>
      <c r="H108" s="54"/>
      <c r="I108" s="196"/>
    </row>
    <row r="109" spans="1:9">
      <c r="G109" s="54"/>
      <c r="H109" s="54"/>
      <c r="I109" s="196"/>
    </row>
    <row r="110" spans="1:9">
      <c r="A110" s="15"/>
      <c r="B110" s="56"/>
      <c r="C110" s="15"/>
      <c r="D110" s="15"/>
      <c r="E110" s="15"/>
      <c r="F110" s="15"/>
      <c r="G110" s="54"/>
      <c r="H110" s="54"/>
      <c r="I110" s="196"/>
    </row>
    <row r="111" spans="1:9">
      <c r="A111" s="15"/>
      <c r="B111" s="46"/>
      <c r="C111" s="15"/>
      <c r="D111" s="15"/>
      <c r="E111" s="15"/>
      <c r="F111" s="15"/>
      <c r="G111" s="54"/>
      <c r="H111" s="54"/>
      <c r="I111" s="196"/>
    </row>
    <row r="112" spans="1:9">
      <c r="I112" s="196"/>
    </row>
    <row r="113" spans="9:9">
      <c r="I113" s="196"/>
    </row>
    <row r="114" spans="9:9">
      <c r="I114" s="196"/>
    </row>
    <row r="115" spans="9:9">
      <c r="I115" s="196"/>
    </row>
    <row r="116" spans="9:9">
      <c r="I116" s="196"/>
    </row>
    <row r="117" spans="9:9">
      <c r="I117" s="196"/>
    </row>
    <row r="118" spans="9:9">
      <c r="I118" s="196"/>
    </row>
    <row r="119" spans="9:9">
      <c r="I119" s="196"/>
    </row>
    <row r="120" spans="9:9">
      <c r="I120" s="196"/>
    </row>
    <row r="121" spans="9:9">
      <c r="I121" s="196"/>
    </row>
    <row r="122" spans="9:9">
      <c r="I122" s="196"/>
    </row>
    <row r="123" spans="9:9">
      <c r="I123" s="196"/>
    </row>
    <row r="124" spans="9:9">
      <c r="I124" s="196"/>
    </row>
    <row r="125" spans="9:9">
      <c r="I125" s="196"/>
    </row>
    <row r="126" spans="9:9">
      <c r="I126" s="196"/>
    </row>
    <row r="127" spans="9:9">
      <c r="I127" s="196"/>
    </row>
    <row r="128" spans="9:9">
      <c r="I128" s="196"/>
    </row>
    <row r="129" spans="9:9">
      <c r="I129" s="196"/>
    </row>
    <row r="130" spans="9:9">
      <c r="I130" s="196"/>
    </row>
    <row r="131" spans="9:9">
      <c r="I131" s="196"/>
    </row>
    <row r="132" spans="9:9">
      <c r="I132" s="196"/>
    </row>
    <row r="133" spans="9:9">
      <c r="I133" s="196"/>
    </row>
    <row r="134" spans="9:9">
      <c r="I134" s="196"/>
    </row>
    <row r="135" spans="9:9">
      <c r="I135" s="196"/>
    </row>
    <row r="136" spans="9:9">
      <c r="I136" s="196"/>
    </row>
    <row r="137" spans="9:9">
      <c r="I137" s="196"/>
    </row>
    <row r="138" spans="9:9">
      <c r="I138" s="196"/>
    </row>
    <row r="139" spans="9:9">
      <c r="I139" s="196"/>
    </row>
    <row r="140" spans="9:9">
      <c r="I140" s="196"/>
    </row>
    <row r="141" spans="9:9">
      <c r="I141" s="196"/>
    </row>
    <row r="142" spans="9:9">
      <c r="I142" s="196"/>
    </row>
    <row r="143" spans="9:9">
      <c r="I143" s="196"/>
    </row>
    <row r="144" spans="9:9">
      <c r="I144" s="196"/>
    </row>
    <row r="145" spans="9:9">
      <c r="I145" s="196"/>
    </row>
    <row r="146" spans="9:9">
      <c r="I146" s="196"/>
    </row>
    <row r="147" spans="9:9">
      <c r="I147" s="196"/>
    </row>
    <row r="148" spans="9:9">
      <c r="I148" s="196"/>
    </row>
    <row r="149" spans="9:9">
      <c r="I149" s="196"/>
    </row>
    <row r="150" spans="9:9">
      <c r="I150" s="196"/>
    </row>
    <row r="151" spans="9:9">
      <c r="I151" s="196"/>
    </row>
    <row r="152" spans="9:9">
      <c r="I152" s="196"/>
    </row>
    <row r="153" spans="9:9">
      <c r="I153" s="196"/>
    </row>
    <row r="154" spans="9:9">
      <c r="I154" s="196"/>
    </row>
    <row r="155" spans="9:9">
      <c r="I155" s="196"/>
    </row>
    <row r="156" spans="9:9">
      <c r="I156" s="196"/>
    </row>
    <row r="157" spans="9:9">
      <c r="I157" s="196"/>
    </row>
    <row r="158" spans="9:9">
      <c r="I158" s="196"/>
    </row>
    <row r="159" spans="9:9">
      <c r="I159" s="196"/>
    </row>
    <row r="160" spans="9:9">
      <c r="I160" s="196"/>
    </row>
    <row r="161" spans="9:9">
      <c r="I161" s="196"/>
    </row>
    <row r="162" spans="9:9">
      <c r="I162" s="196"/>
    </row>
    <row r="163" spans="9:9">
      <c r="I163" s="196"/>
    </row>
    <row r="164" spans="9:9">
      <c r="I164" s="196"/>
    </row>
    <row r="165" spans="9:9">
      <c r="I165" s="196"/>
    </row>
    <row r="166" spans="9:9">
      <c r="I166" s="196"/>
    </row>
    <row r="167" spans="9:9">
      <c r="I167" s="196"/>
    </row>
    <row r="168" spans="9:9">
      <c r="I168" s="196"/>
    </row>
    <row r="169" spans="9:9">
      <c r="I169" s="196"/>
    </row>
    <row r="170" spans="9:9">
      <c r="I170" s="196"/>
    </row>
    <row r="171" spans="9:9">
      <c r="I171" s="196"/>
    </row>
    <row r="172" spans="9:9">
      <c r="I172" s="196"/>
    </row>
    <row r="173" spans="9:9">
      <c r="I173" s="196"/>
    </row>
    <row r="174" spans="9:9">
      <c r="I174" s="196"/>
    </row>
    <row r="175" spans="9:9">
      <c r="I175" s="196"/>
    </row>
    <row r="176" spans="9:9">
      <c r="I176" s="196"/>
    </row>
    <row r="177" spans="9:9">
      <c r="I177" s="196"/>
    </row>
    <row r="178" spans="9:9">
      <c r="I178" s="196"/>
    </row>
    <row r="179" spans="9:9">
      <c r="I179" s="196"/>
    </row>
    <row r="180" spans="9:9">
      <c r="I180" s="196"/>
    </row>
    <row r="181" spans="9:9">
      <c r="I181" s="196"/>
    </row>
    <row r="182" spans="9:9">
      <c r="I182" s="196"/>
    </row>
    <row r="183" spans="9:9">
      <c r="I183" s="196"/>
    </row>
    <row r="184" spans="9:9">
      <c r="I184" s="196"/>
    </row>
    <row r="185" spans="9:9">
      <c r="I185" s="196"/>
    </row>
    <row r="186" spans="9:9">
      <c r="I186" s="196"/>
    </row>
    <row r="187" spans="9:9">
      <c r="I187" s="196"/>
    </row>
    <row r="188" spans="9:9">
      <c r="I188" s="196"/>
    </row>
    <row r="189" spans="9:9">
      <c r="I189" s="196"/>
    </row>
    <row r="190" spans="9:9">
      <c r="I190" s="196"/>
    </row>
    <row r="191" spans="9:9">
      <c r="I191" s="196"/>
    </row>
    <row r="192" spans="9:9">
      <c r="I192" s="196"/>
    </row>
    <row r="193" spans="9:9">
      <c r="I193" s="196"/>
    </row>
    <row r="194" spans="9:9">
      <c r="I194" s="196"/>
    </row>
    <row r="195" spans="9:9">
      <c r="I195" s="196"/>
    </row>
    <row r="196" spans="9:9">
      <c r="I196" s="196"/>
    </row>
    <row r="197" spans="9:9">
      <c r="I197" s="196"/>
    </row>
    <row r="198" spans="9:9">
      <c r="I198" s="196"/>
    </row>
    <row r="199" spans="9:9">
      <c r="I199" s="196"/>
    </row>
    <row r="200" spans="9:9">
      <c r="I200" s="196"/>
    </row>
    <row r="201" spans="9:9">
      <c r="I201" s="196"/>
    </row>
    <row r="202" spans="9:9">
      <c r="I202" s="196"/>
    </row>
    <row r="203" spans="9:9">
      <c r="I203" s="196"/>
    </row>
    <row r="204" spans="9:9">
      <c r="I204" s="196"/>
    </row>
    <row r="205" spans="9:9">
      <c r="I205" s="196"/>
    </row>
    <row r="206" spans="9:9">
      <c r="I206" s="196"/>
    </row>
    <row r="207" spans="9:9">
      <c r="I207" s="196"/>
    </row>
    <row r="208" spans="9:9">
      <c r="I208" s="196"/>
    </row>
    <row r="209" spans="9:9">
      <c r="I209" s="196"/>
    </row>
    <row r="210" spans="9:9">
      <c r="I210" s="196"/>
    </row>
    <row r="211" spans="9:9">
      <c r="I211" s="196"/>
    </row>
    <row r="212" spans="9:9">
      <c r="I212" s="196"/>
    </row>
    <row r="213" spans="9:9">
      <c r="I213" s="196"/>
    </row>
    <row r="214" spans="9:9">
      <c r="I214" s="196"/>
    </row>
    <row r="215" spans="9:9">
      <c r="I215" s="196"/>
    </row>
    <row r="216" spans="9:9">
      <c r="I216" s="196"/>
    </row>
    <row r="217" spans="9:9">
      <c r="I217" s="196"/>
    </row>
    <row r="218" spans="9:9">
      <c r="I218" s="196"/>
    </row>
    <row r="219" spans="9:9">
      <c r="I219" s="196"/>
    </row>
    <row r="220" spans="9:9">
      <c r="I220" s="196"/>
    </row>
    <row r="221" spans="9:9">
      <c r="I221" s="196"/>
    </row>
    <row r="222" spans="9:9">
      <c r="I222" s="196"/>
    </row>
    <row r="223" spans="9:9">
      <c r="I223" s="196"/>
    </row>
    <row r="224" spans="9:9">
      <c r="I224" s="196"/>
    </row>
    <row r="225" spans="9:9">
      <c r="I225" s="196"/>
    </row>
    <row r="226" spans="9:9">
      <c r="I226" s="196"/>
    </row>
    <row r="227" spans="9:9">
      <c r="I227" s="196"/>
    </row>
    <row r="228" spans="9:9">
      <c r="I228" s="196"/>
    </row>
    <row r="229" spans="9:9">
      <c r="I229" s="196"/>
    </row>
    <row r="230" spans="9:9">
      <c r="I230" s="196"/>
    </row>
    <row r="231" spans="9:9">
      <c r="I231" s="196"/>
    </row>
    <row r="232" spans="9:9">
      <c r="I232" s="196"/>
    </row>
    <row r="233" spans="9:9">
      <c r="I233" s="196"/>
    </row>
    <row r="234" spans="9:9">
      <c r="I234" s="196"/>
    </row>
    <row r="235" spans="9:9">
      <c r="I235" s="196"/>
    </row>
    <row r="236" spans="9:9">
      <c r="I236" s="196"/>
    </row>
    <row r="237" spans="9:9">
      <c r="I237" s="196"/>
    </row>
    <row r="238" spans="9:9">
      <c r="I238" s="196"/>
    </row>
    <row r="239" spans="9:9">
      <c r="I239" s="196"/>
    </row>
    <row r="240" spans="9:9">
      <c r="I240" s="196"/>
    </row>
    <row r="241" spans="9:9">
      <c r="I241" s="196"/>
    </row>
    <row r="242" spans="9:9">
      <c r="I242" s="196"/>
    </row>
    <row r="243" spans="9:9">
      <c r="I243" s="196"/>
    </row>
    <row r="244" spans="9:9">
      <c r="I244" s="196"/>
    </row>
    <row r="245" spans="9:9">
      <c r="I245" s="196"/>
    </row>
    <row r="246" spans="9:9">
      <c r="I246" s="196"/>
    </row>
    <row r="247" spans="9:9">
      <c r="I247" s="196"/>
    </row>
    <row r="248" spans="9:9">
      <c r="I248" s="196"/>
    </row>
    <row r="249" spans="9:9">
      <c r="I249" s="196"/>
    </row>
    <row r="250" spans="9:9">
      <c r="I250" s="196"/>
    </row>
    <row r="251" spans="9:9">
      <c r="I251" s="196"/>
    </row>
    <row r="252" spans="9:9">
      <c r="I252" s="196"/>
    </row>
    <row r="253" spans="9:9">
      <c r="I253" s="196"/>
    </row>
    <row r="254" spans="9:9">
      <c r="I254" s="196"/>
    </row>
    <row r="255" spans="9:9">
      <c r="I255" s="196"/>
    </row>
    <row r="256" spans="9:9">
      <c r="I256" s="196"/>
    </row>
    <row r="257" spans="9:9">
      <c r="I257" s="196"/>
    </row>
    <row r="258" spans="9:9">
      <c r="I258" s="196"/>
    </row>
    <row r="259" spans="9:9">
      <c r="I259" s="196"/>
    </row>
    <row r="260" spans="9:9">
      <c r="I260" s="196"/>
    </row>
    <row r="261" spans="9:9">
      <c r="I261" s="196"/>
    </row>
    <row r="262" spans="9:9">
      <c r="I262" s="196"/>
    </row>
    <row r="263" spans="9:9">
      <c r="I263" s="196"/>
    </row>
    <row r="264" spans="9:9">
      <c r="I264" s="196"/>
    </row>
    <row r="265" spans="9:9">
      <c r="I265" s="196"/>
    </row>
    <row r="266" spans="9:9">
      <c r="I266" s="196"/>
    </row>
    <row r="267" spans="9:9">
      <c r="I267" s="196"/>
    </row>
    <row r="268" spans="9:9">
      <c r="I268" s="196"/>
    </row>
    <row r="269" spans="9:9">
      <c r="I269" s="196"/>
    </row>
    <row r="270" spans="9:9">
      <c r="I270" s="196"/>
    </row>
    <row r="271" spans="9:9">
      <c r="I271" s="196"/>
    </row>
    <row r="272" spans="9:9">
      <c r="I272" s="196"/>
    </row>
    <row r="273" spans="9:9">
      <c r="I273" s="196"/>
    </row>
    <row r="274" spans="9:9">
      <c r="I274" s="196"/>
    </row>
    <row r="275" spans="9:9">
      <c r="I275" s="196"/>
    </row>
    <row r="276" spans="9:9">
      <c r="I276" s="196"/>
    </row>
    <row r="277" spans="9:9">
      <c r="I277" s="196"/>
    </row>
    <row r="278" spans="9:9">
      <c r="I278" s="196"/>
    </row>
    <row r="279" spans="9:9">
      <c r="I279" s="196"/>
    </row>
    <row r="280" spans="9:9">
      <c r="I280" s="196"/>
    </row>
    <row r="281" spans="9:9">
      <c r="I281" s="196"/>
    </row>
    <row r="282" spans="9:9">
      <c r="I282" s="196"/>
    </row>
    <row r="283" spans="9:9">
      <c r="I283" s="196"/>
    </row>
    <row r="284" spans="9:9">
      <c r="I284" s="196"/>
    </row>
    <row r="285" spans="9:9">
      <c r="I285" s="196"/>
    </row>
    <row r="286" spans="9:9">
      <c r="I286" s="196"/>
    </row>
    <row r="287" spans="9:9">
      <c r="I287" s="196"/>
    </row>
    <row r="288" spans="9:9">
      <c r="I288" s="196"/>
    </row>
    <row r="289" spans="9:9">
      <c r="I289" s="196"/>
    </row>
    <row r="290" spans="9:9">
      <c r="I290" s="196"/>
    </row>
    <row r="291" spans="9:9">
      <c r="I291" s="196"/>
    </row>
    <row r="292" spans="9:9">
      <c r="I292" s="196"/>
    </row>
    <row r="293" spans="9:9">
      <c r="I293" s="196"/>
    </row>
    <row r="294" spans="9:9">
      <c r="I294" s="196"/>
    </row>
    <row r="295" spans="9:9">
      <c r="I295" s="196"/>
    </row>
    <row r="296" spans="9:9">
      <c r="I296" s="196"/>
    </row>
    <row r="297" spans="9:9">
      <c r="I297" s="196"/>
    </row>
    <row r="298" spans="9:9">
      <c r="I298" s="196"/>
    </row>
    <row r="299" spans="9:9">
      <c r="I299" s="196"/>
    </row>
    <row r="300" spans="9:9">
      <c r="I300" s="196"/>
    </row>
    <row r="301" spans="9:9">
      <c r="I301" s="196"/>
    </row>
    <row r="302" spans="9:9">
      <c r="I302" s="196"/>
    </row>
    <row r="303" spans="9:9">
      <c r="I303" s="196"/>
    </row>
    <row r="304" spans="9:9">
      <c r="I304" s="196"/>
    </row>
    <row r="305" spans="9:9">
      <c r="I305" s="196"/>
    </row>
    <row r="306" spans="9:9">
      <c r="I306" s="196"/>
    </row>
    <row r="307" spans="9:9">
      <c r="I307" s="196"/>
    </row>
    <row r="308" spans="9:9">
      <c r="I308" s="196"/>
    </row>
    <row r="309" spans="9:9">
      <c r="I309" s="196"/>
    </row>
    <row r="310" spans="9:9">
      <c r="I310" s="196"/>
    </row>
    <row r="311" spans="9:9">
      <c r="I311" s="196"/>
    </row>
    <row r="312" spans="9:9">
      <c r="I312" s="196"/>
    </row>
    <row r="313" spans="9:9">
      <c r="I313" s="196"/>
    </row>
    <row r="314" spans="9:9">
      <c r="I314" s="196"/>
    </row>
    <row r="315" spans="9:9">
      <c r="I315" s="196"/>
    </row>
    <row r="316" spans="9:9">
      <c r="I316" s="196"/>
    </row>
    <row r="317" spans="9:9">
      <c r="I317" s="196"/>
    </row>
    <row r="318" spans="9:9">
      <c r="I318" s="196"/>
    </row>
    <row r="319" spans="9:9">
      <c r="I319" s="196"/>
    </row>
    <row r="320" spans="9:9">
      <c r="I320" s="196"/>
    </row>
    <row r="321" spans="9:9">
      <c r="I321" s="196"/>
    </row>
    <row r="322" spans="9:9">
      <c r="I322" s="196"/>
    </row>
    <row r="323" spans="9:9">
      <c r="I323" s="196"/>
    </row>
    <row r="324" spans="9:9">
      <c r="I324" s="196"/>
    </row>
    <row r="325" spans="9:9">
      <c r="I325" s="196"/>
    </row>
    <row r="326" spans="9:9">
      <c r="I326" s="196"/>
    </row>
    <row r="327" spans="9:9">
      <c r="I327" s="196"/>
    </row>
    <row r="328" spans="9:9">
      <c r="I328" s="196"/>
    </row>
    <row r="329" spans="9:9">
      <c r="I329" s="196"/>
    </row>
    <row r="330" spans="9:9">
      <c r="I330" s="196"/>
    </row>
    <row r="331" spans="9:9">
      <c r="I331" s="196"/>
    </row>
    <row r="332" spans="9:9">
      <c r="I332" s="196"/>
    </row>
    <row r="333" spans="9:9">
      <c r="I333" s="196"/>
    </row>
    <row r="334" spans="9:9">
      <c r="I334" s="196"/>
    </row>
    <row r="335" spans="9:9">
      <c r="I335" s="196"/>
    </row>
    <row r="336" spans="9:9">
      <c r="I336" s="196"/>
    </row>
    <row r="337" spans="9:9">
      <c r="I337" s="196"/>
    </row>
    <row r="338" spans="9:9">
      <c r="I338" s="196"/>
    </row>
    <row r="339" spans="9:9">
      <c r="I339" s="196"/>
    </row>
    <row r="340" spans="9:9">
      <c r="I340" s="196"/>
    </row>
    <row r="341" spans="9:9">
      <c r="I341" s="196"/>
    </row>
    <row r="342" spans="9:9">
      <c r="I342" s="196"/>
    </row>
    <row r="343" spans="9:9">
      <c r="I343" s="196"/>
    </row>
    <row r="344" spans="9:9">
      <c r="I344" s="196"/>
    </row>
    <row r="345" spans="9:9">
      <c r="I345" s="196"/>
    </row>
    <row r="346" spans="9:9">
      <c r="I346" s="196"/>
    </row>
    <row r="347" spans="9:9">
      <c r="I347" s="196"/>
    </row>
    <row r="348" spans="9:9">
      <c r="I348" s="196"/>
    </row>
    <row r="349" spans="9:9">
      <c r="I349" s="196"/>
    </row>
    <row r="350" spans="9:9">
      <c r="I350" s="196"/>
    </row>
    <row r="351" spans="9:9">
      <c r="I351" s="196"/>
    </row>
    <row r="352" spans="9:9">
      <c r="I352" s="196"/>
    </row>
    <row r="353" spans="9:9">
      <c r="I353" s="196"/>
    </row>
    <row r="354" spans="9:9">
      <c r="I354" s="196"/>
    </row>
    <row r="355" spans="9:9">
      <c r="I355" s="196"/>
    </row>
    <row r="356" spans="9:9">
      <c r="I356" s="196"/>
    </row>
    <row r="357" spans="9:9">
      <c r="I357" s="196"/>
    </row>
    <row r="358" spans="9:9">
      <c r="I358" s="196"/>
    </row>
    <row r="359" spans="9:9">
      <c r="I359" s="196"/>
    </row>
    <row r="360" spans="9:9">
      <c r="I360" s="196"/>
    </row>
    <row r="361" spans="9:9">
      <c r="I361" s="196"/>
    </row>
    <row r="362" spans="9:9">
      <c r="I362" s="196"/>
    </row>
    <row r="363" spans="9:9">
      <c r="I363" s="196"/>
    </row>
    <row r="364" spans="9:9">
      <c r="I364" s="196"/>
    </row>
    <row r="365" spans="9:9">
      <c r="I365" s="196"/>
    </row>
    <row r="366" spans="9:9">
      <c r="I366" s="196"/>
    </row>
    <row r="367" spans="9:9">
      <c r="I367" s="196"/>
    </row>
    <row r="368" spans="9:9">
      <c r="I368" s="196"/>
    </row>
    <row r="369" spans="9:9">
      <c r="I369" s="196"/>
    </row>
    <row r="370" spans="9:9">
      <c r="I370" s="196"/>
    </row>
    <row r="371" spans="9:9">
      <c r="I371" s="196"/>
    </row>
    <row r="372" spans="9:9">
      <c r="I372" s="196"/>
    </row>
    <row r="373" spans="9:9">
      <c r="I373" s="196"/>
    </row>
    <row r="374" spans="9:9">
      <c r="I374" s="196"/>
    </row>
    <row r="375" spans="9:9">
      <c r="I375" s="196"/>
    </row>
    <row r="376" spans="9:9">
      <c r="I376" s="196"/>
    </row>
    <row r="377" spans="9:9">
      <c r="I377" s="196"/>
    </row>
    <row r="378" spans="9:9">
      <c r="I378" s="196"/>
    </row>
    <row r="379" spans="9:9">
      <c r="I379" s="196"/>
    </row>
    <row r="380" spans="9:9">
      <c r="I380" s="196"/>
    </row>
    <row r="381" spans="9:9">
      <c r="I381" s="196"/>
    </row>
    <row r="382" spans="9:9">
      <c r="I382" s="196"/>
    </row>
    <row r="383" spans="9:9">
      <c r="I383" s="196"/>
    </row>
    <row r="384" spans="9:9">
      <c r="I384" s="196"/>
    </row>
    <row r="385" spans="9:9">
      <c r="I385" s="196"/>
    </row>
    <row r="386" spans="9:9">
      <c r="I386" s="196"/>
    </row>
    <row r="387" spans="9:9">
      <c r="I387" s="196"/>
    </row>
    <row r="388" spans="9:9">
      <c r="I388" s="196"/>
    </row>
    <row r="389" spans="9:9">
      <c r="I389" s="196"/>
    </row>
    <row r="390" spans="9:9">
      <c r="I390" s="196"/>
    </row>
    <row r="391" spans="9:9">
      <c r="I391" s="196"/>
    </row>
    <row r="392" spans="9:9">
      <c r="I392" s="196"/>
    </row>
    <row r="393" spans="9:9">
      <c r="I393" s="196"/>
    </row>
    <row r="394" spans="9:9">
      <c r="I394" s="196"/>
    </row>
    <row r="395" spans="9:9">
      <c r="I395" s="196"/>
    </row>
    <row r="396" spans="9:9">
      <c r="I396" s="196"/>
    </row>
    <row r="397" spans="9:9">
      <c r="I397" s="196"/>
    </row>
    <row r="398" spans="9:9">
      <c r="I398" s="196"/>
    </row>
    <row r="399" spans="9:9">
      <c r="I399" s="196"/>
    </row>
    <row r="400" spans="9:9">
      <c r="I400" s="196"/>
    </row>
    <row r="401" spans="9:9">
      <c r="I401" s="196"/>
    </row>
    <row r="402" spans="9:9">
      <c r="I402" s="196"/>
    </row>
    <row r="403" spans="9:9">
      <c r="I403" s="196"/>
    </row>
    <row r="404" spans="9:9">
      <c r="I404" s="196"/>
    </row>
    <row r="405" spans="9:9">
      <c r="I405" s="196"/>
    </row>
    <row r="406" spans="9:9">
      <c r="I406" s="196"/>
    </row>
    <row r="407" spans="9:9">
      <c r="I407" s="196"/>
    </row>
    <row r="408" spans="9:9">
      <c r="I408" s="196"/>
    </row>
    <row r="409" spans="9:9">
      <c r="I409" s="196"/>
    </row>
    <row r="410" spans="9:9">
      <c r="I410" s="196"/>
    </row>
    <row r="411" spans="9:9">
      <c r="I411" s="196"/>
    </row>
    <row r="412" spans="9:9">
      <c r="I412" s="196"/>
    </row>
    <row r="413" spans="9:9">
      <c r="I413" s="196"/>
    </row>
    <row r="414" spans="9:9">
      <c r="I414" s="196"/>
    </row>
    <row r="415" spans="9:9">
      <c r="I415" s="196"/>
    </row>
    <row r="416" spans="9:9">
      <c r="I416" s="196"/>
    </row>
    <row r="417" spans="9:9">
      <c r="I417" s="196"/>
    </row>
    <row r="418" spans="9:9">
      <c r="I418" s="196"/>
    </row>
    <row r="419" spans="9:9">
      <c r="I419" s="196"/>
    </row>
    <row r="420" spans="9:9">
      <c r="I420" s="196"/>
    </row>
    <row r="421" spans="9:9">
      <c r="I421" s="196"/>
    </row>
    <row r="422" spans="9:9">
      <c r="I422" s="196"/>
    </row>
    <row r="423" spans="9:9">
      <c r="I423" s="196"/>
    </row>
    <row r="424" spans="9:9">
      <c r="I424" s="196"/>
    </row>
    <row r="425" spans="9:9">
      <c r="I425" s="196"/>
    </row>
    <row r="426" spans="9:9">
      <c r="I426" s="196"/>
    </row>
    <row r="427" spans="9:9">
      <c r="I427" s="196"/>
    </row>
    <row r="428" spans="9:9">
      <c r="I428" s="196"/>
    </row>
    <row r="429" spans="9:9">
      <c r="I429" s="196"/>
    </row>
    <row r="430" spans="9:9">
      <c r="I430" s="196"/>
    </row>
    <row r="431" spans="9:9">
      <c r="I431" s="196"/>
    </row>
    <row r="432" spans="9:9">
      <c r="I432" s="196"/>
    </row>
    <row r="433" spans="9:9">
      <c r="I433" s="196"/>
    </row>
    <row r="434" spans="9:9">
      <c r="I434" s="196"/>
    </row>
    <row r="435" spans="9:9">
      <c r="I435" s="196"/>
    </row>
    <row r="436" spans="9:9">
      <c r="I436" s="196"/>
    </row>
    <row r="437" spans="9:9">
      <c r="I437" s="196"/>
    </row>
    <row r="438" spans="9:9">
      <c r="I438" s="196"/>
    </row>
    <row r="439" spans="9:9">
      <c r="I439" s="196"/>
    </row>
    <row r="440" spans="9:9">
      <c r="I440" s="196"/>
    </row>
    <row r="441" spans="9:9">
      <c r="I441" s="196"/>
    </row>
    <row r="442" spans="9:9">
      <c r="I442" s="196"/>
    </row>
    <row r="443" spans="9:9">
      <c r="I443" s="196"/>
    </row>
    <row r="444" spans="9:9">
      <c r="I444" s="196"/>
    </row>
    <row r="543" spans="1:6">
      <c r="A543" s="84"/>
      <c r="B543" s="83"/>
      <c r="C543" s="84"/>
      <c r="D543" s="84"/>
      <c r="E543" s="84"/>
      <c r="F543" s="84"/>
    </row>
    <row r="544" spans="1:6">
      <c r="A544" s="15"/>
      <c r="B544" s="46"/>
      <c r="C544" s="15"/>
      <c r="D544" s="15"/>
      <c r="E544" s="15"/>
      <c r="F544" s="15"/>
    </row>
    <row r="545" spans="1:6">
      <c r="A545" s="15"/>
      <c r="B545" s="46"/>
      <c r="C545" s="15"/>
      <c r="D545" s="15"/>
      <c r="E545" s="15"/>
      <c r="F545" s="15"/>
    </row>
    <row r="546" spans="1:6">
      <c r="A546" s="15"/>
      <c r="B546" s="46"/>
      <c r="C546" s="15"/>
      <c r="D546" s="15"/>
      <c r="E546" s="15"/>
      <c r="F546" s="15"/>
    </row>
    <row r="547" spans="1:6">
      <c r="A547" s="15"/>
      <c r="B547" s="46"/>
      <c r="C547" s="15"/>
      <c r="D547" s="15"/>
      <c r="E547" s="15"/>
      <c r="F547" s="15"/>
    </row>
    <row r="548" spans="1:6">
      <c r="A548" s="15"/>
      <c r="B548" s="46"/>
      <c r="C548" s="15"/>
      <c r="D548" s="15"/>
      <c r="E548" s="15"/>
      <c r="F548" s="15"/>
    </row>
    <row r="549" spans="1:6">
      <c r="A549" s="15"/>
      <c r="B549" s="56"/>
      <c r="C549" s="15"/>
      <c r="D549" s="15"/>
      <c r="E549" s="15"/>
      <c r="F549" s="15"/>
    </row>
    <row r="550" spans="1:6">
      <c r="A550" s="15"/>
      <c r="B550" s="46"/>
      <c r="C550" s="15"/>
      <c r="D550" s="15"/>
      <c r="E550" s="15"/>
      <c r="F550" s="15"/>
    </row>
    <row r="551" spans="1:6">
      <c r="A551" s="15"/>
      <c r="B551" s="46"/>
      <c r="C551" s="15"/>
      <c r="D551" s="15"/>
      <c r="E551" s="15"/>
      <c r="F551" s="15"/>
    </row>
    <row r="552" spans="1:6">
      <c r="A552" s="15"/>
      <c r="B552" s="46"/>
      <c r="C552" s="15"/>
      <c r="D552" s="15"/>
      <c r="E552" s="15"/>
      <c r="F552" s="15"/>
    </row>
    <row r="553" spans="1:6">
      <c r="A553" s="15"/>
      <c r="B553" s="46"/>
      <c r="C553" s="15"/>
      <c r="D553" s="15"/>
      <c r="E553" s="15"/>
      <c r="F553" s="15"/>
    </row>
    <row r="554" spans="1:6">
      <c r="A554" s="15"/>
      <c r="B554" s="46"/>
      <c r="C554" s="15"/>
      <c r="D554" s="15"/>
      <c r="E554" s="15"/>
      <c r="F554" s="15"/>
    </row>
    <row r="555" spans="1:6">
      <c r="A555" s="15"/>
      <c r="B555" s="46"/>
      <c r="C555" s="15"/>
      <c r="D555" s="15"/>
      <c r="E555" s="15"/>
      <c r="F555" s="15"/>
    </row>
    <row r="556" spans="1:6">
      <c r="A556" s="15"/>
      <c r="B556" s="46"/>
      <c r="C556" s="15"/>
      <c r="D556" s="15"/>
      <c r="E556" s="15"/>
      <c r="F556" s="15"/>
    </row>
    <row r="557" spans="1:6">
      <c r="A557" s="15"/>
      <c r="B557" s="46"/>
      <c r="C557" s="15"/>
      <c r="D557" s="15"/>
      <c r="E557" s="15"/>
      <c r="F557" s="15"/>
    </row>
    <row r="558" spans="1:6">
      <c r="A558" s="15"/>
      <c r="B558" s="46"/>
      <c r="C558" s="15"/>
      <c r="D558" s="15"/>
      <c r="E558" s="15"/>
      <c r="F558" s="15"/>
    </row>
    <row r="559" spans="1:6">
      <c r="A559" s="15"/>
      <c r="B559" s="46"/>
      <c r="C559" s="15"/>
      <c r="D559" s="15"/>
      <c r="E559" s="15"/>
      <c r="F559" s="15"/>
    </row>
    <row r="560" spans="1:6">
      <c r="A560" s="15"/>
      <c r="B560" s="46"/>
      <c r="C560" s="15"/>
      <c r="D560" s="15"/>
      <c r="E560" s="15"/>
      <c r="F560" s="15"/>
    </row>
    <row r="561" spans="1:7">
      <c r="A561" s="15"/>
      <c r="B561" s="46"/>
      <c r="C561" s="15"/>
      <c r="D561" s="15"/>
      <c r="E561" s="15"/>
      <c r="F561" s="15"/>
    </row>
    <row r="562" spans="1:7">
      <c r="A562" s="15"/>
      <c r="B562" s="46"/>
      <c r="C562" s="15"/>
      <c r="D562" s="15"/>
      <c r="E562" s="15"/>
      <c r="F562" s="15"/>
    </row>
    <row r="563" spans="1:7">
      <c r="A563" s="15"/>
      <c r="B563" s="46"/>
      <c r="C563" s="15"/>
      <c r="D563" s="15"/>
      <c r="E563" s="15"/>
      <c r="F563" s="15"/>
    </row>
    <row r="564" spans="1:7">
      <c r="A564" s="15"/>
      <c r="B564" s="46"/>
      <c r="C564" s="15"/>
      <c r="D564" s="15"/>
      <c r="E564" s="15"/>
      <c r="F564" s="15"/>
    </row>
    <row r="565" spans="1:7">
      <c r="A565" s="15"/>
      <c r="B565" s="46"/>
      <c r="C565" s="15"/>
      <c r="D565" s="15"/>
      <c r="E565" s="15"/>
      <c r="F565" s="15"/>
    </row>
    <row r="566" spans="1:7">
      <c r="A566" s="15"/>
      <c r="B566" s="46"/>
      <c r="C566" s="15"/>
      <c r="D566" s="15"/>
      <c r="E566" s="15"/>
      <c r="F566" s="15"/>
    </row>
    <row r="567" spans="1:7">
      <c r="A567" s="15"/>
      <c r="B567" s="46"/>
      <c r="C567" s="15"/>
      <c r="D567" s="15"/>
      <c r="E567" s="15"/>
      <c r="F567" s="15"/>
    </row>
    <row r="568" spans="1:7">
      <c r="A568" s="15"/>
      <c r="B568" s="46"/>
      <c r="C568" s="15"/>
      <c r="D568" s="15"/>
      <c r="E568" s="15"/>
      <c r="F568" s="15"/>
    </row>
    <row r="569" spans="1:7">
      <c r="G569" s="85"/>
    </row>
  </sheetData>
  <protectedRanges>
    <protectedRange password="CF7A" sqref="B15" name="区域9"/>
    <protectedRange password="CF7A" sqref="B20" name="区域9_1"/>
  </protectedRanges>
  <phoneticPr fontId="3" type="noConversion"/>
  <conditionalFormatting sqref="G15:G17">
    <cfRule type="expression" dxfId="45" priority="32">
      <formula>$B15="del"</formula>
    </cfRule>
  </conditionalFormatting>
  <conditionalFormatting sqref="G2:H2">
    <cfRule type="expression" dxfId="44" priority="43">
      <formula>$B2="del"</formula>
    </cfRule>
  </conditionalFormatting>
  <conditionalFormatting sqref="A110:F111">
    <cfRule type="expression" dxfId="43" priority="42">
      <formula>$B110="del"</formula>
    </cfRule>
  </conditionalFormatting>
  <conditionalFormatting sqref="A543:F543">
    <cfRule type="expression" dxfId="42" priority="41">
      <formula>$B543="del"</formula>
    </cfRule>
  </conditionalFormatting>
  <conditionalFormatting sqref="A544:F568">
    <cfRule type="expression" dxfId="41" priority="40">
      <formula>$B544="del"</formula>
    </cfRule>
  </conditionalFormatting>
  <conditionalFormatting sqref="C2:C10 C13:C14">
    <cfRule type="expression" dxfId="40" priority="39">
      <formula>$B2="del"</formula>
    </cfRule>
  </conditionalFormatting>
  <conditionalFormatting sqref="H15 G3:H14">
    <cfRule type="expression" dxfId="39" priority="38">
      <formula>$B3="del"</formula>
    </cfRule>
  </conditionalFormatting>
  <conditionalFormatting sqref="C15:F15">
    <cfRule type="expression" dxfId="38" priority="37">
      <formula>$B15="del"</formula>
    </cfRule>
  </conditionalFormatting>
  <conditionalFormatting sqref="A15:B15">
    <cfRule type="expression" dxfId="37" priority="36">
      <formula>$B15="del"</formula>
    </cfRule>
  </conditionalFormatting>
  <conditionalFormatting sqref="A16:B17">
    <cfRule type="expression" dxfId="36" priority="35">
      <formula>$B16="del"</formula>
    </cfRule>
  </conditionalFormatting>
  <conditionalFormatting sqref="D16:F17">
    <cfRule type="expression" dxfId="35" priority="34">
      <formula>#REF!="del"</formula>
    </cfRule>
  </conditionalFormatting>
  <conditionalFormatting sqref="C16:C17">
    <cfRule type="expression" dxfId="34" priority="33">
      <formula>$B16="del"</formula>
    </cfRule>
  </conditionalFormatting>
  <conditionalFormatting sqref="A18:E19">
    <cfRule type="expression" dxfId="33" priority="31">
      <formula>$B18="del"</formula>
    </cfRule>
  </conditionalFormatting>
  <conditionalFormatting sqref="F18:F19">
    <cfRule type="expression" dxfId="32" priority="30">
      <formula>$B18="del"</formula>
    </cfRule>
  </conditionalFormatting>
  <conditionalFormatting sqref="C20:F20">
    <cfRule type="expression" dxfId="31" priority="29">
      <formula>$B20="del"</formula>
    </cfRule>
  </conditionalFormatting>
  <conditionalFormatting sqref="A20:B20">
    <cfRule type="expression" dxfId="30" priority="28">
      <formula>$B20="del"</formula>
    </cfRule>
  </conditionalFormatting>
  <conditionalFormatting sqref="A21:F21">
    <cfRule type="expression" dxfId="29" priority="27">
      <formula>$B21="del"</formula>
    </cfRule>
  </conditionalFormatting>
  <conditionalFormatting sqref="A22:F22">
    <cfRule type="expression" dxfId="28" priority="26">
      <formula>$B22="del"</formula>
    </cfRule>
  </conditionalFormatting>
  <conditionalFormatting sqref="I9">
    <cfRule type="cellIs" dxfId="27" priority="23" stopIfTrue="1" operator="equal">
      <formula>"Y"</formula>
    </cfRule>
    <cfRule type="cellIs" dxfId="26" priority="24" stopIfTrue="1" operator="equal">
      <formula>"N"</formula>
    </cfRule>
    <cfRule type="cellIs" dxfId="25" priority="25" stopIfTrue="1" operator="equal">
      <formula>"NA"</formula>
    </cfRule>
  </conditionalFormatting>
  <conditionalFormatting sqref="I10">
    <cfRule type="cellIs" dxfId="24" priority="20" stopIfTrue="1" operator="equal">
      <formula>"Y"</formula>
    </cfRule>
    <cfRule type="cellIs" dxfId="23" priority="21" stopIfTrue="1" operator="equal">
      <formula>"N"</formula>
    </cfRule>
    <cfRule type="cellIs" dxfId="22" priority="22" stopIfTrue="1" operator="equal">
      <formula>"NA"</formula>
    </cfRule>
  </conditionalFormatting>
  <conditionalFormatting sqref="I11:I14">
    <cfRule type="cellIs" dxfId="21" priority="17" stopIfTrue="1" operator="equal">
      <formula>"Y"</formula>
    </cfRule>
    <cfRule type="cellIs" dxfId="20" priority="18" stopIfTrue="1" operator="equal">
      <formula>"N"</formula>
    </cfRule>
    <cfRule type="cellIs" dxfId="19" priority="19" stopIfTrue="1" operator="equal">
      <formula>"NA"</formula>
    </cfRule>
  </conditionalFormatting>
  <conditionalFormatting sqref="I2:I8">
    <cfRule type="cellIs" dxfId="18" priority="14" stopIfTrue="1" operator="equal">
      <formula>"Y"</formula>
    </cfRule>
    <cfRule type="cellIs" dxfId="17" priority="15" stopIfTrue="1" operator="equal">
      <formula>"N"</formula>
    </cfRule>
    <cfRule type="cellIs" dxfId="16" priority="16" stopIfTrue="1" operator="equal">
      <formula>"NA"</formula>
    </cfRule>
  </conditionalFormatting>
  <conditionalFormatting sqref="I16:J17">
    <cfRule type="cellIs" dxfId="15" priority="11" stopIfTrue="1" operator="equal">
      <formula>"Y"</formula>
    </cfRule>
    <cfRule type="cellIs" dxfId="14" priority="12" stopIfTrue="1" operator="equal">
      <formula>"N"</formula>
    </cfRule>
    <cfRule type="cellIs" dxfId="13" priority="13" stopIfTrue="1" operator="equal">
      <formula>"NA"</formula>
    </cfRule>
  </conditionalFormatting>
  <conditionalFormatting sqref="I15:J15">
    <cfRule type="cellIs" dxfId="12" priority="8" stopIfTrue="1" operator="equal">
      <formula>"Y"</formula>
    </cfRule>
    <cfRule type="cellIs" dxfId="11" priority="9" stopIfTrue="1" operator="equal">
      <formula>"N"</formula>
    </cfRule>
    <cfRule type="cellIs" dxfId="10" priority="10" stopIfTrue="1" operator="equal">
      <formula>"NA"</formula>
    </cfRule>
  </conditionalFormatting>
  <conditionalFormatting sqref="I20">
    <cfRule type="cellIs" dxfId="9" priority="5" stopIfTrue="1" operator="equal">
      <formula>"Y"</formula>
    </cfRule>
    <cfRule type="cellIs" dxfId="8" priority="6" stopIfTrue="1" operator="equal">
      <formula>"N"</formula>
    </cfRule>
    <cfRule type="cellIs" dxfId="7" priority="7" stopIfTrue="1" operator="equal">
      <formula>"NA"</formula>
    </cfRule>
  </conditionalFormatting>
  <conditionalFormatting sqref="D23:F24">
    <cfRule type="expression" dxfId="6" priority="3">
      <formula>$B23="del"</formula>
    </cfRule>
  </conditionalFormatting>
  <conditionalFormatting sqref="C23:C24">
    <cfRule type="expression" dxfId="5" priority="2">
      <formula>$B23="del"</formula>
    </cfRule>
  </conditionalFormatting>
  <conditionalFormatting sqref="B11:E12">
    <cfRule type="expression" dxfId="4" priority="1">
      <formula>$B11="del"</formula>
    </cfRule>
  </conditionalFormatting>
  <dataValidations count="1">
    <dataValidation type="list" allowBlank="1" showInputMessage="1" showErrorMessage="1" sqref="H2:H65536 JD2:JD65536 SZ2:SZ65536 ACV2:ACV65536 AMR2:AMR65536 AWN2:AWN65536 BGJ2:BGJ65536 BQF2:BQF65536 CAB2:CAB65536 CJX2:CJX65536 CTT2:CTT65536 DDP2:DDP65536 DNL2:DNL65536 DXH2:DXH65536 EHD2:EHD65536 EQZ2:EQZ65536 FAV2:FAV65536 FKR2:FKR65536 FUN2:FUN65536 GEJ2:GEJ65536 GOF2:GOF65536 GYB2:GYB65536 HHX2:HHX65536 HRT2:HRT65536 IBP2:IBP65536 ILL2:ILL65536 IVH2:IVH65536 JFD2:JFD65536 JOZ2:JOZ65536 JYV2:JYV65536 KIR2:KIR65536 KSN2:KSN65536 LCJ2:LCJ65536 LMF2:LMF65536 LWB2:LWB65536 MFX2:MFX65536 MPT2:MPT65536 MZP2:MZP65536 NJL2:NJL65536 NTH2:NTH65536 ODD2:ODD65536 OMZ2:OMZ65536 OWV2:OWV65536 PGR2:PGR65536 PQN2:PQN65536 QAJ2:QAJ65536 QKF2:QKF65536 QUB2:QUB65536 RDX2:RDX65536 RNT2:RNT65536 RXP2:RXP65536 SHL2:SHL65536 SRH2:SRH65536 TBD2:TBD65536 TKZ2:TKZ65536 TUV2:TUV65536 UER2:UER65536 UON2:UON65536 UYJ2:UYJ65536 VIF2:VIF65536 VSB2:VSB65536 WBX2:WBX65536 WLT2:WLT65536 WVP2:WVP65536 H65538:H131072 JD65538:JD131072 SZ65538:SZ131072 ACV65538:ACV131072 AMR65538:AMR131072 AWN65538:AWN131072 BGJ65538:BGJ131072 BQF65538:BQF131072 CAB65538:CAB131072 CJX65538:CJX131072 CTT65538:CTT131072 DDP65538:DDP131072 DNL65538:DNL131072 DXH65538:DXH131072 EHD65538:EHD131072 EQZ65538:EQZ131072 FAV65538:FAV131072 FKR65538:FKR131072 FUN65538:FUN131072 GEJ65538:GEJ131072 GOF65538:GOF131072 GYB65538:GYB131072 HHX65538:HHX131072 HRT65538:HRT131072 IBP65538:IBP131072 ILL65538:ILL131072 IVH65538:IVH131072 JFD65538:JFD131072 JOZ65538:JOZ131072 JYV65538:JYV131072 KIR65538:KIR131072 KSN65538:KSN131072 LCJ65538:LCJ131072 LMF65538:LMF131072 LWB65538:LWB131072 MFX65538:MFX131072 MPT65538:MPT131072 MZP65538:MZP131072 NJL65538:NJL131072 NTH65538:NTH131072 ODD65538:ODD131072 OMZ65538:OMZ131072 OWV65538:OWV131072 PGR65538:PGR131072 PQN65538:PQN131072 QAJ65538:QAJ131072 QKF65538:QKF131072 QUB65538:QUB131072 RDX65538:RDX131072 RNT65538:RNT131072 RXP65538:RXP131072 SHL65538:SHL131072 SRH65538:SRH131072 TBD65538:TBD131072 TKZ65538:TKZ131072 TUV65538:TUV131072 UER65538:UER131072 UON65538:UON131072 UYJ65538:UYJ131072 VIF65538:VIF131072 VSB65538:VSB131072 WBX65538:WBX131072 WLT65538:WLT131072 WVP65538:WVP131072 H131074:H196608 JD131074:JD196608 SZ131074:SZ196608 ACV131074:ACV196608 AMR131074:AMR196608 AWN131074:AWN196608 BGJ131074:BGJ196608 BQF131074:BQF196608 CAB131074:CAB196608 CJX131074:CJX196608 CTT131074:CTT196608 DDP131074:DDP196608 DNL131074:DNL196608 DXH131074:DXH196608 EHD131074:EHD196608 EQZ131074:EQZ196608 FAV131074:FAV196608 FKR131074:FKR196608 FUN131074:FUN196608 GEJ131074:GEJ196608 GOF131074:GOF196608 GYB131074:GYB196608 HHX131074:HHX196608 HRT131074:HRT196608 IBP131074:IBP196608 ILL131074:ILL196608 IVH131074:IVH196608 JFD131074:JFD196608 JOZ131074:JOZ196608 JYV131074:JYV196608 KIR131074:KIR196608 KSN131074:KSN196608 LCJ131074:LCJ196608 LMF131074:LMF196608 LWB131074:LWB196608 MFX131074:MFX196608 MPT131074:MPT196608 MZP131074:MZP196608 NJL131074:NJL196608 NTH131074:NTH196608 ODD131074:ODD196608 OMZ131074:OMZ196608 OWV131074:OWV196608 PGR131074:PGR196608 PQN131074:PQN196608 QAJ131074:QAJ196608 QKF131074:QKF196608 QUB131074:QUB196608 RDX131074:RDX196608 RNT131074:RNT196608 RXP131074:RXP196608 SHL131074:SHL196608 SRH131074:SRH196608 TBD131074:TBD196608 TKZ131074:TKZ196608 TUV131074:TUV196608 UER131074:UER196608 UON131074:UON196608 UYJ131074:UYJ196608 VIF131074:VIF196608 VSB131074:VSB196608 WBX131074:WBX196608 WLT131074:WLT196608 WVP131074:WVP196608 H196610:H262144 JD196610:JD262144 SZ196610:SZ262144 ACV196610:ACV262144 AMR196610:AMR262144 AWN196610:AWN262144 BGJ196610:BGJ262144 BQF196610:BQF262144 CAB196610:CAB262144 CJX196610:CJX262144 CTT196610:CTT262144 DDP196610:DDP262144 DNL196610:DNL262144 DXH196610:DXH262144 EHD196610:EHD262144 EQZ196610:EQZ262144 FAV196610:FAV262144 FKR196610:FKR262144 FUN196610:FUN262144 GEJ196610:GEJ262144 GOF196610:GOF262144 GYB196610:GYB262144 HHX196610:HHX262144 HRT196610:HRT262144 IBP196610:IBP262144 ILL196610:ILL262144 IVH196610:IVH262144 JFD196610:JFD262144 JOZ196610:JOZ262144 JYV196610:JYV262144 KIR196610:KIR262144 KSN196610:KSN262144 LCJ196610:LCJ262144 LMF196610:LMF262144 LWB196610:LWB262144 MFX196610:MFX262144 MPT196610:MPT262144 MZP196610:MZP262144 NJL196610:NJL262144 NTH196610:NTH262144 ODD196610:ODD262144 OMZ196610:OMZ262144 OWV196610:OWV262144 PGR196610:PGR262144 PQN196610:PQN262144 QAJ196610:QAJ262144 QKF196610:QKF262144 QUB196610:QUB262144 RDX196610:RDX262144 RNT196610:RNT262144 RXP196610:RXP262144 SHL196610:SHL262144 SRH196610:SRH262144 TBD196610:TBD262144 TKZ196610:TKZ262144 TUV196610:TUV262144 UER196610:UER262144 UON196610:UON262144 UYJ196610:UYJ262144 VIF196610:VIF262144 VSB196610:VSB262144 WBX196610:WBX262144 WLT196610:WLT262144 WVP196610:WVP262144 H262146:H327680 JD262146:JD327680 SZ262146:SZ327680 ACV262146:ACV327680 AMR262146:AMR327680 AWN262146:AWN327680 BGJ262146:BGJ327680 BQF262146:BQF327680 CAB262146:CAB327680 CJX262146:CJX327680 CTT262146:CTT327680 DDP262146:DDP327680 DNL262146:DNL327680 DXH262146:DXH327680 EHD262146:EHD327680 EQZ262146:EQZ327680 FAV262146:FAV327680 FKR262146:FKR327680 FUN262146:FUN327680 GEJ262146:GEJ327680 GOF262146:GOF327680 GYB262146:GYB327680 HHX262146:HHX327680 HRT262146:HRT327680 IBP262146:IBP327680 ILL262146:ILL327680 IVH262146:IVH327680 JFD262146:JFD327680 JOZ262146:JOZ327680 JYV262146:JYV327680 KIR262146:KIR327680 KSN262146:KSN327680 LCJ262146:LCJ327680 LMF262146:LMF327680 LWB262146:LWB327680 MFX262146:MFX327680 MPT262146:MPT327680 MZP262146:MZP327680 NJL262146:NJL327680 NTH262146:NTH327680 ODD262146:ODD327680 OMZ262146:OMZ327680 OWV262146:OWV327680 PGR262146:PGR327680 PQN262146:PQN327680 QAJ262146:QAJ327680 QKF262146:QKF327680 QUB262146:QUB327680 RDX262146:RDX327680 RNT262146:RNT327680 RXP262146:RXP327680 SHL262146:SHL327680 SRH262146:SRH327680 TBD262146:TBD327680 TKZ262146:TKZ327680 TUV262146:TUV327680 UER262146:UER327680 UON262146:UON327680 UYJ262146:UYJ327680 VIF262146:VIF327680 VSB262146:VSB327680 WBX262146:WBX327680 WLT262146:WLT327680 WVP262146:WVP327680 H327682:H393216 JD327682:JD393216 SZ327682:SZ393216 ACV327682:ACV393216 AMR327682:AMR393216 AWN327682:AWN393216 BGJ327682:BGJ393216 BQF327682:BQF393216 CAB327682:CAB393216 CJX327682:CJX393216 CTT327682:CTT393216 DDP327682:DDP393216 DNL327682:DNL393216 DXH327682:DXH393216 EHD327682:EHD393216 EQZ327682:EQZ393216 FAV327682:FAV393216 FKR327682:FKR393216 FUN327682:FUN393216 GEJ327682:GEJ393216 GOF327682:GOF393216 GYB327682:GYB393216 HHX327682:HHX393216 HRT327682:HRT393216 IBP327682:IBP393216 ILL327682:ILL393216 IVH327682:IVH393216 JFD327682:JFD393216 JOZ327682:JOZ393216 JYV327682:JYV393216 KIR327682:KIR393216 KSN327682:KSN393216 LCJ327682:LCJ393216 LMF327682:LMF393216 LWB327682:LWB393216 MFX327682:MFX393216 MPT327682:MPT393216 MZP327682:MZP393216 NJL327682:NJL393216 NTH327682:NTH393216 ODD327682:ODD393216 OMZ327682:OMZ393216 OWV327682:OWV393216 PGR327682:PGR393216 PQN327682:PQN393216 QAJ327682:QAJ393216 QKF327682:QKF393216 QUB327682:QUB393216 RDX327682:RDX393216 RNT327682:RNT393216 RXP327682:RXP393216 SHL327682:SHL393216 SRH327682:SRH393216 TBD327682:TBD393216 TKZ327682:TKZ393216 TUV327682:TUV393216 UER327682:UER393216 UON327682:UON393216 UYJ327682:UYJ393216 VIF327682:VIF393216 VSB327682:VSB393216 WBX327682:WBX393216 WLT327682:WLT393216 WVP327682:WVP393216 H393218:H458752 JD393218:JD458752 SZ393218:SZ458752 ACV393218:ACV458752 AMR393218:AMR458752 AWN393218:AWN458752 BGJ393218:BGJ458752 BQF393218:BQF458752 CAB393218:CAB458752 CJX393218:CJX458752 CTT393218:CTT458752 DDP393218:DDP458752 DNL393218:DNL458752 DXH393218:DXH458752 EHD393218:EHD458752 EQZ393218:EQZ458752 FAV393218:FAV458752 FKR393218:FKR458752 FUN393218:FUN458752 GEJ393218:GEJ458752 GOF393218:GOF458752 GYB393218:GYB458752 HHX393218:HHX458752 HRT393218:HRT458752 IBP393218:IBP458752 ILL393218:ILL458752 IVH393218:IVH458752 JFD393218:JFD458752 JOZ393218:JOZ458752 JYV393218:JYV458752 KIR393218:KIR458752 KSN393218:KSN458752 LCJ393218:LCJ458752 LMF393218:LMF458752 LWB393218:LWB458752 MFX393218:MFX458752 MPT393218:MPT458752 MZP393218:MZP458752 NJL393218:NJL458752 NTH393218:NTH458752 ODD393218:ODD458752 OMZ393218:OMZ458752 OWV393218:OWV458752 PGR393218:PGR458752 PQN393218:PQN458752 QAJ393218:QAJ458752 QKF393218:QKF458752 QUB393218:QUB458752 RDX393218:RDX458752 RNT393218:RNT458752 RXP393218:RXP458752 SHL393218:SHL458752 SRH393218:SRH458752 TBD393218:TBD458752 TKZ393218:TKZ458752 TUV393218:TUV458752 UER393218:UER458752 UON393218:UON458752 UYJ393218:UYJ458752 VIF393218:VIF458752 VSB393218:VSB458752 WBX393218:WBX458752 WLT393218:WLT458752 WVP393218:WVP458752 H458754:H524288 JD458754:JD524288 SZ458754:SZ524288 ACV458754:ACV524288 AMR458754:AMR524288 AWN458754:AWN524288 BGJ458754:BGJ524288 BQF458754:BQF524288 CAB458754:CAB524288 CJX458754:CJX524288 CTT458754:CTT524288 DDP458754:DDP524288 DNL458754:DNL524288 DXH458754:DXH524288 EHD458754:EHD524288 EQZ458754:EQZ524288 FAV458754:FAV524288 FKR458754:FKR524288 FUN458754:FUN524288 GEJ458754:GEJ524288 GOF458754:GOF524288 GYB458754:GYB524288 HHX458754:HHX524288 HRT458754:HRT524288 IBP458754:IBP524288 ILL458754:ILL524288 IVH458754:IVH524288 JFD458754:JFD524288 JOZ458754:JOZ524288 JYV458754:JYV524288 KIR458754:KIR524288 KSN458754:KSN524288 LCJ458754:LCJ524288 LMF458754:LMF524288 LWB458754:LWB524288 MFX458754:MFX524288 MPT458754:MPT524288 MZP458754:MZP524288 NJL458754:NJL524288 NTH458754:NTH524288 ODD458754:ODD524288 OMZ458754:OMZ524288 OWV458754:OWV524288 PGR458754:PGR524288 PQN458754:PQN524288 QAJ458754:QAJ524288 QKF458754:QKF524288 QUB458754:QUB524288 RDX458754:RDX524288 RNT458754:RNT524288 RXP458754:RXP524288 SHL458754:SHL524288 SRH458754:SRH524288 TBD458754:TBD524288 TKZ458754:TKZ524288 TUV458754:TUV524288 UER458754:UER524288 UON458754:UON524288 UYJ458754:UYJ524288 VIF458754:VIF524288 VSB458754:VSB524288 WBX458754:WBX524288 WLT458754:WLT524288 WVP458754:WVP524288 H524290:H589824 JD524290:JD589824 SZ524290:SZ589824 ACV524290:ACV589824 AMR524290:AMR589824 AWN524290:AWN589824 BGJ524290:BGJ589824 BQF524290:BQF589824 CAB524290:CAB589824 CJX524290:CJX589824 CTT524290:CTT589824 DDP524290:DDP589824 DNL524290:DNL589824 DXH524290:DXH589824 EHD524290:EHD589824 EQZ524290:EQZ589824 FAV524290:FAV589824 FKR524290:FKR589824 FUN524290:FUN589824 GEJ524290:GEJ589824 GOF524290:GOF589824 GYB524290:GYB589824 HHX524290:HHX589824 HRT524290:HRT589824 IBP524290:IBP589824 ILL524290:ILL589824 IVH524290:IVH589824 JFD524290:JFD589824 JOZ524290:JOZ589824 JYV524290:JYV589824 KIR524290:KIR589824 KSN524290:KSN589824 LCJ524290:LCJ589824 LMF524290:LMF589824 LWB524290:LWB589824 MFX524290:MFX589824 MPT524290:MPT589824 MZP524290:MZP589824 NJL524290:NJL589824 NTH524290:NTH589824 ODD524290:ODD589824 OMZ524290:OMZ589824 OWV524290:OWV589824 PGR524290:PGR589824 PQN524290:PQN589824 QAJ524290:QAJ589824 QKF524290:QKF589824 QUB524290:QUB589824 RDX524290:RDX589824 RNT524290:RNT589824 RXP524290:RXP589824 SHL524290:SHL589824 SRH524290:SRH589824 TBD524290:TBD589824 TKZ524290:TKZ589824 TUV524290:TUV589824 UER524290:UER589824 UON524290:UON589824 UYJ524290:UYJ589824 VIF524290:VIF589824 VSB524290:VSB589824 WBX524290:WBX589824 WLT524290:WLT589824 WVP524290:WVP589824 H589826:H655360 JD589826:JD655360 SZ589826:SZ655360 ACV589826:ACV655360 AMR589826:AMR655360 AWN589826:AWN655360 BGJ589826:BGJ655360 BQF589826:BQF655360 CAB589826:CAB655360 CJX589826:CJX655360 CTT589826:CTT655360 DDP589826:DDP655360 DNL589826:DNL655360 DXH589826:DXH655360 EHD589826:EHD655360 EQZ589826:EQZ655360 FAV589826:FAV655360 FKR589826:FKR655360 FUN589826:FUN655360 GEJ589826:GEJ655360 GOF589826:GOF655360 GYB589826:GYB655360 HHX589826:HHX655360 HRT589826:HRT655360 IBP589826:IBP655360 ILL589826:ILL655360 IVH589826:IVH655360 JFD589826:JFD655360 JOZ589826:JOZ655360 JYV589826:JYV655360 KIR589826:KIR655360 KSN589826:KSN655360 LCJ589826:LCJ655360 LMF589826:LMF655360 LWB589826:LWB655360 MFX589826:MFX655360 MPT589826:MPT655360 MZP589826:MZP655360 NJL589826:NJL655360 NTH589826:NTH655360 ODD589826:ODD655360 OMZ589826:OMZ655360 OWV589826:OWV655360 PGR589826:PGR655360 PQN589826:PQN655360 QAJ589826:QAJ655360 QKF589826:QKF655360 QUB589826:QUB655360 RDX589826:RDX655360 RNT589826:RNT655360 RXP589826:RXP655360 SHL589826:SHL655360 SRH589826:SRH655360 TBD589826:TBD655360 TKZ589826:TKZ655360 TUV589826:TUV655360 UER589826:UER655360 UON589826:UON655360 UYJ589826:UYJ655360 VIF589826:VIF655360 VSB589826:VSB655360 WBX589826:WBX655360 WLT589826:WLT655360 WVP589826:WVP655360 H655362:H720896 JD655362:JD720896 SZ655362:SZ720896 ACV655362:ACV720896 AMR655362:AMR720896 AWN655362:AWN720896 BGJ655362:BGJ720896 BQF655362:BQF720896 CAB655362:CAB720896 CJX655362:CJX720896 CTT655362:CTT720896 DDP655362:DDP720896 DNL655362:DNL720896 DXH655362:DXH720896 EHD655362:EHD720896 EQZ655362:EQZ720896 FAV655362:FAV720896 FKR655362:FKR720896 FUN655362:FUN720896 GEJ655362:GEJ720896 GOF655362:GOF720896 GYB655362:GYB720896 HHX655362:HHX720896 HRT655362:HRT720896 IBP655362:IBP720896 ILL655362:ILL720896 IVH655362:IVH720896 JFD655362:JFD720896 JOZ655362:JOZ720896 JYV655362:JYV720896 KIR655362:KIR720896 KSN655362:KSN720896 LCJ655362:LCJ720896 LMF655362:LMF720896 LWB655362:LWB720896 MFX655362:MFX720896 MPT655362:MPT720896 MZP655362:MZP720896 NJL655362:NJL720896 NTH655362:NTH720896 ODD655362:ODD720896 OMZ655362:OMZ720896 OWV655362:OWV720896 PGR655362:PGR720896 PQN655362:PQN720896 QAJ655362:QAJ720896 QKF655362:QKF720896 QUB655362:QUB720896 RDX655362:RDX720896 RNT655362:RNT720896 RXP655362:RXP720896 SHL655362:SHL720896 SRH655362:SRH720896 TBD655362:TBD720896 TKZ655362:TKZ720896 TUV655362:TUV720896 UER655362:UER720896 UON655362:UON720896 UYJ655362:UYJ720896 VIF655362:VIF720896 VSB655362:VSB720896 WBX655362:WBX720896 WLT655362:WLT720896 WVP655362:WVP720896 H720898:H786432 JD720898:JD786432 SZ720898:SZ786432 ACV720898:ACV786432 AMR720898:AMR786432 AWN720898:AWN786432 BGJ720898:BGJ786432 BQF720898:BQF786432 CAB720898:CAB786432 CJX720898:CJX786432 CTT720898:CTT786432 DDP720898:DDP786432 DNL720898:DNL786432 DXH720898:DXH786432 EHD720898:EHD786432 EQZ720898:EQZ786432 FAV720898:FAV786432 FKR720898:FKR786432 FUN720898:FUN786432 GEJ720898:GEJ786432 GOF720898:GOF786432 GYB720898:GYB786432 HHX720898:HHX786432 HRT720898:HRT786432 IBP720898:IBP786432 ILL720898:ILL786432 IVH720898:IVH786432 JFD720898:JFD786432 JOZ720898:JOZ786432 JYV720898:JYV786432 KIR720898:KIR786432 KSN720898:KSN786432 LCJ720898:LCJ786432 LMF720898:LMF786432 LWB720898:LWB786432 MFX720898:MFX786432 MPT720898:MPT786432 MZP720898:MZP786432 NJL720898:NJL786432 NTH720898:NTH786432 ODD720898:ODD786432 OMZ720898:OMZ786432 OWV720898:OWV786432 PGR720898:PGR786432 PQN720898:PQN786432 QAJ720898:QAJ786432 QKF720898:QKF786432 QUB720898:QUB786432 RDX720898:RDX786432 RNT720898:RNT786432 RXP720898:RXP786432 SHL720898:SHL786432 SRH720898:SRH786432 TBD720898:TBD786432 TKZ720898:TKZ786432 TUV720898:TUV786432 UER720898:UER786432 UON720898:UON786432 UYJ720898:UYJ786432 VIF720898:VIF786432 VSB720898:VSB786432 WBX720898:WBX786432 WLT720898:WLT786432 WVP720898:WVP786432 H786434:H851968 JD786434:JD851968 SZ786434:SZ851968 ACV786434:ACV851968 AMR786434:AMR851968 AWN786434:AWN851968 BGJ786434:BGJ851968 BQF786434:BQF851968 CAB786434:CAB851968 CJX786434:CJX851968 CTT786434:CTT851968 DDP786434:DDP851968 DNL786434:DNL851968 DXH786434:DXH851968 EHD786434:EHD851968 EQZ786434:EQZ851968 FAV786434:FAV851968 FKR786434:FKR851968 FUN786434:FUN851968 GEJ786434:GEJ851968 GOF786434:GOF851968 GYB786434:GYB851968 HHX786434:HHX851968 HRT786434:HRT851968 IBP786434:IBP851968 ILL786434:ILL851968 IVH786434:IVH851968 JFD786434:JFD851968 JOZ786434:JOZ851968 JYV786434:JYV851968 KIR786434:KIR851968 KSN786434:KSN851968 LCJ786434:LCJ851968 LMF786434:LMF851968 LWB786434:LWB851968 MFX786434:MFX851968 MPT786434:MPT851968 MZP786434:MZP851968 NJL786434:NJL851968 NTH786434:NTH851968 ODD786434:ODD851968 OMZ786434:OMZ851968 OWV786434:OWV851968 PGR786434:PGR851968 PQN786434:PQN851968 QAJ786434:QAJ851968 QKF786434:QKF851968 QUB786434:QUB851968 RDX786434:RDX851968 RNT786434:RNT851968 RXP786434:RXP851968 SHL786434:SHL851968 SRH786434:SRH851968 TBD786434:TBD851968 TKZ786434:TKZ851968 TUV786434:TUV851968 UER786434:UER851968 UON786434:UON851968 UYJ786434:UYJ851968 VIF786434:VIF851968 VSB786434:VSB851968 WBX786434:WBX851968 WLT786434:WLT851968 WVP786434:WVP851968 H851970:H917504 JD851970:JD917504 SZ851970:SZ917504 ACV851970:ACV917504 AMR851970:AMR917504 AWN851970:AWN917504 BGJ851970:BGJ917504 BQF851970:BQF917504 CAB851970:CAB917504 CJX851970:CJX917504 CTT851970:CTT917504 DDP851970:DDP917504 DNL851970:DNL917504 DXH851970:DXH917504 EHD851970:EHD917504 EQZ851970:EQZ917504 FAV851970:FAV917504 FKR851970:FKR917504 FUN851970:FUN917504 GEJ851970:GEJ917504 GOF851970:GOF917504 GYB851970:GYB917504 HHX851970:HHX917504 HRT851970:HRT917504 IBP851970:IBP917504 ILL851970:ILL917504 IVH851970:IVH917504 JFD851970:JFD917504 JOZ851970:JOZ917504 JYV851970:JYV917504 KIR851970:KIR917504 KSN851970:KSN917504 LCJ851970:LCJ917504 LMF851970:LMF917504 LWB851970:LWB917504 MFX851970:MFX917504 MPT851970:MPT917504 MZP851970:MZP917504 NJL851970:NJL917504 NTH851970:NTH917504 ODD851970:ODD917504 OMZ851970:OMZ917504 OWV851970:OWV917504 PGR851970:PGR917504 PQN851970:PQN917504 QAJ851970:QAJ917504 QKF851970:QKF917504 QUB851970:QUB917504 RDX851970:RDX917504 RNT851970:RNT917504 RXP851970:RXP917504 SHL851970:SHL917504 SRH851970:SRH917504 TBD851970:TBD917504 TKZ851970:TKZ917504 TUV851970:TUV917504 UER851970:UER917504 UON851970:UON917504 UYJ851970:UYJ917504 VIF851970:VIF917504 VSB851970:VSB917504 WBX851970:WBX917504 WLT851970:WLT917504 WVP851970:WVP917504 H917506:H983040 JD917506:JD983040 SZ917506:SZ983040 ACV917506:ACV983040 AMR917506:AMR983040 AWN917506:AWN983040 BGJ917506:BGJ983040 BQF917506:BQF983040 CAB917506:CAB983040 CJX917506:CJX983040 CTT917506:CTT983040 DDP917506:DDP983040 DNL917506:DNL983040 DXH917506:DXH983040 EHD917506:EHD983040 EQZ917506:EQZ983040 FAV917506:FAV983040 FKR917506:FKR983040 FUN917506:FUN983040 GEJ917506:GEJ983040 GOF917506:GOF983040 GYB917506:GYB983040 HHX917506:HHX983040 HRT917506:HRT983040 IBP917506:IBP983040 ILL917506:ILL983040 IVH917506:IVH983040 JFD917506:JFD983040 JOZ917506:JOZ983040 JYV917506:JYV983040 KIR917506:KIR983040 KSN917506:KSN983040 LCJ917506:LCJ983040 LMF917506:LMF983040 LWB917506:LWB983040 MFX917506:MFX983040 MPT917506:MPT983040 MZP917506:MZP983040 NJL917506:NJL983040 NTH917506:NTH983040 ODD917506:ODD983040 OMZ917506:OMZ983040 OWV917506:OWV983040 PGR917506:PGR983040 PQN917506:PQN983040 QAJ917506:QAJ983040 QKF917506:QKF983040 QUB917506:QUB983040 RDX917506:RDX983040 RNT917506:RNT983040 RXP917506:RXP983040 SHL917506:SHL983040 SRH917506:SRH983040 TBD917506:TBD983040 TKZ917506:TKZ983040 TUV917506:TUV983040 UER917506:UER983040 UON917506:UON983040 UYJ917506:UYJ983040 VIF917506:VIF983040 VSB917506:VSB983040 WBX917506:WBX983040 WLT917506:WLT983040 WVP917506:WVP983040 H983042:H1048576 JD983042:JD1048576 SZ983042:SZ1048576 ACV983042:ACV1048576 AMR983042:AMR1048576 AWN983042:AWN1048576 BGJ983042:BGJ1048576 BQF983042:BQF1048576 CAB983042:CAB1048576 CJX983042:CJX1048576 CTT983042:CTT1048576 DDP983042:DDP1048576 DNL983042:DNL1048576 DXH983042:DXH1048576 EHD983042:EHD1048576 EQZ983042:EQZ1048576 FAV983042:FAV1048576 FKR983042:FKR1048576 FUN983042:FUN1048576 GEJ983042:GEJ1048576 GOF983042:GOF1048576 GYB983042:GYB1048576 HHX983042:HHX1048576 HRT983042:HRT1048576 IBP983042:IBP1048576 ILL983042:ILL1048576 IVH983042:IVH1048576 JFD983042:JFD1048576 JOZ983042:JOZ1048576 JYV983042:JYV1048576 KIR983042:KIR1048576 KSN983042:KSN1048576 LCJ983042:LCJ1048576 LMF983042:LMF1048576 LWB983042:LWB1048576 MFX983042:MFX1048576 MPT983042:MPT1048576 MZP983042:MZP1048576 NJL983042:NJL1048576 NTH983042:NTH1048576 ODD983042:ODD1048576 OMZ983042:OMZ1048576 OWV983042:OWV1048576 PGR983042:PGR1048576 PQN983042:PQN1048576 QAJ983042:QAJ1048576 QKF983042:QKF1048576 QUB983042:QUB1048576 RDX983042:RDX1048576 RNT983042:RNT1048576 RXP983042:RXP1048576 SHL983042:SHL1048576 SRH983042:SRH1048576 TBD983042:TBD1048576 TKZ983042:TKZ1048576 TUV983042:TUV1048576 UER983042:UER1048576 UON983042:UON1048576 UYJ983042:UYJ1048576 VIF983042:VIF1048576 VSB983042:VSB1048576 WBX983042:WBX1048576 WLT983042:WLT1048576 WVP983042:WVP1048576 I445:I65536 JE445:JE65536 TA445:TA65536 ACW445:ACW65536 AMS445:AMS65536 AWO445:AWO65536 BGK445:BGK65536 BQG445:BQG65536 CAC445:CAC65536 CJY445:CJY65536 CTU445:CTU65536 DDQ445:DDQ65536 DNM445:DNM65536 DXI445:DXI65536 EHE445:EHE65536 ERA445:ERA65536 FAW445:FAW65536 FKS445:FKS65536 FUO445:FUO65536 GEK445:GEK65536 GOG445:GOG65536 GYC445:GYC65536 HHY445:HHY65536 HRU445:HRU65536 IBQ445:IBQ65536 ILM445:ILM65536 IVI445:IVI65536 JFE445:JFE65536 JPA445:JPA65536 JYW445:JYW65536 KIS445:KIS65536 KSO445:KSO65536 LCK445:LCK65536 LMG445:LMG65536 LWC445:LWC65536 MFY445:MFY65536 MPU445:MPU65536 MZQ445:MZQ65536 NJM445:NJM65536 NTI445:NTI65536 ODE445:ODE65536 ONA445:ONA65536 OWW445:OWW65536 PGS445:PGS65536 PQO445:PQO65536 QAK445:QAK65536 QKG445:QKG65536 QUC445:QUC65536 RDY445:RDY65536 RNU445:RNU65536 RXQ445:RXQ65536 SHM445:SHM65536 SRI445:SRI65536 TBE445:TBE65536 TLA445:TLA65536 TUW445:TUW65536 UES445:UES65536 UOO445:UOO65536 UYK445:UYK65536 VIG445:VIG65536 VSC445:VSC65536 WBY445:WBY65536 WLU445:WLU65536 WVQ445:WVQ65536 I65981:I131072 JE65981:JE131072 TA65981:TA131072 ACW65981:ACW131072 AMS65981:AMS131072 AWO65981:AWO131072 BGK65981:BGK131072 BQG65981:BQG131072 CAC65981:CAC131072 CJY65981:CJY131072 CTU65981:CTU131072 DDQ65981:DDQ131072 DNM65981:DNM131072 DXI65981:DXI131072 EHE65981:EHE131072 ERA65981:ERA131072 FAW65981:FAW131072 FKS65981:FKS131072 FUO65981:FUO131072 GEK65981:GEK131072 GOG65981:GOG131072 GYC65981:GYC131072 HHY65981:HHY131072 HRU65981:HRU131072 IBQ65981:IBQ131072 ILM65981:ILM131072 IVI65981:IVI131072 JFE65981:JFE131072 JPA65981:JPA131072 JYW65981:JYW131072 KIS65981:KIS131072 KSO65981:KSO131072 LCK65981:LCK131072 LMG65981:LMG131072 LWC65981:LWC131072 MFY65981:MFY131072 MPU65981:MPU131072 MZQ65981:MZQ131072 NJM65981:NJM131072 NTI65981:NTI131072 ODE65981:ODE131072 ONA65981:ONA131072 OWW65981:OWW131072 PGS65981:PGS131072 PQO65981:PQO131072 QAK65981:QAK131072 QKG65981:QKG131072 QUC65981:QUC131072 RDY65981:RDY131072 RNU65981:RNU131072 RXQ65981:RXQ131072 SHM65981:SHM131072 SRI65981:SRI131072 TBE65981:TBE131072 TLA65981:TLA131072 TUW65981:TUW131072 UES65981:UES131072 UOO65981:UOO131072 UYK65981:UYK131072 VIG65981:VIG131072 VSC65981:VSC131072 WBY65981:WBY131072 WLU65981:WLU131072 WVQ65981:WVQ131072 I131517:I196608 JE131517:JE196608 TA131517:TA196608 ACW131517:ACW196608 AMS131517:AMS196608 AWO131517:AWO196608 BGK131517:BGK196608 BQG131517:BQG196608 CAC131517:CAC196608 CJY131517:CJY196608 CTU131517:CTU196608 DDQ131517:DDQ196608 DNM131517:DNM196608 DXI131517:DXI196608 EHE131517:EHE196608 ERA131517:ERA196608 FAW131517:FAW196608 FKS131517:FKS196608 FUO131517:FUO196608 GEK131517:GEK196608 GOG131517:GOG196608 GYC131517:GYC196608 HHY131517:HHY196608 HRU131517:HRU196608 IBQ131517:IBQ196608 ILM131517:ILM196608 IVI131517:IVI196608 JFE131517:JFE196608 JPA131517:JPA196608 JYW131517:JYW196608 KIS131517:KIS196608 KSO131517:KSO196608 LCK131517:LCK196608 LMG131517:LMG196608 LWC131517:LWC196608 MFY131517:MFY196608 MPU131517:MPU196608 MZQ131517:MZQ196608 NJM131517:NJM196608 NTI131517:NTI196608 ODE131517:ODE196608 ONA131517:ONA196608 OWW131517:OWW196608 PGS131517:PGS196608 PQO131517:PQO196608 QAK131517:QAK196608 QKG131517:QKG196608 QUC131517:QUC196608 RDY131517:RDY196608 RNU131517:RNU196608 RXQ131517:RXQ196608 SHM131517:SHM196608 SRI131517:SRI196608 TBE131517:TBE196608 TLA131517:TLA196608 TUW131517:TUW196608 UES131517:UES196608 UOO131517:UOO196608 UYK131517:UYK196608 VIG131517:VIG196608 VSC131517:VSC196608 WBY131517:WBY196608 WLU131517:WLU196608 WVQ131517:WVQ196608 I197053:I262144 JE197053:JE262144 TA197053:TA262144 ACW197053:ACW262144 AMS197053:AMS262144 AWO197053:AWO262144 BGK197053:BGK262144 BQG197053:BQG262144 CAC197053:CAC262144 CJY197053:CJY262144 CTU197053:CTU262144 DDQ197053:DDQ262144 DNM197053:DNM262144 DXI197053:DXI262144 EHE197053:EHE262144 ERA197053:ERA262144 FAW197053:FAW262144 FKS197053:FKS262144 FUO197053:FUO262144 GEK197053:GEK262144 GOG197053:GOG262144 GYC197053:GYC262144 HHY197053:HHY262144 HRU197053:HRU262144 IBQ197053:IBQ262144 ILM197053:ILM262144 IVI197053:IVI262144 JFE197053:JFE262144 JPA197053:JPA262144 JYW197053:JYW262144 KIS197053:KIS262144 KSO197053:KSO262144 LCK197053:LCK262144 LMG197053:LMG262144 LWC197053:LWC262144 MFY197053:MFY262144 MPU197053:MPU262144 MZQ197053:MZQ262144 NJM197053:NJM262144 NTI197053:NTI262144 ODE197053:ODE262144 ONA197053:ONA262144 OWW197053:OWW262144 PGS197053:PGS262144 PQO197053:PQO262144 QAK197053:QAK262144 QKG197053:QKG262144 QUC197053:QUC262144 RDY197053:RDY262144 RNU197053:RNU262144 RXQ197053:RXQ262144 SHM197053:SHM262144 SRI197053:SRI262144 TBE197053:TBE262144 TLA197053:TLA262144 TUW197053:TUW262144 UES197053:UES262144 UOO197053:UOO262144 UYK197053:UYK262144 VIG197053:VIG262144 VSC197053:VSC262144 WBY197053:WBY262144 WLU197053:WLU262144 WVQ197053:WVQ262144 I262589:I327680 JE262589:JE327680 TA262589:TA327680 ACW262589:ACW327680 AMS262589:AMS327680 AWO262589:AWO327680 BGK262589:BGK327680 BQG262589:BQG327680 CAC262589:CAC327680 CJY262589:CJY327680 CTU262589:CTU327680 DDQ262589:DDQ327680 DNM262589:DNM327680 DXI262589:DXI327680 EHE262589:EHE327680 ERA262589:ERA327680 FAW262589:FAW327680 FKS262589:FKS327680 FUO262589:FUO327680 GEK262589:GEK327680 GOG262589:GOG327680 GYC262589:GYC327680 HHY262589:HHY327680 HRU262589:HRU327680 IBQ262589:IBQ327680 ILM262589:ILM327680 IVI262589:IVI327680 JFE262589:JFE327680 JPA262589:JPA327680 JYW262589:JYW327680 KIS262589:KIS327680 KSO262589:KSO327680 LCK262589:LCK327680 LMG262589:LMG327680 LWC262589:LWC327680 MFY262589:MFY327680 MPU262589:MPU327680 MZQ262589:MZQ327680 NJM262589:NJM327680 NTI262589:NTI327680 ODE262589:ODE327680 ONA262589:ONA327680 OWW262589:OWW327680 PGS262589:PGS327680 PQO262589:PQO327680 QAK262589:QAK327680 QKG262589:QKG327680 QUC262589:QUC327680 RDY262589:RDY327680 RNU262589:RNU327680 RXQ262589:RXQ327680 SHM262589:SHM327680 SRI262589:SRI327680 TBE262589:TBE327680 TLA262589:TLA327680 TUW262589:TUW327680 UES262589:UES327680 UOO262589:UOO327680 UYK262589:UYK327680 VIG262589:VIG327680 VSC262589:VSC327680 WBY262589:WBY327680 WLU262589:WLU327680 WVQ262589:WVQ327680 I328125:I393216 JE328125:JE393216 TA328125:TA393216 ACW328125:ACW393216 AMS328125:AMS393216 AWO328125:AWO393216 BGK328125:BGK393216 BQG328125:BQG393216 CAC328125:CAC393216 CJY328125:CJY393216 CTU328125:CTU393216 DDQ328125:DDQ393216 DNM328125:DNM393216 DXI328125:DXI393216 EHE328125:EHE393216 ERA328125:ERA393216 FAW328125:FAW393216 FKS328125:FKS393216 FUO328125:FUO393216 GEK328125:GEK393216 GOG328125:GOG393216 GYC328125:GYC393216 HHY328125:HHY393216 HRU328125:HRU393216 IBQ328125:IBQ393216 ILM328125:ILM393216 IVI328125:IVI393216 JFE328125:JFE393216 JPA328125:JPA393216 JYW328125:JYW393216 KIS328125:KIS393216 KSO328125:KSO393216 LCK328125:LCK393216 LMG328125:LMG393216 LWC328125:LWC393216 MFY328125:MFY393216 MPU328125:MPU393216 MZQ328125:MZQ393216 NJM328125:NJM393216 NTI328125:NTI393216 ODE328125:ODE393216 ONA328125:ONA393216 OWW328125:OWW393216 PGS328125:PGS393216 PQO328125:PQO393216 QAK328125:QAK393216 QKG328125:QKG393216 QUC328125:QUC393216 RDY328125:RDY393216 RNU328125:RNU393216 RXQ328125:RXQ393216 SHM328125:SHM393216 SRI328125:SRI393216 TBE328125:TBE393216 TLA328125:TLA393216 TUW328125:TUW393216 UES328125:UES393216 UOO328125:UOO393216 UYK328125:UYK393216 VIG328125:VIG393216 VSC328125:VSC393216 WBY328125:WBY393216 WLU328125:WLU393216 WVQ328125:WVQ393216 I393661:I458752 JE393661:JE458752 TA393661:TA458752 ACW393661:ACW458752 AMS393661:AMS458752 AWO393661:AWO458752 BGK393661:BGK458752 BQG393661:BQG458752 CAC393661:CAC458752 CJY393661:CJY458752 CTU393661:CTU458752 DDQ393661:DDQ458752 DNM393661:DNM458752 DXI393661:DXI458752 EHE393661:EHE458752 ERA393661:ERA458752 FAW393661:FAW458752 FKS393661:FKS458752 FUO393661:FUO458752 GEK393661:GEK458752 GOG393661:GOG458752 GYC393661:GYC458752 HHY393661:HHY458752 HRU393661:HRU458752 IBQ393661:IBQ458752 ILM393661:ILM458752 IVI393661:IVI458752 JFE393661:JFE458752 JPA393661:JPA458752 JYW393661:JYW458752 KIS393661:KIS458752 KSO393661:KSO458752 LCK393661:LCK458752 LMG393661:LMG458752 LWC393661:LWC458752 MFY393661:MFY458752 MPU393661:MPU458752 MZQ393661:MZQ458752 NJM393661:NJM458752 NTI393661:NTI458752 ODE393661:ODE458752 ONA393661:ONA458752 OWW393661:OWW458752 PGS393661:PGS458752 PQO393661:PQO458752 QAK393661:QAK458752 QKG393661:QKG458752 QUC393661:QUC458752 RDY393661:RDY458752 RNU393661:RNU458752 RXQ393661:RXQ458752 SHM393661:SHM458752 SRI393661:SRI458752 TBE393661:TBE458752 TLA393661:TLA458752 TUW393661:TUW458752 UES393661:UES458752 UOO393661:UOO458752 UYK393661:UYK458752 VIG393661:VIG458752 VSC393661:VSC458752 WBY393661:WBY458752 WLU393661:WLU458752 WVQ393661:WVQ458752 I459197:I524288 JE459197:JE524288 TA459197:TA524288 ACW459197:ACW524288 AMS459197:AMS524288 AWO459197:AWO524288 BGK459197:BGK524288 BQG459197:BQG524288 CAC459197:CAC524288 CJY459197:CJY524288 CTU459197:CTU524288 DDQ459197:DDQ524288 DNM459197:DNM524288 DXI459197:DXI524288 EHE459197:EHE524288 ERA459197:ERA524288 FAW459197:FAW524288 FKS459197:FKS524288 FUO459197:FUO524288 GEK459197:GEK524288 GOG459197:GOG524288 GYC459197:GYC524288 HHY459197:HHY524288 HRU459197:HRU524288 IBQ459197:IBQ524288 ILM459197:ILM524288 IVI459197:IVI524288 JFE459197:JFE524288 JPA459197:JPA524288 JYW459197:JYW524288 KIS459197:KIS524288 KSO459197:KSO524288 LCK459197:LCK524288 LMG459197:LMG524288 LWC459197:LWC524288 MFY459197:MFY524288 MPU459197:MPU524288 MZQ459197:MZQ524288 NJM459197:NJM524288 NTI459197:NTI524288 ODE459197:ODE524288 ONA459197:ONA524288 OWW459197:OWW524288 PGS459197:PGS524288 PQO459197:PQO524288 QAK459197:QAK524288 QKG459197:QKG524288 QUC459197:QUC524288 RDY459197:RDY524288 RNU459197:RNU524288 RXQ459197:RXQ524288 SHM459197:SHM524288 SRI459197:SRI524288 TBE459197:TBE524288 TLA459197:TLA524288 TUW459197:TUW524288 UES459197:UES524288 UOO459197:UOO524288 UYK459197:UYK524288 VIG459197:VIG524288 VSC459197:VSC524288 WBY459197:WBY524288 WLU459197:WLU524288 WVQ459197:WVQ524288 I524733:I589824 JE524733:JE589824 TA524733:TA589824 ACW524733:ACW589824 AMS524733:AMS589824 AWO524733:AWO589824 BGK524733:BGK589824 BQG524733:BQG589824 CAC524733:CAC589824 CJY524733:CJY589824 CTU524733:CTU589824 DDQ524733:DDQ589824 DNM524733:DNM589824 DXI524733:DXI589824 EHE524733:EHE589824 ERA524733:ERA589824 FAW524733:FAW589824 FKS524733:FKS589824 FUO524733:FUO589824 GEK524733:GEK589824 GOG524733:GOG589824 GYC524733:GYC589824 HHY524733:HHY589824 HRU524733:HRU589824 IBQ524733:IBQ589824 ILM524733:ILM589824 IVI524733:IVI589824 JFE524733:JFE589824 JPA524733:JPA589824 JYW524733:JYW589824 KIS524733:KIS589824 KSO524733:KSO589824 LCK524733:LCK589824 LMG524733:LMG589824 LWC524733:LWC589824 MFY524733:MFY589824 MPU524733:MPU589824 MZQ524733:MZQ589824 NJM524733:NJM589824 NTI524733:NTI589824 ODE524733:ODE589824 ONA524733:ONA589824 OWW524733:OWW589824 PGS524733:PGS589824 PQO524733:PQO589824 QAK524733:QAK589824 QKG524733:QKG589824 QUC524733:QUC589824 RDY524733:RDY589824 RNU524733:RNU589824 RXQ524733:RXQ589824 SHM524733:SHM589824 SRI524733:SRI589824 TBE524733:TBE589824 TLA524733:TLA589824 TUW524733:TUW589824 UES524733:UES589824 UOO524733:UOO589824 UYK524733:UYK589824 VIG524733:VIG589824 VSC524733:VSC589824 WBY524733:WBY589824 WLU524733:WLU589824 WVQ524733:WVQ589824 I590269:I655360 JE590269:JE655360 TA590269:TA655360 ACW590269:ACW655360 AMS590269:AMS655360 AWO590269:AWO655360 BGK590269:BGK655360 BQG590269:BQG655360 CAC590269:CAC655360 CJY590269:CJY655360 CTU590269:CTU655360 DDQ590269:DDQ655360 DNM590269:DNM655360 DXI590269:DXI655360 EHE590269:EHE655360 ERA590269:ERA655360 FAW590269:FAW655360 FKS590269:FKS655360 FUO590269:FUO655360 GEK590269:GEK655360 GOG590269:GOG655360 GYC590269:GYC655360 HHY590269:HHY655360 HRU590269:HRU655360 IBQ590269:IBQ655360 ILM590269:ILM655360 IVI590269:IVI655360 JFE590269:JFE655360 JPA590269:JPA655360 JYW590269:JYW655360 KIS590269:KIS655360 KSO590269:KSO655360 LCK590269:LCK655360 LMG590269:LMG655360 LWC590269:LWC655360 MFY590269:MFY655360 MPU590269:MPU655360 MZQ590269:MZQ655360 NJM590269:NJM655360 NTI590269:NTI655360 ODE590269:ODE655360 ONA590269:ONA655360 OWW590269:OWW655360 PGS590269:PGS655360 PQO590269:PQO655360 QAK590269:QAK655360 QKG590269:QKG655360 QUC590269:QUC655360 RDY590269:RDY655360 RNU590269:RNU655360 RXQ590269:RXQ655360 SHM590269:SHM655360 SRI590269:SRI655360 TBE590269:TBE655360 TLA590269:TLA655360 TUW590269:TUW655360 UES590269:UES655360 UOO590269:UOO655360 UYK590269:UYK655360 VIG590269:VIG655360 VSC590269:VSC655360 WBY590269:WBY655360 WLU590269:WLU655360 WVQ590269:WVQ655360 I655805:I720896 JE655805:JE720896 TA655805:TA720896 ACW655805:ACW720896 AMS655805:AMS720896 AWO655805:AWO720896 BGK655805:BGK720896 BQG655805:BQG720896 CAC655805:CAC720896 CJY655805:CJY720896 CTU655805:CTU720896 DDQ655805:DDQ720896 DNM655805:DNM720896 DXI655805:DXI720896 EHE655805:EHE720896 ERA655805:ERA720896 FAW655805:FAW720896 FKS655805:FKS720896 FUO655805:FUO720896 GEK655805:GEK720896 GOG655805:GOG720896 GYC655805:GYC720896 HHY655805:HHY720896 HRU655805:HRU720896 IBQ655805:IBQ720896 ILM655805:ILM720896 IVI655805:IVI720896 JFE655805:JFE720896 JPA655805:JPA720896 JYW655805:JYW720896 KIS655805:KIS720896 KSO655805:KSO720896 LCK655805:LCK720896 LMG655805:LMG720896 LWC655805:LWC720896 MFY655805:MFY720896 MPU655805:MPU720896 MZQ655805:MZQ720896 NJM655805:NJM720896 NTI655805:NTI720896 ODE655805:ODE720896 ONA655805:ONA720896 OWW655805:OWW720896 PGS655805:PGS720896 PQO655805:PQO720896 QAK655805:QAK720896 QKG655805:QKG720896 QUC655805:QUC720896 RDY655805:RDY720896 RNU655805:RNU720896 RXQ655805:RXQ720896 SHM655805:SHM720896 SRI655805:SRI720896 TBE655805:TBE720896 TLA655805:TLA720896 TUW655805:TUW720896 UES655805:UES720896 UOO655805:UOO720896 UYK655805:UYK720896 VIG655805:VIG720896 VSC655805:VSC720896 WBY655805:WBY720896 WLU655805:WLU720896 WVQ655805:WVQ720896 I721341:I786432 JE721341:JE786432 TA721341:TA786432 ACW721341:ACW786432 AMS721341:AMS786432 AWO721341:AWO786432 BGK721341:BGK786432 BQG721341:BQG786432 CAC721341:CAC786432 CJY721341:CJY786432 CTU721341:CTU786432 DDQ721341:DDQ786432 DNM721341:DNM786432 DXI721341:DXI786432 EHE721341:EHE786432 ERA721341:ERA786432 FAW721341:FAW786432 FKS721341:FKS786432 FUO721341:FUO786432 GEK721341:GEK786432 GOG721341:GOG786432 GYC721341:GYC786432 HHY721341:HHY786432 HRU721341:HRU786432 IBQ721341:IBQ786432 ILM721341:ILM786432 IVI721341:IVI786432 JFE721341:JFE786432 JPA721341:JPA786432 JYW721341:JYW786432 KIS721341:KIS786432 KSO721341:KSO786432 LCK721341:LCK786432 LMG721341:LMG786432 LWC721341:LWC786432 MFY721341:MFY786432 MPU721341:MPU786432 MZQ721341:MZQ786432 NJM721341:NJM786432 NTI721341:NTI786432 ODE721341:ODE786432 ONA721341:ONA786432 OWW721341:OWW786432 PGS721341:PGS786432 PQO721341:PQO786432 QAK721341:QAK786432 QKG721341:QKG786432 QUC721341:QUC786432 RDY721341:RDY786432 RNU721341:RNU786432 RXQ721341:RXQ786432 SHM721341:SHM786432 SRI721341:SRI786432 TBE721341:TBE786432 TLA721341:TLA786432 TUW721341:TUW786432 UES721341:UES786432 UOO721341:UOO786432 UYK721341:UYK786432 VIG721341:VIG786432 VSC721341:VSC786432 WBY721341:WBY786432 WLU721341:WLU786432 WVQ721341:WVQ786432 I786877:I851968 JE786877:JE851968 TA786877:TA851968 ACW786877:ACW851968 AMS786877:AMS851968 AWO786877:AWO851968 BGK786877:BGK851968 BQG786877:BQG851968 CAC786877:CAC851968 CJY786877:CJY851968 CTU786877:CTU851968 DDQ786877:DDQ851968 DNM786877:DNM851968 DXI786877:DXI851968 EHE786877:EHE851968 ERA786877:ERA851968 FAW786877:FAW851968 FKS786877:FKS851968 FUO786877:FUO851968 GEK786877:GEK851968 GOG786877:GOG851968 GYC786877:GYC851968 HHY786877:HHY851968 HRU786877:HRU851968 IBQ786877:IBQ851968 ILM786877:ILM851968 IVI786877:IVI851968 JFE786877:JFE851968 JPA786877:JPA851968 JYW786877:JYW851968 KIS786877:KIS851968 KSO786877:KSO851968 LCK786877:LCK851968 LMG786877:LMG851968 LWC786877:LWC851968 MFY786877:MFY851968 MPU786877:MPU851968 MZQ786877:MZQ851968 NJM786877:NJM851968 NTI786877:NTI851968 ODE786877:ODE851968 ONA786877:ONA851968 OWW786877:OWW851968 PGS786877:PGS851968 PQO786877:PQO851968 QAK786877:QAK851968 QKG786877:QKG851968 QUC786877:QUC851968 RDY786877:RDY851968 RNU786877:RNU851968 RXQ786877:RXQ851968 SHM786877:SHM851968 SRI786877:SRI851968 TBE786877:TBE851968 TLA786877:TLA851968 TUW786877:TUW851968 UES786877:UES851968 UOO786877:UOO851968 UYK786877:UYK851968 VIG786877:VIG851968 VSC786877:VSC851968 WBY786877:WBY851968 WLU786877:WLU851968 WVQ786877:WVQ851968 I852413:I917504 JE852413:JE917504 TA852413:TA917504 ACW852413:ACW917504 AMS852413:AMS917504 AWO852413:AWO917504 BGK852413:BGK917504 BQG852413:BQG917504 CAC852413:CAC917504 CJY852413:CJY917504 CTU852413:CTU917504 DDQ852413:DDQ917504 DNM852413:DNM917504 DXI852413:DXI917504 EHE852413:EHE917504 ERA852413:ERA917504 FAW852413:FAW917504 FKS852413:FKS917504 FUO852413:FUO917504 GEK852413:GEK917504 GOG852413:GOG917504 GYC852413:GYC917504 HHY852413:HHY917504 HRU852413:HRU917504 IBQ852413:IBQ917504 ILM852413:ILM917504 IVI852413:IVI917504 JFE852413:JFE917504 JPA852413:JPA917504 JYW852413:JYW917504 KIS852413:KIS917504 KSO852413:KSO917504 LCK852413:LCK917504 LMG852413:LMG917504 LWC852413:LWC917504 MFY852413:MFY917504 MPU852413:MPU917504 MZQ852413:MZQ917504 NJM852413:NJM917504 NTI852413:NTI917504 ODE852413:ODE917504 ONA852413:ONA917504 OWW852413:OWW917504 PGS852413:PGS917504 PQO852413:PQO917504 QAK852413:QAK917504 QKG852413:QKG917504 QUC852413:QUC917504 RDY852413:RDY917504 RNU852413:RNU917504 RXQ852413:RXQ917504 SHM852413:SHM917504 SRI852413:SRI917504 TBE852413:TBE917504 TLA852413:TLA917504 TUW852413:TUW917504 UES852413:UES917504 UOO852413:UOO917504 UYK852413:UYK917504 VIG852413:VIG917504 VSC852413:VSC917504 WBY852413:WBY917504 WLU852413:WLU917504 WVQ852413:WVQ917504 I917949:I983040 JE917949:JE983040 TA917949:TA983040 ACW917949:ACW983040 AMS917949:AMS983040 AWO917949:AWO983040 BGK917949:BGK983040 BQG917949:BQG983040 CAC917949:CAC983040 CJY917949:CJY983040 CTU917949:CTU983040 DDQ917949:DDQ983040 DNM917949:DNM983040 DXI917949:DXI983040 EHE917949:EHE983040 ERA917949:ERA983040 FAW917949:FAW983040 FKS917949:FKS983040 FUO917949:FUO983040 GEK917949:GEK983040 GOG917949:GOG983040 GYC917949:GYC983040 HHY917949:HHY983040 HRU917949:HRU983040 IBQ917949:IBQ983040 ILM917949:ILM983040 IVI917949:IVI983040 JFE917949:JFE983040 JPA917949:JPA983040 JYW917949:JYW983040 KIS917949:KIS983040 KSO917949:KSO983040 LCK917949:LCK983040 LMG917949:LMG983040 LWC917949:LWC983040 MFY917949:MFY983040 MPU917949:MPU983040 MZQ917949:MZQ983040 NJM917949:NJM983040 NTI917949:NTI983040 ODE917949:ODE983040 ONA917949:ONA983040 OWW917949:OWW983040 PGS917949:PGS983040 PQO917949:PQO983040 QAK917949:QAK983040 QKG917949:QKG983040 QUC917949:QUC983040 RDY917949:RDY983040 RNU917949:RNU983040 RXQ917949:RXQ983040 SHM917949:SHM983040 SRI917949:SRI983040 TBE917949:TBE983040 TLA917949:TLA983040 TUW917949:TUW983040 UES917949:UES983040 UOO917949:UOO983040 UYK917949:UYK983040 VIG917949:VIG983040 VSC917949:VSC983040 WBY917949:WBY983040 WLU917949:WLU983040 WVQ917949:WVQ983040 I983485:I1048576 JE983485:JE1048576 TA983485:TA1048576 ACW983485:ACW1048576 AMS983485:AMS1048576 AWO983485:AWO1048576 BGK983485:BGK1048576 BQG983485:BQG1048576 CAC983485:CAC1048576 CJY983485:CJY1048576 CTU983485:CTU1048576 DDQ983485:DDQ1048576 DNM983485:DNM1048576 DXI983485:DXI1048576 EHE983485:EHE1048576 ERA983485:ERA1048576 FAW983485:FAW1048576 FKS983485:FKS1048576 FUO983485:FUO1048576 GEK983485:GEK1048576 GOG983485:GOG1048576 GYC983485:GYC1048576 HHY983485:HHY1048576 HRU983485:HRU1048576 IBQ983485:IBQ1048576 ILM983485:ILM1048576 IVI983485:IVI1048576 JFE983485:JFE1048576 JPA983485:JPA1048576 JYW983485:JYW1048576 KIS983485:KIS1048576 KSO983485:KSO1048576 LCK983485:LCK1048576 LMG983485:LMG1048576 LWC983485:LWC1048576 MFY983485:MFY1048576 MPU983485:MPU1048576 MZQ983485:MZQ1048576 NJM983485:NJM1048576 NTI983485:NTI1048576 ODE983485:ODE1048576 ONA983485:ONA1048576 OWW983485:OWW1048576 PGS983485:PGS1048576 PQO983485:PQO1048576 QAK983485:QAK1048576 QKG983485:QKG1048576 QUC983485:QUC1048576 RDY983485:RDY1048576 RNU983485:RNU1048576 RXQ983485:RXQ1048576 SHM983485:SHM1048576 SRI983485:SRI1048576 TBE983485:TBE1048576 TLA983485:TLA1048576 TUW983485:TUW1048576 UES983485:UES1048576 UOO983485:UOO1048576 UYK983485:UYK1048576 VIG983485:VIG1048576 VSC983485:VSC1048576 WBY983485:WBY1048576 WLU983485:WLU1048576 WVQ983485:WVQ1048576">
      <formula1>"Engineering Change,Others,Good news,Test item update,Resource issue,Data issue,RR Delayed,Test Failed,Promise Broken"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U137"/>
  <sheetViews>
    <sheetView zoomScale="80" zoomScaleNormal="80" workbookViewId="0">
      <pane xSplit="1" ySplit="3" topLeftCell="W49" activePane="bottomRight" state="frozen"/>
      <selection pane="topRight" activeCell="B1" sqref="B1"/>
      <selection pane="bottomLeft" activeCell="A4" sqref="A4"/>
      <selection pane="bottomRight" activeCell="N5" sqref="N5"/>
    </sheetView>
  </sheetViews>
  <sheetFormatPr defaultColWidth="5.33203125" defaultRowHeight="11.4" outlineLevelRow="1"/>
  <cols>
    <col min="1" max="1" width="17.109375" style="11" customWidth="1"/>
    <col min="2" max="2" width="4.33203125" style="11" customWidth="1"/>
    <col min="3" max="3" width="4.88671875" style="11" customWidth="1"/>
    <col min="4" max="4" width="3.44140625" style="11" customWidth="1"/>
    <col min="5" max="5" width="10.88671875" style="12" customWidth="1"/>
    <col min="6" max="6" width="7.6640625" style="12" customWidth="1"/>
    <col min="7" max="7" width="6.88671875" style="11" customWidth="1"/>
    <col min="8" max="8" width="8" style="11" customWidth="1"/>
    <col min="9" max="9" width="3.33203125" style="11" customWidth="1"/>
    <col min="10" max="11" width="7.5546875" style="12" customWidth="1"/>
    <col min="12" max="13" width="4.6640625" style="11" customWidth="1"/>
    <col min="14" max="14" width="4.5546875" style="11" customWidth="1"/>
    <col min="15" max="15" width="8.44140625" style="12" customWidth="1"/>
    <col min="16" max="16" width="6.88671875" style="12" customWidth="1"/>
    <col min="17" max="17" width="4.6640625" style="11" customWidth="1"/>
    <col min="18" max="18" width="4.5546875" style="11" customWidth="1"/>
    <col min="19" max="19" width="4.6640625" style="11" customWidth="1"/>
    <col min="20" max="20" width="7.33203125" style="12" customWidth="1"/>
    <col min="21" max="21" width="6.5546875" style="12" customWidth="1"/>
    <col min="22" max="24" width="5.33203125" style="11" customWidth="1"/>
    <col min="25" max="25" width="8" style="12" customWidth="1"/>
    <col min="26" max="26" width="5.88671875" style="12" customWidth="1"/>
    <col min="27" max="27" width="4.6640625" style="11" customWidth="1"/>
    <col min="28" max="28" width="4.88671875" style="11" customWidth="1"/>
    <col min="29" max="29" width="5.5546875" style="11" bestFit="1" customWidth="1"/>
    <col min="30" max="30" width="7.33203125" style="12" customWidth="1"/>
    <col min="31" max="31" width="6.88671875" style="12" bestFit="1" customWidth="1"/>
    <col min="32" max="32" width="4.44140625" style="11" customWidth="1"/>
    <col min="33" max="33" width="4.5546875" style="11" customWidth="1"/>
    <col min="34" max="34" width="4.6640625" style="11" customWidth="1"/>
    <col min="35" max="35" width="9.109375" style="12" customWidth="1"/>
    <col min="36" max="36" width="7.33203125" style="12" customWidth="1"/>
    <col min="37" max="37" width="7.109375" style="12" bestFit="1" customWidth="1"/>
    <col min="38" max="38" width="20.88671875" style="11" customWidth="1"/>
    <col min="39" max="40" width="9.33203125" style="11" customWidth="1"/>
    <col min="41" max="41" width="9.88671875" style="11" customWidth="1"/>
    <col min="42" max="42" width="9.44140625" style="11" customWidth="1"/>
    <col min="43" max="43" width="9" style="11" customWidth="1"/>
    <col min="44" max="44" width="9.33203125" style="11" customWidth="1"/>
    <col min="45" max="45" width="10.33203125" style="11" customWidth="1"/>
    <col min="46" max="47" width="11.6640625" style="11" customWidth="1"/>
    <col min="48" max="16384" width="5.33203125" style="11"/>
  </cols>
  <sheetData>
    <row r="1" spans="1:47" ht="13.5" customHeight="1" outlineLevel="1">
      <c r="A1" s="13"/>
      <c r="B1" s="404" t="s">
        <v>53</v>
      </c>
      <c r="C1" s="403"/>
      <c r="D1" s="403"/>
      <c r="E1" s="403"/>
      <c r="F1" s="403"/>
      <c r="G1" s="404" t="s">
        <v>39</v>
      </c>
      <c r="H1" s="403"/>
      <c r="I1" s="403"/>
      <c r="J1" s="403"/>
      <c r="K1" s="403"/>
      <c r="L1" s="403" t="s">
        <v>40</v>
      </c>
      <c r="M1" s="403"/>
      <c r="N1" s="403"/>
      <c r="O1" s="403"/>
      <c r="P1" s="403"/>
      <c r="Q1" s="403" t="s">
        <v>41</v>
      </c>
      <c r="R1" s="403"/>
      <c r="S1" s="403"/>
      <c r="T1" s="403"/>
      <c r="U1" s="403"/>
      <c r="V1" s="403" t="s">
        <v>42</v>
      </c>
      <c r="W1" s="403"/>
      <c r="X1" s="403"/>
      <c r="Y1" s="403"/>
      <c r="Z1" s="403"/>
      <c r="AA1" s="403" t="s">
        <v>43</v>
      </c>
      <c r="AB1" s="403"/>
      <c r="AC1" s="403"/>
      <c r="AD1" s="403"/>
      <c r="AE1" s="403"/>
      <c r="AF1" s="403" t="s">
        <v>44</v>
      </c>
      <c r="AG1" s="403"/>
      <c r="AH1" s="403"/>
      <c r="AI1" s="403"/>
      <c r="AJ1" s="403"/>
      <c r="AK1" s="403"/>
      <c r="AN1" s="119"/>
      <c r="AP1" s="182">
        <v>43250</v>
      </c>
      <c r="AQ1" s="183"/>
      <c r="AR1" s="182">
        <v>43320</v>
      </c>
    </row>
    <row r="2" spans="1:47" ht="15" customHeight="1" outlineLevel="1">
      <c r="A2" s="13"/>
      <c r="B2" s="404">
        <f>B42</f>
        <v>104</v>
      </c>
      <c r="C2" s="403"/>
      <c r="D2" s="403"/>
      <c r="E2" s="403"/>
      <c r="F2" s="403"/>
      <c r="G2" s="404">
        <f>G42</f>
        <v>20</v>
      </c>
      <c r="H2" s="403"/>
      <c r="I2" s="403"/>
      <c r="J2" s="403"/>
      <c r="K2" s="403"/>
      <c r="L2" s="404">
        <f>L42</f>
        <v>115</v>
      </c>
      <c r="M2" s="403"/>
      <c r="N2" s="403"/>
      <c r="O2" s="403"/>
      <c r="P2" s="403"/>
      <c r="Q2" s="404">
        <f>Q42</f>
        <v>30</v>
      </c>
      <c r="R2" s="403"/>
      <c r="S2" s="403"/>
      <c r="T2" s="403"/>
      <c r="U2" s="403"/>
      <c r="V2" s="404">
        <f>V42</f>
        <v>40</v>
      </c>
      <c r="W2" s="403"/>
      <c r="X2" s="403"/>
      <c r="Y2" s="403"/>
      <c r="Z2" s="403"/>
      <c r="AA2" s="404">
        <f>AA42</f>
        <v>136</v>
      </c>
      <c r="AB2" s="403"/>
      <c r="AC2" s="403"/>
      <c r="AD2" s="403"/>
      <c r="AE2" s="403"/>
      <c r="AF2" s="403">
        <f>SUM(B2:AE2)</f>
        <v>445</v>
      </c>
      <c r="AG2" s="403"/>
      <c r="AH2" s="403"/>
      <c r="AI2" s="403"/>
      <c r="AJ2" s="403"/>
      <c r="AK2" s="403"/>
      <c r="AP2" s="182">
        <v>43214</v>
      </c>
      <c r="AQ2" s="183"/>
      <c r="AR2" s="182">
        <v>43292</v>
      </c>
    </row>
    <row r="3" spans="1:47" s="69" customFormat="1" ht="116.25" customHeight="1" outlineLevel="1">
      <c r="A3" s="77"/>
      <c r="B3" s="78" t="s">
        <v>62</v>
      </c>
      <c r="C3" s="79" t="s">
        <v>34</v>
      </c>
      <c r="D3" s="80" t="s">
        <v>35</v>
      </c>
      <c r="E3" s="81" t="s">
        <v>36</v>
      </c>
      <c r="F3" s="82" t="s">
        <v>37</v>
      </c>
      <c r="G3" s="78" t="s">
        <v>38</v>
      </c>
      <c r="H3" s="79" t="s">
        <v>34</v>
      </c>
      <c r="I3" s="80" t="s">
        <v>35</v>
      </c>
      <c r="J3" s="81" t="s">
        <v>36</v>
      </c>
      <c r="K3" s="82" t="s">
        <v>37</v>
      </c>
      <c r="L3" s="78" t="s">
        <v>38</v>
      </c>
      <c r="M3" s="79" t="s">
        <v>34</v>
      </c>
      <c r="N3" s="80" t="s">
        <v>35</v>
      </c>
      <c r="O3" s="81" t="s">
        <v>823</v>
      </c>
      <c r="P3" s="82" t="s">
        <v>37</v>
      </c>
      <c r="Q3" s="78" t="s">
        <v>38</v>
      </c>
      <c r="R3" s="79" t="s">
        <v>34</v>
      </c>
      <c r="S3" s="80" t="s">
        <v>35</v>
      </c>
      <c r="T3" s="81" t="s">
        <v>36</v>
      </c>
      <c r="U3" s="82" t="s">
        <v>37</v>
      </c>
      <c r="V3" s="78" t="s">
        <v>38</v>
      </c>
      <c r="W3" s="79" t="s">
        <v>34</v>
      </c>
      <c r="X3" s="80" t="s">
        <v>35</v>
      </c>
      <c r="Y3" s="81" t="s">
        <v>36</v>
      </c>
      <c r="Z3" s="82" t="s">
        <v>37</v>
      </c>
      <c r="AA3" s="78" t="s">
        <v>38</v>
      </c>
      <c r="AB3" s="79" t="s">
        <v>34</v>
      </c>
      <c r="AC3" s="80" t="s">
        <v>35</v>
      </c>
      <c r="AD3" s="81" t="s">
        <v>36</v>
      </c>
      <c r="AE3" s="82" t="s">
        <v>37</v>
      </c>
      <c r="AF3" s="304" t="s">
        <v>1196</v>
      </c>
      <c r="AG3" s="305" t="s">
        <v>1197</v>
      </c>
      <c r="AH3" s="306" t="s">
        <v>1198</v>
      </c>
      <c r="AI3" s="78" t="s">
        <v>1199</v>
      </c>
      <c r="AJ3" s="79" t="s">
        <v>1200</v>
      </c>
      <c r="AK3" s="80" t="s">
        <v>1201</v>
      </c>
      <c r="AP3" s="182">
        <v>43201</v>
      </c>
      <c r="AQ3" s="182"/>
      <c r="AR3" s="182">
        <v>43264</v>
      </c>
    </row>
    <row r="4" spans="1:47" s="264" customFormat="1" ht="12">
      <c r="A4" s="261">
        <v>43099</v>
      </c>
      <c r="B4" s="262">
        <f>COUNTIFS('Tracking List'!$D$5:$D$650,"BET",'Tracking List'!$W$5:$W$650,"&lt;2017/12/31")</f>
        <v>0</v>
      </c>
      <c r="C4" s="262">
        <f>COUNTIFS('Tracking List'!$D$5:$D$650,"BET",'Tracking List'!$X$5:$X$650,"&lt;2017/12/31")</f>
        <v>0</v>
      </c>
      <c r="D4" s="262">
        <f>COUNTIFS('Tracking List'!$D$5:$D$650,"BET",'Tracking List'!$Y$5:$Y$650,"&lt;2017/12/31")</f>
        <v>0</v>
      </c>
      <c r="E4" s="263">
        <f t="shared" ref="E4:F20" si="0">C4/$B$2</f>
        <v>0</v>
      </c>
      <c r="F4" s="263">
        <f t="shared" si="0"/>
        <v>0</v>
      </c>
      <c r="G4" s="262">
        <f>COUNTIFS('Tracking List'!$D$5:$D$650,"BIW",'Tracking List'!$W$5:$W$650,"&lt;2017/12/31")</f>
        <v>0</v>
      </c>
      <c r="H4" s="262">
        <f>COUNTIFS('Tracking List'!$D$5:$D$650,"BIW",'Tracking List'!$X$5:$X$650,"&lt;2017/12/31")</f>
        <v>0</v>
      </c>
      <c r="I4" s="262">
        <f>COUNTIFS('Tracking List'!$D$5:$D$650,"BIW",'Tracking List'!$Y$5:$Y$650,"&lt;2017/12/31")</f>
        <v>0</v>
      </c>
      <c r="J4" s="263">
        <f t="shared" ref="J4:K20" si="1">H4/$G$2</f>
        <v>0</v>
      </c>
      <c r="K4" s="263">
        <f t="shared" si="1"/>
        <v>0</v>
      </c>
      <c r="L4" s="262">
        <f>COUNTIFS('Tracking List'!$D$5:$D$650,"BIT",'Tracking List'!$W$5:$W$650,"&lt;2017/12/31")</f>
        <v>0</v>
      </c>
      <c r="M4" s="262">
        <f>COUNTIFS('Tracking List'!$D$5:$D$650,"BIT",'Tracking List'!$X$5:$X$650,"&lt;2017/12/31")</f>
        <v>0</v>
      </c>
      <c r="N4" s="262">
        <f>COUNTIFS('Tracking List'!$D$5:$D$650,"BIT",'Tracking List'!$Y$5:$Y$650,"&lt;2017/12/31")</f>
        <v>0</v>
      </c>
      <c r="O4" s="263">
        <f t="shared" ref="O4:P20" si="2">M4/$L$2</f>
        <v>0</v>
      </c>
      <c r="P4" s="263">
        <f t="shared" si="2"/>
        <v>0</v>
      </c>
      <c r="Q4" s="262">
        <f>COUNTIFS('Tracking List'!$D$5:$D$650,"CHS",'Tracking List'!$W$5:$W$650,"&lt;2017/12/31")</f>
        <v>2</v>
      </c>
      <c r="R4" s="262">
        <f>COUNTIFS('Tracking List'!$D$5:$D$650,"CHS",'Tracking List'!$X$5:$X$650,"&lt;2017/12/31")</f>
        <v>0</v>
      </c>
      <c r="S4" s="262">
        <f>COUNTIFS('Tracking List'!$D$5:$D$650,"CHS",'Tracking List'!$Y$5:$Y$650,"&lt;2017/12/31")</f>
        <v>0</v>
      </c>
      <c r="T4" s="263">
        <f t="shared" ref="T4:U20" si="3">R4/$Q$2</f>
        <v>0</v>
      </c>
      <c r="U4" s="263">
        <f t="shared" si="3"/>
        <v>0</v>
      </c>
      <c r="V4" s="262">
        <f>COUNTIFS('Tracking List'!$D$5:$D$650,"PT",'Tracking List'!$W$5:$W$650,"&lt;2017/12/31")</f>
        <v>0</v>
      </c>
      <c r="W4" s="262">
        <f>COUNTIFS('Tracking List'!$D$5:$D$650,"PT",'Tracking List'!$X$5:$X$650,"&lt;2017/12/31")</f>
        <v>0</v>
      </c>
      <c r="X4" s="262">
        <f>COUNTIFS('Tracking List'!$D$5:$D$650,"PT",'Tracking List'!$Y$5:$Y$650,"&lt;2017/12/31")</f>
        <v>0</v>
      </c>
      <c r="Y4" s="263">
        <f t="shared" ref="Y4:Z20" si="4">W4/$V$2</f>
        <v>0</v>
      </c>
      <c r="Z4" s="263">
        <f t="shared" si="4"/>
        <v>0</v>
      </c>
      <c r="AA4" s="262">
        <f>COUNTIFS('Tracking List'!$D$5:$D$650,"EESE",'Tracking List'!$W$5:$W$650,"&lt;2017/12/31")</f>
        <v>0</v>
      </c>
      <c r="AB4" s="262">
        <f>COUNTIFS('Tracking List'!$D$5:$D$650,"EESE",'Tracking List'!$X$5:$X$650,"&lt;2017/12/31")</f>
        <v>0</v>
      </c>
      <c r="AC4" s="262">
        <f>COUNTIFS('Tracking List'!$D$5:$D$650,"EESE",'Tracking List'!$Y$5:$Y$650,"&lt;2017/12/31")</f>
        <v>0</v>
      </c>
      <c r="AD4" s="263">
        <f t="shared" ref="AD4:AE20" si="5">AB4/$AA$2</f>
        <v>0</v>
      </c>
      <c r="AE4" s="263">
        <f t="shared" si="5"/>
        <v>0</v>
      </c>
      <c r="AF4" s="262">
        <f t="shared" ref="AF4:AH13" si="6">B4+G4+L4+Q4+V4+AA4</f>
        <v>2</v>
      </c>
      <c r="AG4" s="262">
        <f t="shared" si="6"/>
        <v>0</v>
      </c>
      <c r="AH4" s="262">
        <f t="shared" si="6"/>
        <v>0</v>
      </c>
      <c r="AI4" s="263">
        <f>AF4/$AF$2</f>
        <v>4.4943820224719105E-3</v>
      </c>
      <c r="AJ4" s="97"/>
      <c r="AK4" s="263">
        <f>AH4/$AF$2</f>
        <v>0</v>
      </c>
    </row>
    <row r="5" spans="1:47" s="264" customFormat="1" ht="12.6" thickBot="1">
      <c r="A5" s="261">
        <v>43130</v>
      </c>
      <c r="B5" s="262">
        <f>COUNTIFS('Tracking List'!$D$5:$D$650,"BET",'Tracking List'!$W$5:$W$650,"&lt;2018/1/30")</f>
        <v>0</v>
      </c>
      <c r="C5" s="262">
        <f>COUNTIFS('Tracking List'!$D$5:$D$650,"BET",'Tracking List'!$X$5:$X$650,"&lt;2018/1/30")</f>
        <v>0</v>
      </c>
      <c r="D5" s="262">
        <f>COUNTIFS('Tracking List'!$D$5:$D$650,"BET",'Tracking List'!$Y$5:$Y$650,"&lt;2018/1/30")</f>
        <v>0</v>
      </c>
      <c r="E5" s="263">
        <f t="shared" si="0"/>
        <v>0</v>
      </c>
      <c r="F5" s="263">
        <f t="shared" si="0"/>
        <v>0</v>
      </c>
      <c r="G5" s="262">
        <f>COUNTIFS('Tracking List'!$D$5:$D$650,"BIW",'Tracking List'!$W$5:$W$650,"&lt;2018/1/30")</f>
        <v>0</v>
      </c>
      <c r="H5" s="262">
        <f>COUNTIFS('Tracking List'!$D$5:$D$650,"BIW",'Tracking List'!$X$5:$X$650,"&lt;2018/1/30")</f>
        <v>0</v>
      </c>
      <c r="I5" s="262">
        <f>COUNTIFS('Tracking List'!$D$5:$D$650,"BIW",'Tracking List'!$Y$5:$Y$650,"&lt;2018/1/30")</f>
        <v>0</v>
      </c>
      <c r="J5" s="263">
        <f t="shared" si="1"/>
        <v>0</v>
      </c>
      <c r="K5" s="263">
        <f t="shared" si="1"/>
        <v>0</v>
      </c>
      <c r="L5" s="262">
        <f>COUNTIFS('Tracking List'!$D$5:$D$650,"BIT",'Tracking List'!$W$5:$W$650,"&lt;2018/1/30")</f>
        <v>0</v>
      </c>
      <c r="M5" s="262">
        <f>COUNTIFS('Tracking List'!$D$5:$D$650,"BIT",'Tracking List'!$X$5:$X$650,"&lt;2018/1/30")</f>
        <v>0</v>
      </c>
      <c r="N5" s="262">
        <f>COUNTIFS('Tracking List'!$D$5:$D$650,"BIT",'Tracking List'!$Y$5:$Y$650,"&lt;2018/1/30")</f>
        <v>2</v>
      </c>
      <c r="O5" s="263">
        <f t="shared" si="2"/>
        <v>0</v>
      </c>
      <c r="P5" s="263">
        <f t="shared" si="2"/>
        <v>1.7391304347826087E-2</v>
      </c>
      <c r="Q5" s="262">
        <f>COUNTIFS('Tracking List'!$D$5:$D$650,"CHS",'Tracking List'!$W$5:$W$650,"&lt;2018/1/30")</f>
        <v>2</v>
      </c>
      <c r="R5" s="262">
        <f>COUNTIFS('Tracking List'!$D$5:$D$650,"CHS",'Tracking List'!$X$5:$X$650,"&lt;2018/1/30")</f>
        <v>0</v>
      </c>
      <c r="S5" s="262">
        <f>COUNTIFS('Tracking List'!$D$5:$D$650,"CHS",'Tracking List'!$Y$5:$Y$650,"&lt;2018/1/30")</f>
        <v>0</v>
      </c>
      <c r="T5" s="263">
        <f t="shared" si="3"/>
        <v>0</v>
      </c>
      <c r="U5" s="263">
        <f t="shared" si="3"/>
        <v>0</v>
      </c>
      <c r="V5" s="262">
        <f>COUNTIFS('Tracking List'!$D$5:$D$650,"PT",'Tracking List'!$W$5:$W$650,"&lt;2018/1/30")</f>
        <v>0</v>
      </c>
      <c r="W5" s="262">
        <f>COUNTIFS('Tracking List'!$D$5:$D$650,"PT",'Tracking List'!$X$5:$X$650,"&lt;2018/1/30")</f>
        <v>0</v>
      </c>
      <c r="X5" s="262">
        <f>COUNTIFS('Tracking List'!$D$5:$D$650,"PT",'Tracking List'!$Y$5:$Y$650,"&lt;2018/1/30")</f>
        <v>0</v>
      </c>
      <c r="Y5" s="263">
        <f t="shared" si="4"/>
        <v>0</v>
      </c>
      <c r="Z5" s="263">
        <f t="shared" si="4"/>
        <v>0</v>
      </c>
      <c r="AA5" s="262">
        <f>COUNTIFS('Tracking List'!$D$5:$D$650,"EESE",'Tracking List'!$W$5:$W$650,"&lt;2018/1/30")</f>
        <v>0</v>
      </c>
      <c r="AB5" s="262">
        <f>COUNTIFS('Tracking List'!$D$5:$D$650,"EESE",'Tracking List'!$X$5:$X$650,"&lt;2018/1/30")</f>
        <v>0</v>
      </c>
      <c r="AC5" s="262">
        <f>COUNTIFS('Tracking List'!$D$5:$D$650,"EESE",'Tracking List'!$Y$5:$Y$650,"&lt;2018/1/30")</f>
        <v>0</v>
      </c>
      <c r="AD5" s="263">
        <f t="shared" si="5"/>
        <v>0</v>
      </c>
      <c r="AE5" s="263">
        <f t="shared" si="5"/>
        <v>0</v>
      </c>
      <c r="AF5" s="262">
        <f t="shared" si="6"/>
        <v>2</v>
      </c>
      <c r="AG5" s="262">
        <f t="shared" si="6"/>
        <v>0</v>
      </c>
      <c r="AH5" s="262">
        <f t="shared" si="6"/>
        <v>2</v>
      </c>
      <c r="AI5" s="263">
        <f t="shared" ref="AI5:AI16" si="7">AF5/$AF$2</f>
        <v>4.4943820224719105E-3</v>
      </c>
      <c r="AJ5" s="97"/>
      <c r="AK5" s="263">
        <f>AH5/$AF$2</f>
        <v>4.4943820224719105E-3</v>
      </c>
      <c r="AM5" s="400" t="s">
        <v>51</v>
      </c>
      <c r="AN5" s="400"/>
      <c r="AO5" s="401"/>
      <c r="AP5" s="401"/>
    </row>
    <row r="6" spans="1:47" s="264" customFormat="1" ht="12.75" customHeight="1" thickBot="1">
      <c r="A6" s="261">
        <v>43159</v>
      </c>
      <c r="B6" s="262">
        <f>COUNTIFS('Tracking List'!$D$5:$D$650,"BET",'Tracking List'!$W$5:$W$650,"&lt;2018/2/30")</f>
        <v>0</v>
      </c>
      <c r="C6" s="262">
        <f>COUNTIFS('Tracking List'!$D$5:$D$650,"BET",'Tracking List'!$X$5:$X$650,"&lt;2018/2/30")</f>
        <v>0</v>
      </c>
      <c r="D6" s="262">
        <f>COUNTIFS('Tracking List'!$D$5:$D$650,"BET",'Tracking List'!$Y$5:$Y$650,"&lt;2018/2/30")</f>
        <v>0</v>
      </c>
      <c r="E6" s="263">
        <f t="shared" si="0"/>
        <v>0</v>
      </c>
      <c r="F6" s="263">
        <f t="shared" si="0"/>
        <v>0</v>
      </c>
      <c r="G6" s="262">
        <f>COUNTIFS('Tracking List'!$D$5:$D$650,"BIW",'Tracking List'!$W$5:$W$650,"&lt;2018/2/30")</f>
        <v>0</v>
      </c>
      <c r="H6" s="262">
        <f>COUNTIFS('Tracking List'!$D$5:$D$650,"BIW",'Tracking List'!$X$5:$X$650,"&lt;2018/2/30")</f>
        <v>0</v>
      </c>
      <c r="I6" s="262">
        <f>COUNTIFS('Tracking List'!$D$5:$D$650,"BIW",'Tracking List'!$Y$5:$Y$650,"&lt;2018/2/30")</f>
        <v>0</v>
      </c>
      <c r="J6" s="263">
        <f t="shared" si="1"/>
        <v>0</v>
      </c>
      <c r="K6" s="263">
        <f t="shared" si="1"/>
        <v>0</v>
      </c>
      <c r="L6" s="262">
        <f>COUNTIFS('Tracking List'!$D$5:$D$650,"BIT",'Tracking List'!$W$5:$W$650,"&lt;2018/2/30")</f>
        <v>0</v>
      </c>
      <c r="M6" s="262">
        <f>COUNTIFS('Tracking List'!$D$5:$D$650,"BIT",'Tracking List'!$X$5:$X$650,"&lt;2018/2/30")</f>
        <v>0</v>
      </c>
      <c r="N6" s="262">
        <f>COUNTIFS('Tracking List'!$D$5:$D$650,"BIT",'Tracking List'!$Y$5:$Y$650,"&lt;2018/2/28")</f>
        <v>2</v>
      </c>
      <c r="O6" s="263">
        <f t="shared" si="2"/>
        <v>0</v>
      </c>
      <c r="P6" s="263">
        <f t="shared" si="2"/>
        <v>1.7391304347826087E-2</v>
      </c>
      <c r="Q6" s="262">
        <f>COUNTIFS('Tracking List'!$D$5:$D$650,"CHS",'Tracking List'!$W$5:$W$650,"&lt;2018/2/28")</f>
        <v>2</v>
      </c>
      <c r="R6" s="262">
        <f>COUNTIFS('Tracking List'!$D$5:$D$650,"CHS",'Tracking List'!$X$5:$X$650,"&lt;2018/2/28")</f>
        <v>0</v>
      </c>
      <c r="S6" s="262">
        <f>COUNTIFS('Tracking List'!$D$5:$D$650,"CHS",'Tracking List'!$Y$5:$Y$650,"&lt;2018/2/28")</f>
        <v>0</v>
      </c>
      <c r="T6" s="263">
        <f t="shared" si="3"/>
        <v>0</v>
      </c>
      <c r="U6" s="263">
        <f t="shared" si="3"/>
        <v>0</v>
      </c>
      <c r="V6" s="262">
        <f>COUNTIFS('Tracking List'!$D$5:$D$650,"PT",'Tracking List'!$W$5:$W$650,"&lt;2018/2/28")</f>
        <v>0</v>
      </c>
      <c r="W6" s="262">
        <f>COUNTIFS('Tracking List'!$D$5:$D$650,"PT",'Tracking List'!$X$5:$X$650,"&lt;2018/2/28")</f>
        <v>0</v>
      </c>
      <c r="X6" s="262">
        <f>COUNTIFS('Tracking List'!$D$5:$D$650,"PT",'Tracking List'!$Y$5:$Y$650,"&lt;2018/2/28")</f>
        <v>0</v>
      </c>
      <c r="Y6" s="263">
        <f t="shared" si="4"/>
        <v>0</v>
      </c>
      <c r="Z6" s="263">
        <f t="shared" si="4"/>
        <v>0</v>
      </c>
      <c r="AA6" s="262">
        <f>COUNTIFS('Tracking List'!$D$5:$D$650,"EESE",'Tracking List'!$W$5:$W$650,"&lt;2018/2/28")</f>
        <v>0</v>
      </c>
      <c r="AB6" s="262">
        <f>COUNTIFS('Tracking List'!$D$5:$D$650,"EESE",'Tracking List'!$X$5:$X$650,"&lt;2018/2/28")</f>
        <v>0</v>
      </c>
      <c r="AC6" s="262">
        <f>COUNTIFS('Tracking List'!$D$5:$D$650,"EESE",'Tracking List'!$Y$5:$Y$650,"&lt;2018/2/28")</f>
        <v>0</v>
      </c>
      <c r="AD6" s="263">
        <f t="shared" si="5"/>
        <v>0</v>
      </c>
      <c r="AE6" s="263">
        <f t="shared" si="5"/>
        <v>0</v>
      </c>
      <c r="AF6" s="262">
        <f t="shared" si="6"/>
        <v>2</v>
      </c>
      <c r="AG6" s="262">
        <f t="shared" si="6"/>
        <v>0</v>
      </c>
      <c r="AH6" s="262">
        <f t="shared" si="6"/>
        <v>2</v>
      </c>
      <c r="AI6" s="263">
        <f t="shared" si="7"/>
        <v>4.4943820224719105E-3</v>
      </c>
      <c r="AJ6" s="97"/>
      <c r="AK6" s="263">
        <f t="shared" ref="AK6" si="8">AH6/$AF$2</f>
        <v>4.4943820224719105E-3</v>
      </c>
      <c r="AM6" s="265" t="s">
        <v>262</v>
      </c>
      <c r="AN6" s="266" t="s">
        <v>258</v>
      </c>
      <c r="AO6" s="267" t="s">
        <v>259</v>
      </c>
      <c r="AP6" s="268" t="s">
        <v>257</v>
      </c>
      <c r="AS6" s="269" t="s">
        <v>262</v>
      </c>
      <c r="AT6" s="270" t="s">
        <v>267</v>
      </c>
      <c r="AU6" s="270" t="s">
        <v>257</v>
      </c>
    </row>
    <row r="7" spans="1:47" s="264" customFormat="1" ht="12">
      <c r="A7" s="261">
        <v>43168</v>
      </c>
      <c r="B7" s="262">
        <f>COUNTIFS('Tracking List'!$D$5:$D$650,"BET",'Tracking List'!$W$5:$W$650,"&lt;2018/3/9")</f>
        <v>8</v>
      </c>
      <c r="C7" s="262">
        <f>COUNTIFS('Tracking List'!$D$5:$D$650,"BET",'Tracking List'!$X$5:$X$650,"&lt;2018/3/9")</f>
        <v>6</v>
      </c>
      <c r="D7" s="262">
        <f>COUNTIFS('Tracking List'!$D$5:$D$650,"BET",'Tracking List'!$Y$5:$Y$650,"&lt;2018/3/9")</f>
        <v>0</v>
      </c>
      <c r="E7" s="263">
        <f t="shared" si="0"/>
        <v>5.7692307692307696E-2</v>
      </c>
      <c r="F7" s="263">
        <f t="shared" si="0"/>
        <v>0</v>
      </c>
      <c r="G7" s="262">
        <f>COUNTIFS('Tracking List'!$D$5:$D$650,"BIW",'Tracking List'!$W$5:$W$650,"&lt;2018/3/9")</f>
        <v>0</v>
      </c>
      <c r="H7" s="262">
        <f>COUNTIFS('Tracking List'!$D$5:$D$650,"BIW",'Tracking List'!$X$5:$X$650,"&lt;2018/3/9")</f>
        <v>0</v>
      </c>
      <c r="I7" s="262">
        <f>COUNTIFS('Tracking List'!$D$5:$D$650,"BIW",'Tracking List'!$Y$5:$Y$650,"&lt;2018/3/9")</f>
        <v>0</v>
      </c>
      <c r="J7" s="263">
        <f t="shared" si="1"/>
        <v>0</v>
      </c>
      <c r="K7" s="263">
        <f t="shared" si="1"/>
        <v>0</v>
      </c>
      <c r="L7" s="262">
        <f>COUNTIFS('Tracking List'!$D$5:$D$650,"BIT",'Tracking List'!$W$5:$W$650,"&lt;2018/3/9")</f>
        <v>0</v>
      </c>
      <c r="M7" s="262">
        <f>COUNTIFS('Tracking List'!$D$5:$D$650,"BIT",'Tracking List'!$X$5:$X$650,"&lt;2018/3/9")</f>
        <v>0</v>
      </c>
      <c r="N7" s="262">
        <f>COUNTIFS('Tracking List'!$D$5:$D$650,"BIT",'Tracking List'!$Y$5:$Y$650,"&lt;2018/3/9")</f>
        <v>2</v>
      </c>
      <c r="O7" s="263">
        <f t="shared" si="2"/>
        <v>0</v>
      </c>
      <c r="P7" s="263">
        <f t="shared" si="2"/>
        <v>1.7391304347826087E-2</v>
      </c>
      <c r="Q7" s="262">
        <f>COUNTIFS('Tracking List'!$D$5:$D$650,"CHS",'Tracking List'!$W$5:$W$650,"&lt;2018/3/9")</f>
        <v>2</v>
      </c>
      <c r="R7" s="262">
        <f>COUNTIFS('Tracking List'!$D$5:$D$650,"CHS",'Tracking List'!$X$5:$X$650,"&lt;2018/3/9")</f>
        <v>0</v>
      </c>
      <c r="S7" s="262">
        <f>COUNTIFS('Tracking List'!$D$5:$D$650,"CHS",'Tracking List'!$Y$5:$Y$650,"&lt;2018/3/9")</f>
        <v>0</v>
      </c>
      <c r="T7" s="263">
        <f t="shared" si="3"/>
        <v>0</v>
      </c>
      <c r="U7" s="263">
        <f t="shared" si="3"/>
        <v>0</v>
      </c>
      <c r="V7" s="262">
        <f>COUNTIFS('Tracking List'!$D$5:$D$650,"PT",'Tracking List'!$W$5:$W$650,"&lt;2018/3/9")</f>
        <v>0</v>
      </c>
      <c r="W7" s="262">
        <f>COUNTIFS('Tracking List'!$D$5:$D$650,"PT",'Tracking List'!$X$5:$X$650,"&lt;2018/3/9")</f>
        <v>0</v>
      </c>
      <c r="X7" s="262">
        <f>COUNTIFS('Tracking List'!$D$5:$D$650,"PT",'Tracking List'!$Y$5:$Y$650,"&lt;2018/3/9")</f>
        <v>0</v>
      </c>
      <c r="Y7" s="263">
        <f t="shared" si="4"/>
        <v>0</v>
      </c>
      <c r="Z7" s="263">
        <f t="shared" si="4"/>
        <v>0</v>
      </c>
      <c r="AA7" s="262">
        <f>COUNTIFS('Tracking List'!$D$5:$D$650,"EESE",'Tracking List'!$W$5:$W$650,"&lt;2018/3/9")</f>
        <v>0</v>
      </c>
      <c r="AB7" s="262">
        <f>COUNTIFS('Tracking List'!$D$5:$D$650,"EESE",'Tracking List'!$X$5:$X$650,"&lt;2018/3/9")</f>
        <v>0</v>
      </c>
      <c r="AC7" s="262">
        <f>COUNTIFS('Tracking List'!$D$5:$D$650,"EESE",'Tracking List'!$Y$5:$Y$650,"&lt;2018/3/9")</f>
        <v>0</v>
      </c>
      <c r="AD7" s="263">
        <f t="shared" si="5"/>
        <v>0</v>
      </c>
      <c r="AE7" s="263">
        <f t="shared" si="5"/>
        <v>0</v>
      </c>
      <c r="AF7" s="262">
        <f t="shared" si="6"/>
        <v>10</v>
      </c>
      <c r="AG7" s="262">
        <f t="shared" si="6"/>
        <v>6</v>
      </c>
      <c r="AH7" s="262">
        <f t="shared" si="6"/>
        <v>2</v>
      </c>
      <c r="AI7" s="263">
        <f t="shared" si="7"/>
        <v>2.247191011235955E-2</v>
      </c>
      <c r="AJ7" s="97">
        <f t="shared" ref="AJ7:AJ37" si="9">AG7/$AF$2</f>
        <v>1.3483146067415731E-2</v>
      </c>
      <c r="AK7" s="263">
        <f>AH7/$AF$2</f>
        <v>4.4943820224719105E-3</v>
      </c>
      <c r="AM7" s="271" t="s">
        <v>263</v>
      </c>
      <c r="AN7" s="272">
        <f>COUNTIF('Tracking List'!W$5:W$650,"&lt;=2017/11/3")/$AF$2</f>
        <v>0</v>
      </c>
      <c r="AO7" s="272">
        <f>COUNTIF('Tracking List'!X$5:X$650,"&lt;=2017/11/3")/$AF$2</f>
        <v>0</v>
      </c>
      <c r="AP7" s="272">
        <f>COUNTIF('Tracking List'!Y$5:Y$650,"&lt;=2017/11/3")/$AF$2</f>
        <v>0</v>
      </c>
      <c r="AS7" s="271" t="s">
        <v>263</v>
      </c>
      <c r="AT7" s="272">
        <v>2.6258205689277898E-2</v>
      </c>
      <c r="AU7" s="272">
        <v>2.1881838074398249E-2</v>
      </c>
    </row>
    <row r="8" spans="1:47" s="264" customFormat="1" ht="12">
      <c r="A8" s="261">
        <v>43175</v>
      </c>
      <c r="B8" s="262">
        <f>COUNTIFS('Tracking List'!$D$5:$D$650,"BET",'Tracking List'!$W$5:$W$650,"&lt;2018/3/16")</f>
        <v>8</v>
      </c>
      <c r="C8" s="262">
        <f>COUNTIFS('Tracking List'!$D$5:$D$650,"BET",'Tracking List'!$X$5:$X$650,"&lt;2018/3/16")</f>
        <v>6</v>
      </c>
      <c r="D8" s="262">
        <f>COUNTIFS('Tracking List'!$D$5:$D$650,"BET",'Tracking List'!$Y$5:$Y$650,"&lt;2018/3/16")</f>
        <v>0</v>
      </c>
      <c r="E8" s="263">
        <f t="shared" ref="E8" si="10">C8/$B$2</f>
        <v>5.7692307692307696E-2</v>
      </c>
      <c r="F8" s="263">
        <f t="shared" ref="F8" si="11">D8/$B$2</f>
        <v>0</v>
      </c>
      <c r="G8" s="262">
        <f>COUNTIFS('Tracking List'!$D$5:$D$650,"BIW",'Tracking List'!$W$5:$W$650,"&lt;2018/3/16")</f>
        <v>0</v>
      </c>
      <c r="H8" s="262">
        <f>COUNTIFS('Tracking List'!$D$5:$D$650,"BIW",'Tracking List'!$X$5:$X$650,"&lt;2018/3/16")</f>
        <v>0</v>
      </c>
      <c r="I8" s="262">
        <f>COUNTIFS('Tracking List'!$D$5:$D$650,"BIW",'Tracking List'!$Y$5:$Y$650,"&lt;2018/3/16")</f>
        <v>0</v>
      </c>
      <c r="J8" s="263">
        <f t="shared" ref="J8" si="12">H8/$G$2</f>
        <v>0</v>
      </c>
      <c r="K8" s="263">
        <f t="shared" ref="K8" si="13">I8/$G$2</f>
        <v>0</v>
      </c>
      <c r="L8" s="262">
        <f>COUNTIFS('Tracking List'!$D$5:$D$650,"BIT",'Tracking List'!$W$5:$W$650,"&lt;2018/3/16")</f>
        <v>0</v>
      </c>
      <c r="M8" s="262">
        <f>COUNTIFS('Tracking List'!$D$5:$D$650,"BIT",'Tracking List'!$X$5:$X$650,"&lt;2018/3/16")</f>
        <v>0</v>
      </c>
      <c r="N8" s="262">
        <f>COUNTIFS('Tracking List'!$D$5:$D$650,"BIT",'Tracking List'!$Y$5:$Y$650,"&lt;2018/3/16")</f>
        <v>2</v>
      </c>
      <c r="O8" s="263">
        <f t="shared" ref="O8" si="14">M8/$L$2</f>
        <v>0</v>
      </c>
      <c r="P8" s="263">
        <f t="shared" ref="P8" si="15">N8/$L$2</f>
        <v>1.7391304347826087E-2</v>
      </c>
      <c r="Q8" s="262">
        <f>COUNTIFS('Tracking List'!$D$5:$D$650,"CHS",'Tracking List'!$W$5:$W$650,"&lt;2018/3/16")</f>
        <v>2</v>
      </c>
      <c r="R8" s="262">
        <f>COUNTIFS('Tracking List'!$D$5:$D$650,"CHS",'Tracking List'!$X$5:$X$650,"&lt;2018/3/16")</f>
        <v>0</v>
      </c>
      <c r="S8" s="262">
        <f>COUNTIFS('Tracking List'!$D$5:$D$650,"CHS",'Tracking List'!$Y$5:$Y$650,"&lt;2018/3/16")</f>
        <v>0</v>
      </c>
      <c r="T8" s="263">
        <f t="shared" ref="T8" si="16">R8/$Q$2</f>
        <v>0</v>
      </c>
      <c r="U8" s="263">
        <f t="shared" ref="U8" si="17">S8/$Q$2</f>
        <v>0</v>
      </c>
      <c r="V8" s="262">
        <f>COUNTIFS('Tracking List'!$D$5:$D$650,"PT",'Tracking List'!$W$5:$W$650,"&lt;2018/3/16")</f>
        <v>0</v>
      </c>
      <c r="W8" s="262">
        <f>COUNTIFS('Tracking List'!$D$5:$D$650,"PT",'Tracking List'!$X$5:$X$650,"&lt;2018/3/16")</f>
        <v>0</v>
      </c>
      <c r="X8" s="262">
        <f>COUNTIFS('Tracking List'!$D$5:$D$650,"PT",'Tracking List'!$Y$5:$Y$650,"&lt;2018/3/16")</f>
        <v>0</v>
      </c>
      <c r="Y8" s="263">
        <f t="shared" ref="Y8" si="18">W8/$V$2</f>
        <v>0</v>
      </c>
      <c r="Z8" s="263">
        <f t="shared" ref="Z8" si="19">X8/$V$2</f>
        <v>0</v>
      </c>
      <c r="AA8" s="262">
        <f>COUNTIFS('Tracking List'!$D$5:$D$650,"EESE",'Tracking List'!$W$5:$W$650,"&lt;2018/3/16")</f>
        <v>0</v>
      </c>
      <c r="AB8" s="262">
        <f>COUNTIFS('Tracking List'!$D$5:$D$650,"EESE",'Tracking List'!$X$5:$X$650,"&lt;2018/3/16")</f>
        <v>0</v>
      </c>
      <c r="AC8" s="262">
        <f>COUNTIFS('Tracking List'!$D$5:$D$650,"EESE",'Tracking List'!$Y$5:$Y$650,"&lt;2018/3/16")</f>
        <v>0</v>
      </c>
      <c r="AD8" s="263">
        <f t="shared" ref="AD8" si="20">AB8/$AA$2</f>
        <v>0</v>
      </c>
      <c r="AE8" s="263">
        <f t="shared" ref="AE8" si="21">AC8/$AA$2</f>
        <v>0</v>
      </c>
      <c r="AF8" s="262">
        <f t="shared" ref="AF8" si="22">B8+G8+L8+Q8+V8+AA8</f>
        <v>10</v>
      </c>
      <c r="AG8" s="262">
        <f t="shared" ref="AG8" si="23">C8+H8+M8+R8+W8+AB8</f>
        <v>6</v>
      </c>
      <c r="AH8" s="262">
        <f t="shared" ref="AH8" si="24">D8+I8+N8+S8+X8+AC8</f>
        <v>2</v>
      </c>
      <c r="AI8" s="263">
        <f t="shared" ref="AI8" si="25">AF8/$AF$2</f>
        <v>2.247191011235955E-2</v>
      </c>
      <c r="AJ8" s="97">
        <f t="shared" si="9"/>
        <v>1.3483146067415731E-2</v>
      </c>
      <c r="AK8" s="263"/>
      <c r="AM8" s="271"/>
      <c r="AN8" s="272"/>
      <c r="AO8" s="272"/>
      <c r="AP8" s="272"/>
      <c r="AS8" s="271"/>
      <c r="AT8" s="272"/>
      <c r="AU8" s="272"/>
    </row>
    <row r="9" spans="1:47" s="264" customFormat="1" ht="12">
      <c r="A9" s="261">
        <v>43220</v>
      </c>
      <c r="B9" s="262">
        <f>COUNTIFS('Tracking List'!$D$5:$D$650,"BET",'Tracking List'!$W$5:$W$650,"&lt;2018/4/30")</f>
        <v>11</v>
      </c>
      <c r="C9" s="262">
        <f>COUNTIFS('Tracking List'!$D$5:$D$650,"BET",'Tracking List'!$X$5:$X$650,"&lt;2018/4/30")</f>
        <v>8</v>
      </c>
      <c r="D9" s="262">
        <f>COUNTIFS('Tracking List'!$D$5:$D$650,"BET",'Tracking List'!$Y$5:$Y$650,"&lt;2018/4/30")</f>
        <v>0</v>
      </c>
      <c r="E9" s="263">
        <f t="shared" si="0"/>
        <v>7.6923076923076927E-2</v>
      </c>
      <c r="F9" s="263">
        <f t="shared" si="0"/>
        <v>0</v>
      </c>
      <c r="G9" s="262">
        <f>COUNTIFS('Tracking List'!$D$5:$D$650,"BIW",'Tracking List'!$W$5:$W$650,"&lt;2018/4/30")</f>
        <v>5</v>
      </c>
      <c r="H9" s="262">
        <f>COUNTIFS('Tracking List'!$D$5:$D$650,"BIW",'Tracking List'!$X$5:$X$650,"&lt;2018/4/30")</f>
        <v>0</v>
      </c>
      <c r="I9" s="262">
        <f>COUNTIFS('Tracking List'!$D$5:$D$650,"BIW",'Tracking List'!$Y$5:$Y$650,"&lt;2018/4/30")</f>
        <v>0</v>
      </c>
      <c r="J9" s="263">
        <f t="shared" si="1"/>
        <v>0</v>
      </c>
      <c r="K9" s="263">
        <f t="shared" si="1"/>
        <v>0</v>
      </c>
      <c r="L9" s="262">
        <f>COUNTIFS('Tracking List'!$D$5:$D$650,"BIT",'Tracking List'!$W$5:$W$650,"&lt;2018/4/30")</f>
        <v>0</v>
      </c>
      <c r="M9" s="262">
        <f>COUNTIFS('Tracking List'!$D$5:$D$650,"BIT",'Tracking List'!$X$5:$X$650,"&lt;2018/4/30")</f>
        <v>0</v>
      </c>
      <c r="N9" s="262">
        <f>COUNTIFS('Tracking List'!$D$5:$D$650,"BIT",'Tracking List'!$Y$5:$Y$650,"&lt;2018/4/30")</f>
        <v>2</v>
      </c>
      <c r="O9" s="263">
        <f>M9/$L$2</f>
        <v>0</v>
      </c>
      <c r="P9" s="263">
        <f>N9/$L$2</f>
        <v>1.7391304347826087E-2</v>
      </c>
      <c r="Q9" s="262">
        <f>COUNTIFS('Tracking List'!$D$5:$D$650,"CHS",'Tracking List'!$W$5:$W$650,"&lt;2018/4/30")</f>
        <v>8</v>
      </c>
      <c r="R9" s="262">
        <f>COUNTIFS('Tracking List'!$D$5:$D$650,"CHS",'Tracking List'!$X$5:$X$650,"&lt;2018/4/30")</f>
        <v>8</v>
      </c>
      <c r="S9" s="262">
        <f>COUNTIFS('Tracking List'!$D$5:$D$650,"CHS",'Tracking List'!$Y$5:$Y$650,"&lt;2018/4/30")</f>
        <v>0</v>
      </c>
      <c r="T9" s="263">
        <f>R9/$Q$2</f>
        <v>0.26666666666666666</v>
      </c>
      <c r="U9" s="263">
        <f>S9/$Q$2</f>
        <v>0</v>
      </c>
      <c r="V9" s="262">
        <f>COUNTIFS('Tracking List'!$D$5:$D$650,"PT",'Tracking List'!$W$5:$W$650,"&lt;2018/4/30")</f>
        <v>2</v>
      </c>
      <c r="W9" s="262">
        <f>COUNTIFS('Tracking List'!$D$5:$D$650,"PT",'Tracking List'!$X$5:$X$650,"&lt;2018/4/30")</f>
        <v>1</v>
      </c>
      <c r="X9" s="262">
        <f>COUNTIFS('Tracking List'!$D$5:$D$650,"PT",'Tracking List'!$Y$5:$Y$650,"&lt;2018/4/30")</f>
        <v>0</v>
      </c>
      <c r="Y9" s="263">
        <f>W9/$V$2</f>
        <v>2.5000000000000001E-2</v>
      </c>
      <c r="Z9" s="263">
        <f>X9/$V$2</f>
        <v>0</v>
      </c>
      <c r="AA9" s="262">
        <f>COUNTIFS('Tracking List'!$D$5:$D$650,"EESE",'Tracking List'!$W$5:$W$650,"&lt;2018/4/30")</f>
        <v>0</v>
      </c>
      <c r="AB9" s="262">
        <f>COUNTIFS('Tracking List'!$D$5:$D$650,"EESE",'Tracking List'!$X$5:$X$650,"&lt;2018/4/30")</f>
        <v>0</v>
      </c>
      <c r="AC9" s="262">
        <f>COUNTIFS('Tracking List'!$D$5:$D$650,"EESE",'Tracking List'!$Y$5:$Y$650,"&lt;2018/4/30")</f>
        <v>0</v>
      </c>
      <c r="AD9" s="263">
        <f>AB9/$AA$2</f>
        <v>0</v>
      </c>
      <c r="AE9" s="263">
        <f>AC9/$AA$2</f>
        <v>0</v>
      </c>
      <c r="AF9" s="262">
        <f>B9+G9+L9+Q9+V9+AA9</f>
        <v>26</v>
      </c>
      <c r="AG9" s="262">
        <f>C9+H9+M9+R9+W9+AB9</f>
        <v>17</v>
      </c>
      <c r="AH9" s="262">
        <f>D9+I9+N9+S9+X9+AC9</f>
        <v>2</v>
      </c>
      <c r="AI9" s="263">
        <f t="shared" si="7"/>
        <v>5.8426966292134834E-2</v>
      </c>
      <c r="AJ9" s="97">
        <f t="shared" si="9"/>
        <v>3.8202247191011236E-2</v>
      </c>
      <c r="AK9" s="263"/>
      <c r="AM9" s="303" t="s">
        <v>264</v>
      </c>
      <c r="AN9" s="273">
        <f>COUNTIF('Tracking List'!W$5:W$650,"&lt;=2017/11/10")/$AF$2</f>
        <v>0</v>
      </c>
      <c r="AO9" s="273">
        <f>COUNTIF('Tracking List'!X$5:X$650,"&lt;=2017/11/10")/$AF$2</f>
        <v>0</v>
      </c>
      <c r="AP9" s="273"/>
      <c r="AS9" s="303" t="s">
        <v>264</v>
      </c>
      <c r="AT9" s="273">
        <v>2.8446389496717725E-2</v>
      </c>
      <c r="AU9" s="273"/>
    </row>
    <row r="10" spans="1:47" s="274" customFormat="1" ht="12">
      <c r="A10" s="261">
        <v>43250</v>
      </c>
      <c r="B10" s="262">
        <f>COUNTIFS('Tracking List'!$D$5:$D$650,"BET",'Tracking List'!$W$5:$W$650,"&lt;=2018/5/30")</f>
        <v>21</v>
      </c>
      <c r="C10" s="262">
        <f>COUNTIFS('Tracking List'!$D$5:$D$650,"BET",'Tracking List'!$X$5:$X$650,"&lt;=2018/5/30")</f>
        <v>20</v>
      </c>
      <c r="D10" s="262">
        <f>COUNTIFS('Tracking List'!$D$5:$D$650,"BET",'Tracking List'!$Y$5:$Y$650,"&lt;=2018/5/30")</f>
        <v>0</v>
      </c>
      <c r="E10" s="263">
        <f t="shared" si="0"/>
        <v>0.19230769230769232</v>
      </c>
      <c r="F10" s="263">
        <f t="shared" si="0"/>
        <v>0</v>
      </c>
      <c r="G10" s="262">
        <f>COUNTIFS('Tracking List'!$D$5:$D$650,"BIW",'Tracking List'!$W$5:$W$650,"&lt;=2018/5/30")</f>
        <v>20</v>
      </c>
      <c r="H10" s="262">
        <f>COUNTIFS('Tracking List'!$D$5:$D$650,"BIW",'Tracking List'!$X$5:$X$650,"&lt;=2018/5/30")</f>
        <v>15</v>
      </c>
      <c r="I10" s="262">
        <f>COUNTIFS('Tracking List'!$D$5:$D$650,"BIW",'Tracking List'!$Y$5:$Y$650,"&lt;=2018/5/30")</f>
        <v>0</v>
      </c>
      <c r="J10" s="263">
        <f t="shared" si="1"/>
        <v>0.75</v>
      </c>
      <c r="K10" s="263">
        <f t="shared" si="1"/>
        <v>0</v>
      </c>
      <c r="L10" s="262">
        <f>COUNTIFS('Tracking List'!$D$5:$D$650,"BIT",'Tracking List'!$W$5:$W$650,"&lt;=2018/5/30")</f>
        <v>38</v>
      </c>
      <c r="M10" s="262">
        <f>COUNTIFS('Tracking List'!$D$5:$D$650,"BIT",'Tracking List'!$X$5:$X$650,"&lt;=2018/5/30")</f>
        <v>38</v>
      </c>
      <c r="N10" s="262">
        <f>COUNTIFS('Tracking List'!$D$5:$D$650,"BIT",'Tracking List'!$Y$5:$Y$650,"&lt;=2018/5/30")</f>
        <v>2</v>
      </c>
      <c r="O10" s="263">
        <f t="shared" si="2"/>
        <v>0.33043478260869563</v>
      </c>
      <c r="P10" s="263">
        <f t="shared" si="2"/>
        <v>1.7391304347826087E-2</v>
      </c>
      <c r="Q10" s="262">
        <f>COUNTIFS('Tracking List'!$D$5:$D$650,"CHS",'Tracking List'!$W$5:$W$650,"&lt;=2018/5/30")</f>
        <v>8</v>
      </c>
      <c r="R10" s="262">
        <f>COUNTIFS('Tracking List'!$D$5:$D$650,"CHS",'Tracking List'!$X$5:$X$650,"&lt;=2018/5/30")</f>
        <v>8</v>
      </c>
      <c r="S10" s="262">
        <f>COUNTIFS('Tracking List'!$D$5:$D$650,"CHS",'Tracking List'!$Y$5:$Y$650,"&lt;=2018/5/30")</f>
        <v>0</v>
      </c>
      <c r="T10" s="263">
        <f t="shared" si="3"/>
        <v>0.26666666666666666</v>
      </c>
      <c r="U10" s="263">
        <f t="shared" si="3"/>
        <v>0</v>
      </c>
      <c r="V10" s="262">
        <f>COUNTIFS('Tracking List'!$D$5:$D$650,"PT",'Tracking List'!$W$5:$W$650,"&lt;=2018/5/30")</f>
        <v>17</v>
      </c>
      <c r="W10" s="262">
        <f>COUNTIFS('Tracking List'!$D$5:$D$650,"PT",'Tracking List'!$X$5:$X$650,"&lt;=2018/5/30")</f>
        <v>16</v>
      </c>
      <c r="X10" s="262">
        <f>COUNTIFS('Tracking List'!$D$5:$D$650,"PT",'Tracking List'!$Y$5:$Y$650,"&lt;=2018/5/30")</f>
        <v>0</v>
      </c>
      <c r="Y10" s="263">
        <f t="shared" si="4"/>
        <v>0.4</v>
      </c>
      <c r="Z10" s="263">
        <f t="shared" si="4"/>
        <v>0</v>
      </c>
      <c r="AA10" s="262">
        <f>COUNTIFS('Tracking List'!$D$5:$D$650,"EESE",'Tracking List'!$W$5:$W$650,"&lt;=2018/5/30")</f>
        <v>7</v>
      </c>
      <c r="AB10" s="262">
        <f>COUNTIFS('Tracking List'!$D$5:$D$650,"EESE",'Tracking List'!$X$5:$X$650,"&lt;=2018/5/30")</f>
        <v>7</v>
      </c>
      <c r="AC10" s="262">
        <f>COUNTIFS('Tracking List'!$D$5:$D$650,"EESE",'Tracking List'!$Y$5:$Y$650,"&lt;=2018/5/30")</f>
        <v>0</v>
      </c>
      <c r="AD10" s="263">
        <f t="shared" si="5"/>
        <v>5.1470588235294115E-2</v>
      </c>
      <c r="AE10" s="263">
        <f t="shared" si="5"/>
        <v>0</v>
      </c>
      <c r="AF10" s="262">
        <f t="shared" ref="AF10:AH15" si="26">B10+G10+L10+Q10+V10+AA10</f>
        <v>111</v>
      </c>
      <c r="AG10" s="262">
        <f t="shared" si="26"/>
        <v>104</v>
      </c>
      <c r="AH10" s="262">
        <f t="shared" si="6"/>
        <v>2</v>
      </c>
      <c r="AI10" s="263">
        <f t="shared" si="7"/>
        <v>0.24943820224719102</v>
      </c>
      <c r="AJ10" s="97">
        <f t="shared" si="9"/>
        <v>0.23370786516853934</v>
      </c>
      <c r="AK10" s="263"/>
      <c r="AM10" s="275" t="s">
        <v>265</v>
      </c>
      <c r="AN10" s="276">
        <f>COUNTIF('Tracking List'!W$5:W$650,"&lt;=2017/11/17")/$AF$2</f>
        <v>0</v>
      </c>
      <c r="AO10" s="276">
        <f>COUNTIF('Tracking List'!X$5:X$650,"&lt;=2017/11/17")/$AF$2</f>
        <v>0</v>
      </c>
      <c r="AP10" s="276"/>
      <c r="AS10" s="275" t="s">
        <v>265</v>
      </c>
      <c r="AT10" s="276">
        <v>3.9387308533916851E-2</v>
      </c>
      <c r="AU10" s="276"/>
    </row>
    <row r="11" spans="1:47" s="227" customFormat="1" ht="12">
      <c r="A11" s="260">
        <v>43278</v>
      </c>
      <c r="B11" s="224">
        <f>COUNTIFS('Tracking List'!$D$5:$D$650,"BET",'Tracking List'!$W$5:$W$650,"&lt;2018/6/27")</f>
        <v>52</v>
      </c>
      <c r="C11" s="224">
        <f>COUNTIFS('Tracking List'!$D$5:$D$650,"BET",'Tracking List'!$X$5:$X$650,"&lt;2018/6/27")</f>
        <v>65</v>
      </c>
      <c r="D11" s="224">
        <f>COUNTIFS('Tracking List'!$D$5:$D$650,"BET",'Tracking List'!$Y$5:$Y$650,"&lt;2018/6/27")</f>
        <v>0</v>
      </c>
      <c r="E11" s="285">
        <f t="shared" si="0"/>
        <v>0.625</v>
      </c>
      <c r="F11" s="226">
        <f t="shared" si="0"/>
        <v>0</v>
      </c>
      <c r="G11" s="224">
        <f>COUNTIFS('Tracking List'!$D$5:$D$650,"BIW",'Tracking List'!$W$5:$W$650,"&lt;2018/6/27")</f>
        <v>20</v>
      </c>
      <c r="H11" s="224">
        <f>COUNTIFS('Tracking List'!$D$5:$D$650,"BIW",'Tracking List'!$X$5:$X$650,"&lt;2018/6/27")</f>
        <v>20</v>
      </c>
      <c r="I11" s="224">
        <f>COUNTIFS('Tracking List'!$D$5:$D$650,"BIW",'Tracking List'!$Y$5:$Y$650,"&lt;2018/6/27")</f>
        <v>0</v>
      </c>
      <c r="J11" s="226">
        <f t="shared" si="1"/>
        <v>1</v>
      </c>
      <c r="K11" s="226">
        <f t="shared" si="1"/>
        <v>0</v>
      </c>
      <c r="L11" s="224">
        <f>COUNTIFS('Tracking List'!$D$5:$D$650,"BIT",'Tracking List'!$W$5:$W$650,"&lt;2018/6/27")</f>
        <v>115</v>
      </c>
      <c r="M11" s="224">
        <f>COUNTIFS('Tracking List'!$D$5:$D$650,"BIT",'Tracking List'!$X$5:$X$650,"&lt;2018/6/27")</f>
        <v>115</v>
      </c>
      <c r="N11" s="224">
        <f>COUNTIFS('Tracking List'!$D$5:$D$650,"BIT",'Tracking List'!$Y$5:$Y$650,"&lt;2018/6/27")</f>
        <v>2</v>
      </c>
      <c r="O11" s="226">
        <f t="shared" si="2"/>
        <v>1</v>
      </c>
      <c r="P11" s="226">
        <f t="shared" si="2"/>
        <v>1.7391304347826087E-2</v>
      </c>
      <c r="Q11" s="224">
        <f>COUNTIFS('Tracking List'!$D$5:$D$650,"CHS",'Tracking List'!$W$5:$W$650,"&lt;2018/6/27")</f>
        <v>10</v>
      </c>
      <c r="R11" s="224">
        <f>COUNTIFS('Tracking List'!$D$5:$D$650,"CHS",'Tracking List'!$X$5:$X$650,"&lt;2018/6/27")</f>
        <v>10</v>
      </c>
      <c r="S11" s="224">
        <f>COUNTIFS('Tracking List'!$D$5:$D$650,"CHS",'Tracking List'!$Y$5:$Y$650,"&lt;2018/6/27")</f>
        <v>0</v>
      </c>
      <c r="T11" s="285">
        <f t="shared" si="3"/>
        <v>0.33333333333333331</v>
      </c>
      <c r="U11" s="226">
        <f t="shared" si="3"/>
        <v>0</v>
      </c>
      <c r="V11" s="224">
        <f>COUNTIFS('Tracking List'!$D$5:$D$650,"PT",'Tracking List'!$W$5:$W$650,"&lt;2018/6/27")</f>
        <v>39</v>
      </c>
      <c r="W11" s="224">
        <f>COUNTIFS('Tracking List'!$D$5:$D$650,"PT",'Tracking List'!$X$5:$X$650,"&lt;2018/6/27")</f>
        <v>39</v>
      </c>
      <c r="X11" s="224">
        <f>COUNTIFS('Tracking List'!$D$5:$D$650,"PT",'Tracking List'!$Y$5:$Y$650,"&lt;2018/6/27")</f>
        <v>0</v>
      </c>
      <c r="Y11" s="226">
        <f t="shared" si="4"/>
        <v>0.97499999999999998</v>
      </c>
      <c r="Z11" s="226">
        <f t="shared" si="4"/>
        <v>0</v>
      </c>
      <c r="AA11" s="224">
        <f>COUNTIFS('Tracking List'!$D$5:$D$650,"EESE",'Tracking List'!$W$5:$W$650,"&lt;2018/6/27")</f>
        <v>136</v>
      </c>
      <c r="AB11" s="224">
        <f>COUNTIFS('Tracking List'!$D$5:$D$650,"EESE",'Tracking List'!$X$5:$X$650,"&lt;2018/6/27")</f>
        <v>122</v>
      </c>
      <c r="AC11" s="224">
        <f>COUNTIFS('Tracking List'!$D$5:$D$650,"EESE",'Tracking List'!$Y$5:$Y$650,"&lt;2018/6/27")</f>
        <v>0</v>
      </c>
      <c r="AD11" s="285">
        <f t="shared" si="5"/>
        <v>0.8970588235294118</v>
      </c>
      <c r="AE11" s="226">
        <f t="shared" si="5"/>
        <v>0</v>
      </c>
      <c r="AF11" s="224">
        <f t="shared" si="26"/>
        <v>372</v>
      </c>
      <c r="AG11" s="224">
        <f t="shared" si="26"/>
        <v>371</v>
      </c>
      <c r="AH11" s="224">
        <f t="shared" si="6"/>
        <v>2</v>
      </c>
      <c r="AI11" s="263">
        <f t="shared" si="7"/>
        <v>0.83595505617977528</v>
      </c>
      <c r="AJ11" s="226">
        <f t="shared" si="9"/>
        <v>0.83370786516853934</v>
      </c>
      <c r="AK11" s="263"/>
      <c r="AM11" s="281" t="s">
        <v>266</v>
      </c>
      <c r="AN11" s="282">
        <f>COUNTIF('Tracking List'!W$5:W$650,"&lt;=2017/11/24")/$AF$2</f>
        <v>0</v>
      </c>
      <c r="AO11" s="282">
        <f>COUNTIF('Tracking List'!X$5:X$650,"&lt;=2017/11/24")/$AF$2</f>
        <v>0</v>
      </c>
      <c r="AP11" s="283"/>
      <c r="AS11" s="281" t="s">
        <v>266</v>
      </c>
      <c r="AT11" s="282">
        <v>4.3763676148796497E-2</v>
      </c>
      <c r="AU11" s="283"/>
    </row>
    <row r="12" spans="1:47" s="227" customFormat="1" ht="12">
      <c r="A12" s="260">
        <v>43299</v>
      </c>
      <c r="B12" s="224">
        <f>COUNTIFS('Tracking List'!$D$5:$D$650,"BET",'Tracking List'!$W$5:$W$650,"&lt;2018/7/18")</f>
        <v>74</v>
      </c>
      <c r="C12" s="224">
        <f>COUNTIFS('Tracking List'!$D$5:$D$650,"BET",'Tracking List'!$X$5:$X$650,"&lt;2018/7/18")</f>
        <v>65</v>
      </c>
      <c r="D12" s="224">
        <f>COUNTIFS('Tracking List'!$D$5:$D$650,"BET",'Tracking List'!$Y$5:$Y$650,"&lt;2018/7/18")</f>
        <v>0</v>
      </c>
      <c r="E12" s="285">
        <f t="shared" si="0"/>
        <v>0.625</v>
      </c>
      <c r="F12" s="226">
        <f t="shared" si="0"/>
        <v>0</v>
      </c>
      <c r="G12" s="224">
        <f>COUNTIFS('Tracking List'!$D$5:$D$650,"BIW",'Tracking List'!$W$5:$W$650,"&lt;2018/7/18")</f>
        <v>20</v>
      </c>
      <c r="H12" s="224">
        <f>COUNTIFS('Tracking List'!$D$5:$D$650,"BIW",'Tracking List'!$X$5:$X$650,"&lt;2018/7/18")</f>
        <v>20</v>
      </c>
      <c r="I12" s="224">
        <f>COUNTIFS('Tracking List'!$D$5:$D$650,"BIW",'Tracking List'!$Y$5:$Y$650,"&lt;2018/7/18")</f>
        <v>0</v>
      </c>
      <c r="J12" s="226">
        <f t="shared" si="1"/>
        <v>1</v>
      </c>
      <c r="K12" s="226">
        <f t="shared" si="1"/>
        <v>0</v>
      </c>
      <c r="L12" s="224">
        <f>COUNTIFS('Tracking List'!$D$5:$D$650,"BIT",'Tracking List'!$W$5:$W$650,"&lt;2018/7/18")</f>
        <v>115</v>
      </c>
      <c r="M12" s="224">
        <f>COUNTIFS('Tracking List'!$D$5:$D$650,"BIT",'Tracking List'!$X$5:$X$650,"&lt;2018/7/18")</f>
        <v>115</v>
      </c>
      <c r="N12" s="224">
        <f>COUNTIFS('Tracking List'!$D$5:$D$650,"BIT",'Tracking List'!$Y$5:$Y$650,"&lt;2018/7/18")</f>
        <v>2</v>
      </c>
      <c r="O12" s="226">
        <f t="shared" si="2"/>
        <v>1</v>
      </c>
      <c r="P12" s="226">
        <f t="shared" si="2"/>
        <v>1.7391304347826087E-2</v>
      </c>
      <c r="Q12" s="224">
        <f>COUNTIFS('Tracking List'!$D$5:$D$650,"CHS",'Tracking List'!$W$5:$W$650,"&lt;2018/7/18")</f>
        <v>10</v>
      </c>
      <c r="R12" s="224">
        <f>COUNTIFS('Tracking List'!$D$5:$D$650,"CHS",'Tracking List'!$X$5:$X$650,"&lt;2018/7/18")</f>
        <v>10</v>
      </c>
      <c r="S12" s="224">
        <f>COUNTIFS('Tracking List'!$D$5:$D$650,"CHS",'Tracking List'!$Y$5:$Y$650,"&lt;2018/7/18")</f>
        <v>0</v>
      </c>
      <c r="T12" s="285">
        <f t="shared" si="3"/>
        <v>0.33333333333333331</v>
      </c>
      <c r="U12" s="226">
        <f t="shared" si="3"/>
        <v>0</v>
      </c>
      <c r="V12" s="224">
        <f>COUNTIFS('Tracking List'!$D$5:$D$650,"PT",'Tracking List'!$W$5:$W$650,"&lt;2018/7/18")</f>
        <v>40</v>
      </c>
      <c r="W12" s="224">
        <f>COUNTIFS('Tracking List'!$D$5:$D$650,"PT",'Tracking List'!$X$5:$X$650,"&lt;2018/7/18")</f>
        <v>40</v>
      </c>
      <c r="X12" s="224">
        <f>COUNTIFS('Tracking List'!$D$5:$D$650,"PT",'Tracking List'!$Y$5:$Y$650,"&lt;2018/7/18")</f>
        <v>0</v>
      </c>
      <c r="Y12" s="226">
        <f t="shared" si="4"/>
        <v>1</v>
      </c>
      <c r="Z12" s="226">
        <f t="shared" si="4"/>
        <v>0</v>
      </c>
      <c r="AA12" s="224">
        <f>COUNTIFS('Tracking List'!$D$5:$D$650,"EESE",'Tracking List'!$W$5:$W$650,"&lt;2018/7/18")</f>
        <v>136</v>
      </c>
      <c r="AB12" s="224">
        <f>COUNTIFS('Tracking List'!$D$5:$D$650,"EESE",'Tracking List'!$X$5:$X$650,"&lt;2018/7/18")</f>
        <v>122</v>
      </c>
      <c r="AC12" s="224">
        <f>COUNTIFS('Tracking List'!$D$5:$D$650,"EESE",'Tracking List'!$Y$5:$Y$650,"&lt;2018/7/18")</f>
        <v>0</v>
      </c>
      <c r="AD12" s="285">
        <f t="shared" si="5"/>
        <v>0.8970588235294118</v>
      </c>
      <c r="AE12" s="226">
        <f t="shared" si="5"/>
        <v>0</v>
      </c>
      <c r="AF12" s="224">
        <f t="shared" si="26"/>
        <v>395</v>
      </c>
      <c r="AG12" s="224">
        <f t="shared" si="26"/>
        <v>372</v>
      </c>
      <c r="AH12" s="224">
        <f t="shared" si="6"/>
        <v>2</v>
      </c>
      <c r="AI12" s="263">
        <f t="shared" si="7"/>
        <v>0.88764044943820219</v>
      </c>
      <c r="AJ12" s="226">
        <f t="shared" si="9"/>
        <v>0.83595505617977528</v>
      </c>
      <c r="AK12" s="263"/>
      <c r="AM12" s="284"/>
      <c r="AN12" s="283"/>
      <c r="AO12" s="283"/>
      <c r="AP12" s="283"/>
      <c r="AS12" s="284"/>
      <c r="AT12" s="283"/>
      <c r="AU12" s="283"/>
    </row>
    <row r="13" spans="1:47" s="293" customFormat="1" ht="12" customHeight="1">
      <c r="A13" s="290">
        <v>43342</v>
      </c>
      <c r="B13" s="291">
        <f>COUNTIFS('Tracking List'!$D$5:$D$650,"BET",'Tracking List'!$W$5:$W$650,"&lt;2018/8/30")</f>
        <v>80</v>
      </c>
      <c r="C13" s="291">
        <f>COUNTIFS('Tracking List'!$D$5:$D$650,"BET",'Tracking List'!$X$5:$X$650,"&lt;2018/8/30")</f>
        <v>75</v>
      </c>
      <c r="D13" s="291">
        <f>COUNTIFS('Tracking List'!$D$5:$D$650,"BET",'Tracking List'!$Y$5:$Y$650,"&lt;2018/8/30")</f>
        <v>0</v>
      </c>
      <c r="E13" s="292">
        <f t="shared" si="0"/>
        <v>0.72115384615384615</v>
      </c>
      <c r="F13" s="292">
        <f t="shared" si="0"/>
        <v>0</v>
      </c>
      <c r="G13" s="291">
        <f>COUNTIFS('Tracking List'!$D$5:$D$650,"BIW",'Tracking List'!$W$5:$W$650,"&lt;2018/8/30")</f>
        <v>20</v>
      </c>
      <c r="H13" s="291">
        <f>COUNTIFS('Tracking List'!$D$5:$D$650,"BIW",'Tracking List'!$X$5:$X$650,"&lt;2018/8/30")</f>
        <v>20</v>
      </c>
      <c r="I13" s="291">
        <f>COUNTIFS('Tracking List'!$D$5:$D$650,"BIW",'Tracking List'!$Y$5:$Y$650,"&lt;2018/8/30")</f>
        <v>0</v>
      </c>
      <c r="J13" s="292">
        <f t="shared" si="1"/>
        <v>1</v>
      </c>
      <c r="K13" s="292">
        <f t="shared" si="1"/>
        <v>0</v>
      </c>
      <c r="L13" s="291">
        <f>COUNTIFS('Tracking List'!$D$5:$D$650,"BIT",'Tracking List'!$W$5:$W$650,"&lt;2018/8/30")</f>
        <v>115</v>
      </c>
      <c r="M13" s="291">
        <f>COUNTIFS('Tracking List'!$D$5:$D$650,"BIT",'Tracking List'!$X$5:$X$650,"&lt;2018/8/30")</f>
        <v>115</v>
      </c>
      <c r="N13" s="291">
        <f>COUNTIFS('Tracking List'!$D$5:$D$650,"BIT",'Tracking List'!$Y$5:$Y$650,"&lt;2018/8/30")</f>
        <v>2</v>
      </c>
      <c r="O13" s="292">
        <f t="shared" si="2"/>
        <v>1</v>
      </c>
      <c r="P13" s="292">
        <f t="shared" si="2"/>
        <v>1.7391304347826087E-2</v>
      </c>
      <c r="Q13" s="291">
        <f>COUNTIFS('Tracking List'!$D$5:$D$650,"CHS",'Tracking List'!$W$5:$W$650,"&lt;2018/8/30")</f>
        <v>30</v>
      </c>
      <c r="R13" s="291">
        <f>COUNTIFS('Tracking List'!$D$5:$D$650,"CHS",'Tracking List'!$X$5:$X$650,"&lt;2018/8/30")</f>
        <v>30</v>
      </c>
      <c r="S13" s="291">
        <f>COUNTIFS('Tracking List'!$D$5:$D$650,"CHS",'Tracking List'!$Y$5:$Y$650,"&lt;2018/8/30")</f>
        <v>0</v>
      </c>
      <c r="T13" s="292">
        <f t="shared" si="3"/>
        <v>1</v>
      </c>
      <c r="U13" s="292">
        <f t="shared" si="3"/>
        <v>0</v>
      </c>
      <c r="V13" s="291">
        <f>COUNTIFS('Tracking List'!$D$5:$D$650,"PT",'Tracking List'!$W$5:$W$650,"&lt;2018/8/30")</f>
        <v>40</v>
      </c>
      <c r="W13" s="291">
        <f>COUNTIFS('Tracking List'!$D$5:$D$650,"PT",'Tracking List'!$X$5:$X$650,"&lt;2018/8/30")</f>
        <v>40</v>
      </c>
      <c r="X13" s="291">
        <f>COUNTIFS('Tracking List'!$D$5:$D$650,"PT",'Tracking List'!$Y$5:$Y$650,"&lt;2018/8/30")</f>
        <v>0</v>
      </c>
      <c r="Y13" s="292">
        <f t="shared" si="4"/>
        <v>1</v>
      </c>
      <c r="Z13" s="292">
        <f t="shared" si="4"/>
        <v>0</v>
      </c>
      <c r="AA13" s="291">
        <f>COUNTIFS('Tracking List'!$D$5:$D$650,"EESE",'Tracking List'!$W$5:$W$650,"&lt;2018/8/30")</f>
        <v>136</v>
      </c>
      <c r="AB13" s="291">
        <f>COUNTIFS('Tracking List'!$D$5:$D$650,"EESE",'Tracking List'!$X$5:$X$650,"&lt;2018/8/30")</f>
        <v>122</v>
      </c>
      <c r="AC13" s="291">
        <f>COUNTIFS('Tracking List'!$D$5:$D$650,"EESE",'Tracking List'!$Y$5:$Y$650,"&lt;2018/8/30")</f>
        <v>0</v>
      </c>
      <c r="AD13" s="292">
        <f t="shared" si="5"/>
        <v>0.8970588235294118</v>
      </c>
      <c r="AE13" s="292">
        <f t="shared" si="5"/>
        <v>0</v>
      </c>
      <c r="AF13" s="291">
        <f t="shared" si="26"/>
        <v>421</v>
      </c>
      <c r="AG13" s="291">
        <f t="shared" si="26"/>
        <v>402</v>
      </c>
      <c r="AH13" s="291">
        <f t="shared" si="6"/>
        <v>2</v>
      </c>
      <c r="AI13" s="263">
        <f t="shared" si="7"/>
        <v>0.94606741573033704</v>
      </c>
      <c r="AJ13" s="292">
        <f t="shared" si="9"/>
        <v>0.90337078651685399</v>
      </c>
      <c r="AK13" s="292"/>
      <c r="AM13" s="294" t="s">
        <v>55</v>
      </c>
      <c r="AN13" s="295"/>
      <c r="AO13" s="295"/>
      <c r="AP13" s="295"/>
    </row>
    <row r="14" spans="1:47" s="293" customFormat="1" ht="12" customHeight="1">
      <c r="A14" s="290">
        <v>43369</v>
      </c>
      <c r="B14" s="291">
        <f>COUNTIFS('Tracking List'!$D$5:$D$650,"BET",'Tracking List'!$W$5:$W$650,"&lt;2018/9/26")</f>
        <v>80</v>
      </c>
      <c r="C14" s="291">
        <f>COUNTIFS('Tracking List'!$D$5:$D$650,"BET",'Tracking List'!$X$5:$X$650,"&lt;2018/9/26")</f>
        <v>75</v>
      </c>
      <c r="D14" s="291">
        <f>COUNTIFS('Tracking List'!$D$5:$D$650,"BET",'Tracking List'!$Y$5:$Y$650,"&lt;2018/9/26")</f>
        <v>0</v>
      </c>
      <c r="E14" s="292">
        <f t="shared" si="0"/>
        <v>0.72115384615384615</v>
      </c>
      <c r="F14" s="292">
        <f t="shared" si="0"/>
        <v>0</v>
      </c>
      <c r="G14" s="291">
        <f>COUNTIFS('Tracking List'!$D$5:$D$650,"BIW",'Tracking List'!$W$5:$W$650,"&lt;2018/9/26")</f>
        <v>20</v>
      </c>
      <c r="H14" s="291">
        <f>COUNTIFS('Tracking List'!$D$5:$D$650,"BIW",'Tracking List'!$X$5:$X$650,"&lt;2018/9/26")</f>
        <v>20</v>
      </c>
      <c r="I14" s="291">
        <f>COUNTIFS('Tracking List'!$D$5:$D$650,"BIW",'Tracking List'!$Y$5:$Y$650,"&lt;2018/9/26")</f>
        <v>0</v>
      </c>
      <c r="J14" s="292">
        <f t="shared" si="1"/>
        <v>1</v>
      </c>
      <c r="K14" s="292">
        <f t="shared" si="1"/>
        <v>0</v>
      </c>
      <c r="L14" s="291">
        <f>COUNTIFS('Tracking List'!$D$5:$D$650,"BIT",'Tracking List'!$W$5:$W$650,"&lt;2018/9/26")</f>
        <v>115</v>
      </c>
      <c r="M14" s="291">
        <f>COUNTIFS('Tracking List'!$D$5:$D$650,"BIT",'Tracking List'!$X$5:$X$650,"&lt;2018/9/26")</f>
        <v>115</v>
      </c>
      <c r="N14" s="291">
        <f>COUNTIFS('Tracking List'!$D$5:$D$650,"BIT",'Tracking List'!$Y$5:$Y$650,"&lt;2018/9/26")</f>
        <v>2</v>
      </c>
      <c r="O14" s="292">
        <f t="shared" si="2"/>
        <v>1</v>
      </c>
      <c r="P14" s="292">
        <f t="shared" si="2"/>
        <v>1.7391304347826087E-2</v>
      </c>
      <c r="Q14" s="291">
        <f>COUNTIFS('Tracking List'!$D$5:$D$650,"CHS",'Tracking List'!$W$5:$W$650,"&lt;2018/9/26")</f>
        <v>30</v>
      </c>
      <c r="R14" s="291">
        <f>COUNTIFS('Tracking List'!$D$5:$D$650,"CHS",'Tracking List'!$X$5:$X$650,"&lt;2018/9/26")</f>
        <v>30</v>
      </c>
      <c r="S14" s="291">
        <f>COUNTIFS('Tracking List'!$D$5:$D$650,"CHS",'Tracking List'!$Y$5:$Y$650,"&lt;2018/9/26")</f>
        <v>0</v>
      </c>
      <c r="T14" s="292">
        <f t="shared" si="3"/>
        <v>1</v>
      </c>
      <c r="U14" s="292">
        <f t="shared" si="3"/>
        <v>0</v>
      </c>
      <c r="V14" s="291">
        <f>COUNTIFS('Tracking List'!$D$5:$D$650,"PT",'Tracking List'!$W$5:$W$650,"&lt;2018/9/26")</f>
        <v>40</v>
      </c>
      <c r="W14" s="291">
        <f>COUNTIFS('Tracking List'!$D$5:$D$650,"PT",'Tracking List'!$X$5:$X$650,"&lt;2018/9/26")</f>
        <v>40</v>
      </c>
      <c r="X14" s="291">
        <f>COUNTIFS('Tracking List'!$D$5:$D$650,"PT",'Tracking List'!$Y$5:$Y$650,"&lt;2018/9/26")</f>
        <v>0</v>
      </c>
      <c r="Y14" s="292">
        <f t="shared" si="4"/>
        <v>1</v>
      </c>
      <c r="Z14" s="292">
        <f t="shared" si="4"/>
        <v>0</v>
      </c>
      <c r="AA14" s="291">
        <f>COUNTIFS('Tracking List'!$D$5:$D$650,"EESE",'Tracking List'!$W$5:$W$650,"&lt;2018/9/26")</f>
        <v>136</v>
      </c>
      <c r="AB14" s="291">
        <f>COUNTIFS('Tracking List'!$D$5:$D$650,"EESE",'Tracking List'!$X$5:$X$650,"&lt;2018/9/26")</f>
        <v>122</v>
      </c>
      <c r="AC14" s="291">
        <f>COUNTIFS('Tracking List'!$D$5:$D$650,"EESE",'Tracking List'!$Y$5:$Y$650,"&lt;2018/9/26")</f>
        <v>0</v>
      </c>
      <c r="AD14" s="292">
        <f t="shared" si="5"/>
        <v>0.8970588235294118</v>
      </c>
      <c r="AE14" s="292">
        <f t="shared" si="5"/>
        <v>0</v>
      </c>
      <c r="AF14" s="291">
        <f t="shared" si="26"/>
        <v>421</v>
      </c>
      <c r="AG14" s="291">
        <f t="shared" si="26"/>
        <v>402</v>
      </c>
      <c r="AH14" s="291">
        <f t="shared" si="26"/>
        <v>2</v>
      </c>
      <c r="AI14" s="263">
        <f>AF14/$AF$2</f>
        <v>0.94606741573033704</v>
      </c>
      <c r="AJ14" s="292">
        <f t="shared" si="9"/>
        <v>0.90337078651685399</v>
      </c>
      <c r="AK14" s="292"/>
      <c r="AM14" s="294"/>
      <c r="AN14" s="295"/>
      <c r="AO14" s="295"/>
      <c r="AP14" s="295"/>
    </row>
    <row r="15" spans="1:47" s="98" customFormat="1" ht="12" customHeight="1">
      <c r="A15" s="290">
        <v>43390</v>
      </c>
      <c r="B15" s="291">
        <f>COUNTIFS('Tracking List'!$D$5:$D$650,"BET",'Tracking List'!$W$5:$W$650,"&lt;2018/10/17")</f>
        <v>80</v>
      </c>
      <c r="C15" s="291">
        <f>COUNTIFS('Tracking List'!$D$5:$D$650,"BET",'Tracking List'!$X$5:$X$650,"&lt;2018/10/17")</f>
        <v>97</v>
      </c>
      <c r="D15" s="291">
        <f>COUNTIFS('Tracking List'!$D$5:$D$650,"BET",'Tracking List'!$Y$5:$Y$650,"&lt;2018/10/17")</f>
        <v>0</v>
      </c>
      <c r="E15" s="292">
        <f t="shared" si="0"/>
        <v>0.93269230769230771</v>
      </c>
      <c r="F15" s="292">
        <f t="shared" si="0"/>
        <v>0</v>
      </c>
      <c r="G15" s="291">
        <f>COUNTIFS('Tracking List'!$D$5:$D$650,"BIW",'Tracking List'!$W$5:$W$650,"&lt;2018/10/17")</f>
        <v>20</v>
      </c>
      <c r="H15" s="291">
        <f>COUNTIFS('Tracking List'!$D$5:$D$650,"BIW",'Tracking List'!$X$5:$X$650,"&lt;2018/10/17")</f>
        <v>20</v>
      </c>
      <c r="I15" s="291">
        <f>COUNTIFS('Tracking List'!$D$5:$D$650,"BIW",'Tracking List'!$Y$5:$Y$650,"&lt;2018/10/17")</f>
        <v>0</v>
      </c>
      <c r="J15" s="292">
        <f t="shared" si="1"/>
        <v>1</v>
      </c>
      <c r="K15" s="292">
        <f t="shared" si="1"/>
        <v>0</v>
      </c>
      <c r="L15" s="291">
        <f>COUNTIFS('Tracking List'!$D$5:$D$650,"BIT",'Tracking List'!$W$5:$W$650,"&lt;2018/10/17")</f>
        <v>115</v>
      </c>
      <c r="M15" s="291">
        <f>COUNTIFS('Tracking List'!$D$5:$D$650,"BIT",'Tracking List'!$X$5:$X$650,"&lt;2018/10/17")</f>
        <v>115</v>
      </c>
      <c r="N15" s="291">
        <f>COUNTIFS('Tracking List'!$D$5:$D$650,"BIT",'Tracking List'!$Y$5:$Y$650,"&lt;2018/10/17")</f>
        <v>2</v>
      </c>
      <c r="O15" s="292">
        <f t="shared" si="2"/>
        <v>1</v>
      </c>
      <c r="P15" s="292">
        <f t="shared" si="2"/>
        <v>1.7391304347826087E-2</v>
      </c>
      <c r="Q15" s="291">
        <f>COUNTIFS('Tracking List'!$D$5:$D$650,"CHS",'Tracking List'!$W$5:$W$650,"&lt;2018/10/17")</f>
        <v>30</v>
      </c>
      <c r="R15" s="291">
        <f>COUNTIFS('Tracking List'!$D$5:$D$650,"CHS",'Tracking List'!$X$5:$X$650,"&lt;2018/10/17")</f>
        <v>30</v>
      </c>
      <c r="S15" s="291">
        <f>COUNTIFS('Tracking List'!$D$5:$D$650,"CHS",'Tracking List'!$Y$5:$Y$650,"&lt;2018/10/17")</f>
        <v>0</v>
      </c>
      <c r="T15" s="292">
        <f t="shared" si="3"/>
        <v>1</v>
      </c>
      <c r="U15" s="292">
        <f t="shared" si="3"/>
        <v>0</v>
      </c>
      <c r="V15" s="291">
        <f>COUNTIFS('Tracking List'!$D$5:$D$650,"PT",'Tracking List'!$W$5:$W$650,"&lt;2018/10/17")</f>
        <v>40</v>
      </c>
      <c r="W15" s="291">
        <f>COUNTIFS('Tracking List'!$D$5:$D$650,"PT",'Tracking List'!$X$5:$X$650,"&lt;2018/10/17")</f>
        <v>40</v>
      </c>
      <c r="X15" s="291">
        <f>COUNTIFS('Tracking List'!$D$5:$D$650,"PT",'Tracking List'!$Y$5:$Y$650,"&lt;2018/10/17")</f>
        <v>0</v>
      </c>
      <c r="Y15" s="292">
        <f t="shared" si="4"/>
        <v>1</v>
      </c>
      <c r="Z15" s="292">
        <f t="shared" si="4"/>
        <v>0</v>
      </c>
      <c r="AA15" s="291">
        <f>COUNTIFS('Tracking List'!$D$5:$D$650,"EESE",'Tracking List'!$W$5:$W$650,"&lt;2018/10/17")</f>
        <v>136</v>
      </c>
      <c r="AB15" s="291">
        <f>COUNTIFS('Tracking List'!$D$5:$D$650,"EESE",'Tracking List'!$X$5:$X$650,"&lt;2018/10/17")</f>
        <v>122</v>
      </c>
      <c r="AC15" s="291">
        <f>COUNTIFS('Tracking List'!$D$5:$D$650,"EESE",'Tracking List'!$Y$5:$Y$650,"&lt;2018/10/17")</f>
        <v>0</v>
      </c>
      <c r="AD15" s="292">
        <f t="shared" si="5"/>
        <v>0.8970588235294118</v>
      </c>
      <c r="AE15" s="292">
        <f t="shared" si="5"/>
        <v>0</v>
      </c>
      <c r="AF15" s="291">
        <f t="shared" si="26"/>
        <v>421</v>
      </c>
      <c r="AG15" s="291">
        <f t="shared" si="26"/>
        <v>424</v>
      </c>
      <c r="AH15" s="291">
        <f t="shared" si="26"/>
        <v>2</v>
      </c>
      <c r="AI15" s="263">
        <f t="shared" si="7"/>
        <v>0.94606741573033704</v>
      </c>
      <c r="AJ15" s="292">
        <f t="shared" si="9"/>
        <v>0.95280898876404496</v>
      </c>
      <c r="AK15" s="292"/>
      <c r="AL15" s="293"/>
      <c r="AM15" s="99"/>
      <c r="AN15" s="100"/>
      <c r="AO15" s="100"/>
      <c r="AP15" s="100"/>
    </row>
    <row r="16" spans="1:47" s="98" customFormat="1" ht="12.75" customHeight="1">
      <c r="A16" s="290">
        <v>43404</v>
      </c>
      <c r="B16" s="291">
        <f>COUNTIFS('Tracking List'!$D$5:$D$650,"BET",'Tracking List'!$W$5:$W$650,"&lt;2018/10/31")</f>
        <v>104</v>
      </c>
      <c r="C16" s="291">
        <f>COUNTIFS('Tracking List'!$D$5:$D$650,"BET",'Tracking List'!$X$5:$X$650,"&lt;2018/10/31")</f>
        <v>105</v>
      </c>
      <c r="D16" s="296">
        <f>COUNTIFS('Tracking List'!$D$5:$D$650,"BET",'Tracking List'!$Y$5:$Y$650,"&lt;2018/10/31")</f>
        <v>0</v>
      </c>
      <c r="E16" s="292">
        <f t="shared" si="0"/>
        <v>1.0096153846153846</v>
      </c>
      <c r="F16" s="292">
        <f t="shared" si="0"/>
        <v>0</v>
      </c>
      <c r="G16" s="291">
        <f>COUNTIFS('Tracking List'!$D$5:$D$650,"BIW",'Tracking List'!$W$5:$W$650,"&lt;2018/10/31")</f>
        <v>20</v>
      </c>
      <c r="H16" s="291">
        <f>COUNTIFS('Tracking List'!$D$5:$D$650,"BIW",'Tracking List'!$X$5:$X$650,"&lt;2018/10/31")</f>
        <v>20</v>
      </c>
      <c r="I16" s="291">
        <f>COUNTIFS('Tracking List'!$D$5:$D$650,"BIW",'Tracking List'!$Y$5:$Y$650,"&lt;2018/10/31")</f>
        <v>0</v>
      </c>
      <c r="J16" s="292">
        <f>H16/$G$2</f>
        <v>1</v>
      </c>
      <c r="K16" s="292">
        <f t="shared" si="1"/>
        <v>0</v>
      </c>
      <c r="L16" s="291">
        <f>COUNTIFS('Tracking List'!$D$5:$D$650,"BIT",'Tracking List'!$W$5:$W$650,"&lt;2018/10/31")</f>
        <v>115</v>
      </c>
      <c r="M16" s="291">
        <f>COUNTIFS('Tracking List'!$D$5:$D$650,"BIT",'Tracking List'!$X$5:$X$650,"&lt;2018/10/31")</f>
        <v>115</v>
      </c>
      <c r="N16" s="291">
        <f>COUNTIFS('Tracking List'!$D$5:$D$650,"BIT",'Tracking List'!$Y$5:$Y$650,"&lt;2018/10/31")</f>
        <v>2</v>
      </c>
      <c r="O16" s="292">
        <f t="shared" si="2"/>
        <v>1</v>
      </c>
      <c r="P16" s="292">
        <f t="shared" si="2"/>
        <v>1.7391304347826087E-2</v>
      </c>
      <c r="Q16" s="291">
        <f>COUNTIFS('Tracking List'!$D$5:$D$650,"CHS",'Tracking List'!$W$5:$W$650,"&lt;2018/10/31")</f>
        <v>30</v>
      </c>
      <c r="R16" s="291">
        <f>COUNTIFS('Tracking List'!$D$5:$D$650,"CHS",'Tracking List'!$X$5:$X$650,"&lt;2018/10/31")</f>
        <v>30</v>
      </c>
      <c r="S16" s="291">
        <f>COUNTIFS('Tracking List'!$D$5:$D$650,"CHS",'Tracking List'!$Y$5:$Y$650,"&lt;2018/10/31")</f>
        <v>0</v>
      </c>
      <c r="T16" s="292">
        <f t="shared" si="3"/>
        <v>1</v>
      </c>
      <c r="U16" s="292">
        <f t="shared" si="3"/>
        <v>0</v>
      </c>
      <c r="V16" s="291">
        <f>COUNTIFS('Tracking List'!$D$5:$D$650,"PT",'Tracking List'!$W$5:$W$650,"&lt;2018/10/31")</f>
        <v>40</v>
      </c>
      <c r="W16" s="291">
        <f>COUNTIFS('Tracking List'!$D$5:$D$650,"PT",'Tracking List'!$X$5:$X$650,"&lt;2018/10/31")</f>
        <v>40</v>
      </c>
      <c r="X16" s="291">
        <f>COUNTIFS('Tracking List'!$D$5:$D$650,"PT",'Tracking List'!$Y$5:$Y$650,"&lt;2018/10/31")</f>
        <v>0</v>
      </c>
      <c r="Y16" s="292">
        <f t="shared" si="4"/>
        <v>1</v>
      </c>
      <c r="Z16" s="292">
        <f t="shared" si="4"/>
        <v>0</v>
      </c>
      <c r="AA16" s="291">
        <f>COUNTIFS('Tracking List'!$D$5:$D$650,"EESE",'Tracking List'!$W$5:$W$650,"&lt;2018/10/31")</f>
        <v>136</v>
      </c>
      <c r="AB16" s="291">
        <f>COUNTIFS('Tracking List'!$D$5:$D$650,"EESE",'Tracking List'!$X$5:$X$650,"&lt;2018/10/31")</f>
        <v>136</v>
      </c>
      <c r="AC16" s="291">
        <f>COUNTIFS('Tracking List'!$D$5:$D$650,"EESE",'Tracking List'!$Y$5:$Y$650,"&lt;2018/10/31")</f>
        <v>0</v>
      </c>
      <c r="AD16" s="292">
        <f t="shared" si="5"/>
        <v>1</v>
      </c>
      <c r="AE16" s="292">
        <f t="shared" si="5"/>
        <v>0</v>
      </c>
      <c r="AF16" s="291">
        <f>B16+G16+L16+Q16+V16+AA16</f>
        <v>445</v>
      </c>
      <c r="AG16" s="291">
        <f>C16+H16+M16+R16+W16+AB16</f>
        <v>446</v>
      </c>
      <c r="AH16" s="291">
        <f>D16+I16+N16+S16+X16+AC16</f>
        <v>2</v>
      </c>
      <c r="AI16" s="263">
        <f t="shared" si="7"/>
        <v>1</v>
      </c>
      <c r="AJ16" s="292">
        <f t="shared" si="9"/>
        <v>1.002247191011236</v>
      </c>
      <c r="AK16" s="292"/>
      <c r="AL16" s="302" t="s">
        <v>197</v>
      </c>
      <c r="AM16" s="402" t="s">
        <v>198</v>
      </c>
      <c r="AN16" s="402"/>
      <c r="AO16" s="402"/>
      <c r="AP16" s="402" t="s">
        <v>199</v>
      </c>
      <c r="AQ16" s="402"/>
      <c r="AR16" s="402" t="s">
        <v>200</v>
      </c>
      <c r="AS16" s="402"/>
    </row>
    <row r="17" spans="1:45" ht="13.2">
      <c r="A17" s="258">
        <v>43056</v>
      </c>
      <c r="B17" s="96">
        <f>COUNTIFS('Tracking List'!$D$5:$D$650,"BET",'Tracking List'!$W$5:$W$650,"&lt;2017/11/18")</f>
        <v>0</v>
      </c>
      <c r="C17" s="96">
        <f>COUNTIFS('Tracking List'!$D$5:$D$650,"BET",'Tracking List'!$X$5:$X$650,"&lt;2017/11/18")</f>
        <v>0</v>
      </c>
      <c r="D17" s="101">
        <f>COUNTIFS('Tracking List'!$D$5:$D$650,"BET",'Tracking List'!$Y$5:$Y$650,"&lt;2017/11/18")</f>
        <v>0</v>
      </c>
      <c r="E17" s="97">
        <f t="shared" si="0"/>
        <v>0</v>
      </c>
      <c r="F17" s="97">
        <f t="shared" si="0"/>
        <v>0</v>
      </c>
      <c r="G17" s="96">
        <f>COUNTIFS('Tracking List'!$D$5:$D$650,"BIW",'Tracking List'!$W$5:$W$650,"&lt;2017/11/18")</f>
        <v>0</v>
      </c>
      <c r="H17" s="96">
        <f>COUNTIFS('Tracking List'!$D$5:$D$650,"BIW",'Tracking List'!$X$5:$X$650,"&lt;2017/11/18")</f>
        <v>0</v>
      </c>
      <c r="I17" s="96">
        <f>COUNTIFS('Tracking List'!$D$5:$D$650,"BIW",'Tracking List'!$Y$5:$Y$650,"&lt;2017/11/18")</f>
        <v>0</v>
      </c>
      <c r="J17" s="97">
        <f t="shared" ref="J17:K37" si="27">H17/$G$2</f>
        <v>0</v>
      </c>
      <c r="K17" s="97">
        <f t="shared" si="1"/>
        <v>0</v>
      </c>
      <c r="L17" s="96">
        <f>COUNTIFS('Tracking List'!$D$5:$D$650,"BIT",'Tracking List'!$W$5:$W$650,"&lt;2017/11/18")</f>
        <v>0</v>
      </c>
      <c r="M17" s="96">
        <f>COUNTIFS('Tracking List'!$D$5:$D$650,"BIT",'Tracking List'!$X$5:$X$650,"&lt;2017/11/18")</f>
        <v>0</v>
      </c>
      <c r="N17" s="96">
        <f>COUNTIFS('Tracking List'!$D$5:$D$650,"BIT",'Tracking List'!$Y$5:$Y$650,"&lt;2017/11/18")</f>
        <v>0</v>
      </c>
      <c r="O17" s="97">
        <f t="shared" si="2"/>
        <v>0</v>
      </c>
      <c r="P17" s="97">
        <f t="shared" si="2"/>
        <v>0</v>
      </c>
      <c r="Q17" s="96">
        <f>COUNTIFS('Tracking List'!$D$5:$D$650,"CHS",'Tracking List'!$W$5:$W$650,"&lt;2017/11/18")</f>
        <v>0</v>
      </c>
      <c r="R17" s="96">
        <f>COUNTIFS('Tracking List'!$D$5:$D$650,"CHS",'Tracking List'!$X$5:$X$650,"&lt;2017/11/18")</f>
        <v>0</v>
      </c>
      <c r="S17" s="96">
        <f>COUNTIFS('Tracking List'!$D$5:$D$650,"CHS",'Tracking List'!$Y$5:$Y$650,"&lt;2017/11/18")</f>
        <v>0</v>
      </c>
      <c r="T17" s="97">
        <f t="shared" si="3"/>
        <v>0</v>
      </c>
      <c r="U17" s="97">
        <f t="shared" si="3"/>
        <v>0</v>
      </c>
      <c r="V17" s="96">
        <f>COUNTIFS('Tracking List'!$D$5:$D$650,"PT",'Tracking List'!$W$5:$W$650,"&lt;2017/11/18")</f>
        <v>0</v>
      </c>
      <c r="W17" s="96">
        <f>COUNTIFS('Tracking List'!$D$5:$D$650,"PT",'Tracking List'!$X$5:$X$650,"&lt;2017/11/18")</f>
        <v>0</v>
      </c>
      <c r="X17" s="96">
        <f>COUNTIFS('Tracking List'!$D$5:$D$650,"PT",'Tracking List'!$Y$5:$Y$650,"&lt;2017/11/18")</f>
        <v>0</v>
      </c>
      <c r="Y17" s="97">
        <f t="shared" si="4"/>
        <v>0</v>
      </c>
      <c r="Z17" s="97">
        <f t="shared" si="4"/>
        <v>0</v>
      </c>
      <c r="AA17" s="96">
        <f>COUNTIFS('Tracking List'!$D$5:$D$650,"EESE",'Tracking List'!$W$5:$W$650,"&lt;2017/11/18")</f>
        <v>0</v>
      </c>
      <c r="AB17" s="96">
        <f>COUNTIFS('Tracking List'!$D$5:$D$650,"EESE",'Tracking List'!$X$5:$X$650,"&lt;2017/11/18")</f>
        <v>0</v>
      </c>
      <c r="AC17" s="96">
        <f>COUNTIFS('Tracking List'!$D$5:$D$650,"EESE",'Tracking List'!$Y$5:$Y$650,"&lt;2017/11/18")</f>
        <v>0</v>
      </c>
      <c r="AD17" s="97">
        <f t="shared" si="5"/>
        <v>0</v>
      </c>
      <c r="AE17" s="97">
        <f t="shared" si="5"/>
        <v>0</v>
      </c>
      <c r="AF17" s="96">
        <f t="shared" ref="AF17:AH37" si="28">B17+G17+L17+Q17+V17+AA17</f>
        <v>0</v>
      </c>
      <c r="AG17" s="96">
        <f t="shared" si="28"/>
        <v>0</v>
      </c>
      <c r="AH17" s="96">
        <f t="shared" si="28"/>
        <v>0</v>
      </c>
      <c r="AI17" s="97">
        <f t="shared" ref="AI17:AJ38" si="29">AF17/$AF$2</f>
        <v>0</v>
      </c>
      <c r="AJ17" s="97">
        <f t="shared" si="9"/>
        <v>0</v>
      </c>
      <c r="AK17" s="14"/>
      <c r="AL17" s="184">
        <f>AF2</f>
        <v>445</v>
      </c>
      <c r="AM17" s="302" t="s">
        <v>201</v>
      </c>
      <c r="AN17" s="185" t="s">
        <v>202</v>
      </c>
      <c r="AO17" s="185" t="s">
        <v>203</v>
      </c>
      <c r="AP17" s="185" t="s">
        <v>202</v>
      </c>
      <c r="AQ17" s="185" t="s">
        <v>203</v>
      </c>
      <c r="AR17" s="185" t="s">
        <v>202</v>
      </c>
      <c r="AS17" s="185" t="s">
        <v>203</v>
      </c>
    </row>
    <row r="18" spans="1:45" s="253" customFormat="1" ht="13.2">
      <c r="A18" s="259">
        <v>43237</v>
      </c>
      <c r="B18" s="251">
        <f>COUNTIFS('Tracking List'!$D$5:$D$650,"BET",'Tracking List'!$W$5:$W$650,"&lt;2018/5/17")</f>
        <v>16</v>
      </c>
      <c r="C18" s="251">
        <f>COUNTIFS('Tracking List'!$D$5:$D$650,"BET",'Tracking List'!$X$5:$X$650,"&lt;2018/5/17")</f>
        <v>15</v>
      </c>
      <c r="D18" s="254">
        <f>COUNTIFS('Tracking List'!$D$5:$D$650,"BET",'Tracking List'!$Y$5:$Y$650,"&lt;2018/5/17")</f>
        <v>0</v>
      </c>
      <c r="E18" s="252">
        <f t="shared" si="0"/>
        <v>0.14423076923076922</v>
      </c>
      <c r="F18" s="252">
        <f t="shared" si="0"/>
        <v>0</v>
      </c>
      <c r="G18" s="251">
        <f>COUNTIFS('Tracking List'!$D$5:$D$650,"BIW",'Tracking List'!$W$5:$W$650,"&lt;2018/5/17")</f>
        <v>20</v>
      </c>
      <c r="H18" s="251">
        <f>COUNTIFS('Tracking List'!$D$5:$D$650,"BIW",'Tracking List'!$X$5:$X$650,"&lt;2018/5/17")</f>
        <v>15</v>
      </c>
      <c r="I18" s="251">
        <f>COUNTIFS('Tracking List'!$D$5:$D$650,"BIW",'Tracking List'!$Y$5:$Y$650,"&lt;2018/5/17")</f>
        <v>0</v>
      </c>
      <c r="J18" s="252">
        <f t="shared" si="27"/>
        <v>0.75</v>
      </c>
      <c r="K18" s="252">
        <f t="shared" si="1"/>
        <v>0</v>
      </c>
      <c r="L18" s="251">
        <f>COUNTIFS('Tracking List'!$D$5:$D$650,"BIT",'Tracking List'!$W$5:$W$650,"&lt;2018/5/17")</f>
        <v>0</v>
      </c>
      <c r="M18" s="251">
        <f>COUNTIFS('Tracking List'!$D$5:$D$650,"BIT",'Tracking List'!$X$5:$X$650,"&lt;2018/5/17")</f>
        <v>0</v>
      </c>
      <c r="N18" s="251">
        <f>COUNTIFS('Tracking List'!$D$5:$D$650,"BIT",'Tracking List'!$Y$5:$Y$650,"&lt;2018/5/17")</f>
        <v>2</v>
      </c>
      <c r="O18" s="252">
        <f t="shared" si="2"/>
        <v>0</v>
      </c>
      <c r="P18" s="252">
        <f t="shared" si="2"/>
        <v>1.7391304347826087E-2</v>
      </c>
      <c r="Q18" s="251">
        <f>COUNTIFS('Tracking List'!$D$5:$D$650,"CHS",'Tracking List'!$W$5:$W$650,"&lt;2018/5/17")</f>
        <v>8</v>
      </c>
      <c r="R18" s="251">
        <f>COUNTIFS('Tracking List'!$D$5:$D$650,"CHS",'Tracking List'!$X$5:$X$650,"&lt;2018/5/17")</f>
        <v>8</v>
      </c>
      <c r="S18" s="251">
        <f>COUNTIFS('Tracking List'!$D$5:$D$650,"CHS",'Tracking List'!$Y$5:$Y$650,"&lt;2018/5/17")</f>
        <v>0</v>
      </c>
      <c r="T18" s="252">
        <f t="shared" si="3"/>
        <v>0.26666666666666666</v>
      </c>
      <c r="U18" s="252">
        <f t="shared" si="3"/>
        <v>0</v>
      </c>
      <c r="V18" s="251">
        <f>COUNTIFS('Tracking List'!$D$5:$D$650,"PT",'Tracking List'!$W$5:$W$650,"&lt;2018/5/17")</f>
        <v>5</v>
      </c>
      <c r="W18" s="251">
        <f>COUNTIFS('Tracking List'!$D$5:$D$650,"PT",'Tracking List'!$X$5:$X$650,"&lt;2018/5/17")</f>
        <v>3</v>
      </c>
      <c r="X18" s="251">
        <f>COUNTIFS('Tracking List'!$D$5:$D$650,"PT",'Tracking List'!$Y$5:$Y$650,"&lt;2018/5/17")</f>
        <v>0</v>
      </c>
      <c r="Y18" s="252">
        <f t="shared" si="4"/>
        <v>7.4999999999999997E-2</v>
      </c>
      <c r="Z18" s="252">
        <f t="shared" si="4"/>
        <v>0</v>
      </c>
      <c r="AA18" s="251">
        <f>COUNTIFS('Tracking List'!$D$5:$D$650,"EESE",'Tracking List'!$W$5:$W$650,"&lt;2018/5/17")</f>
        <v>6</v>
      </c>
      <c r="AB18" s="251">
        <f>COUNTIFS('Tracking List'!$D$5:$D$650,"EESE",'Tracking List'!$X$5:$X$650,"&lt;2018/5/17")</f>
        <v>6</v>
      </c>
      <c r="AC18" s="251">
        <f>COUNTIFS('Tracking List'!$D$5:$D$650,"EESE",'Tracking List'!$Y$5:$Y$650,"&lt;2018/5/17")</f>
        <v>0</v>
      </c>
      <c r="AD18" s="252">
        <f t="shared" si="5"/>
        <v>4.4117647058823532E-2</v>
      </c>
      <c r="AE18" s="252">
        <f t="shared" si="5"/>
        <v>0</v>
      </c>
      <c r="AF18" s="251">
        <f t="shared" si="28"/>
        <v>55</v>
      </c>
      <c r="AG18" s="251">
        <f t="shared" si="28"/>
        <v>47</v>
      </c>
      <c r="AH18" s="251">
        <f t="shared" si="28"/>
        <v>2</v>
      </c>
      <c r="AI18" s="252">
        <f t="shared" si="29"/>
        <v>0.12359550561797752</v>
      </c>
      <c r="AJ18" s="252">
        <f t="shared" si="9"/>
        <v>0.10561797752808989</v>
      </c>
      <c r="AK18" s="14"/>
      <c r="AL18" s="255" t="s">
        <v>204</v>
      </c>
      <c r="AM18" s="256">
        <v>43144</v>
      </c>
      <c r="AN18" s="257">
        <f>COUNTIF('Tracking List'!$X$5:$X$447,"&lt;="&amp;AM18)</f>
        <v>0</v>
      </c>
      <c r="AO18" s="255">
        <f>AN18/$AL$17</f>
        <v>0</v>
      </c>
      <c r="AP18" s="257">
        <f>COUNTIF('Tracking List'!$X$5:$X$447,"&lt;="&amp;AP1)</f>
        <v>104</v>
      </c>
      <c r="AQ18" s="255">
        <f>AP18/$AL$17</f>
        <v>0.23370786516853934</v>
      </c>
      <c r="AR18" s="257">
        <f>COUNTIF('Tracking List'!$X$5:$X$447,"&lt;="&amp;AR1)</f>
        <v>369</v>
      </c>
      <c r="AS18" s="255">
        <f>AR18/$AL$17</f>
        <v>0.82921348314606746</v>
      </c>
    </row>
    <row r="19" spans="1:45" ht="13.2">
      <c r="A19" s="258">
        <v>43070</v>
      </c>
      <c r="B19" s="96">
        <f>COUNTIFS('Tracking List'!$D$5:$D$650,"BET",'Tracking List'!$W$5:$W$650,"&lt;2017/12/2")</f>
        <v>0</v>
      </c>
      <c r="C19" s="96">
        <f>COUNTIFS('Tracking List'!$D$5:$D$650,"BET",'Tracking List'!$X$5:$X$650,"&lt;2017/12/2")</f>
        <v>0</v>
      </c>
      <c r="D19" s="101">
        <f>COUNTIFS('Tracking List'!$D$5:$D$650,"BET",'Tracking List'!$Y$5:$Y$650,"&lt;2017/12/2")</f>
        <v>0</v>
      </c>
      <c r="E19" s="97">
        <f t="shared" si="0"/>
        <v>0</v>
      </c>
      <c r="F19" s="97">
        <f t="shared" si="0"/>
        <v>0</v>
      </c>
      <c r="G19" s="96">
        <f>COUNTIFS('Tracking List'!$D$5:$D$650,"BIW",'Tracking List'!$W$5:$W$650,"&lt;2017/12/2")</f>
        <v>0</v>
      </c>
      <c r="H19" s="96">
        <f>COUNTIFS('Tracking List'!$D$5:$D$650,"BIW",'Tracking List'!$X$5:$X$650,"&lt;2017/12/2")</f>
        <v>0</v>
      </c>
      <c r="I19" s="96">
        <f>COUNTIFS('Tracking List'!$D$5:$D$650,"BIW",'Tracking List'!$Y$5:$Y$650,"&lt;2017/12/2")</f>
        <v>0</v>
      </c>
      <c r="J19" s="97">
        <f t="shared" si="27"/>
        <v>0</v>
      </c>
      <c r="K19" s="97">
        <f t="shared" si="1"/>
        <v>0</v>
      </c>
      <c r="L19" s="96">
        <f>COUNTIFS('Tracking List'!$D$5:$D$650,"BIT",'Tracking List'!$W$5:$W$650,"&lt;2017/12/2")</f>
        <v>0</v>
      </c>
      <c r="M19" s="96">
        <f>COUNTIFS('Tracking List'!$D$5:$D$650,"BIT",'Tracking List'!$X$5:$X$650,"&lt;2017/12/2")</f>
        <v>0</v>
      </c>
      <c r="N19" s="96">
        <f>COUNTIFS('Tracking List'!$D$5:$D$650,"BIT",'Tracking List'!$Y$5:$Y$650,"&lt;2017/12/2")</f>
        <v>0</v>
      </c>
      <c r="O19" s="97">
        <f t="shared" si="2"/>
        <v>0</v>
      </c>
      <c r="P19" s="97">
        <f t="shared" si="2"/>
        <v>0</v>
      </c>
      <c r="Q19" s="96">
        <f>COUNTIFS('Tracking List'!$D$5:$D$650,"CHS",'Tracking List'!$W$5:$W$650,"&lt;2017/12/2")</f>
        <v>0</v>
      </c>
      <c r="R19" s="96">
        <f>COUNTIFS('Tracking List'!$D$5:$D$650,"CHS",'Tracking List'!$X$5:$X$650,"&lt;2017/12/2")</f>
        <v>0</v>
      </c>
      <c r="S19" s="96">
        <f>COUNTIFS('Tracking List'!$D$5:$D$650,"CHS",'Tracking List'!$Y$5:$Y$650,"&lt;2017/12/2")</f>
        <v>0</v>
      </c>
      <c r="T19" s="97">
        <f t="shared" si="3"/>
        <v>0</v>
      </c>
      <c r="U19" s="97">
        <f t="shared" si="3"/>
        <v>0</v>
      </c>
      <c r="V19" s="96">
        <f>COUNTIFS('Tracking List'!$D$5:$D$650,"PT",'Tracking List'!$W$5:$W$650,"&lt;2017/12/2")</f>
        <v>0</v>
      </c>
      <c r="W19" s="96">
        <f>COUNTIFS('Tracking List'!$D$5:$D$650,"PT",'Tracking List'!$X$5:$X$650,"&lt;2017/12/2")</f>
        <v>0</v>
      </c>
      <c r="X19" s="96">
        <f>COUNTIFS('Tracking List'!$D$5:$D$650,"PT",'Tracking List'!$Y$5:$Y$650,"&lt;2017/12/2")</f>
        <v>0</v>
      </c>
      <c r="Y19" s="97">
        <f t="shared" si="4"/>
        <v>0</v>
      </c>
      <c r="Z19" s="97">
        <f t="shared" si="4"/>
        <v>0</v>
      </c>
      <c r="AA19" s="96">
        <f>COUNTIFS('Tracking List'!$D$5:$D$650,"EESE",'Tracking List'!$W$5:$W$650,"&lt;2017/12/2")</f>
        <v>0</v>
      </c>
      <c r="AB19" s="96">
        <f>COUNTIFS('Tracking List'!$D$5:$D$650,"EESE",'Tracking List'!$X$5:$X$650,"&lt;2017/12/2")</f>
        <v>0</v>
      </c>
      <c r="AC19" s="96">
        <f>COUNTIFS('Tracking List'!$D$5:$D$650,"EESE",'Tracking List'!$Y$5:$Y$650,"&lt;2017/12/2")</f>
        <v>0</v>
      </c>
      <c r="AD19" s="97">
        <f t="shared" si="5"/>
        <v>0</v>
      </c>
      <c r="AE19" s="97">
        <f t="shared" si="5"/>
        <v>0</v>
      </c>
      <c r="AF19" s="96">
        <f t="shared" si="28"/>
        <v>0</v>
      </c>
      <c r="AG19" s="96">
        <f t="shared" si="28"/>
        <v>0</v>
      </c>
      <c r="AH19" s="96">
        <f t="shared" si="28"/>
        <v>0</v>
      </c>
      <c r="AI19" s="97">
        <f t="shared" si="29"/>
        <v>0</v>
      </c>
      <c r="AJ19" s="97">
        <f t="shared" si="9"/>
        <v>0</v>
      </c>
      <c r="AK19" s="14"/>
      <c r="AL19" s="186" t="s">
        <v>205</v>
      </c>
      <c r="AM19" s="187">
        <v>43123</v>
      </c>
      <c r="AN19" s="188">
        <f>COUNTIF('Tracking List'!$X$5:$X$447,"&lt;="&amp;AM19)</f>
        <v>0</v>
      </c>
      <c r="AO19" s="186">
        <f>AN19/$AL$17</f>
        <v>0</v>
      </c>
      <c r="AP19" s="188">
        <f>COUNTIF('Tracking List'!$X$5:$X$447,"&lt;="&amp;AP2)</f>
        <v>17</v>
      </c>
      <c r="AQ19" s="186">
        <f>AP19/$AL$17</f>
        <v>3.8202247191011236E-2</v>
      </c>
      <c r="AR19" s="188">
        <f>COUNTIF('Tracking List'!$X$5:$X$447,"&lt;="&amp;AR2)</f>
        <v>369</v>
      </c>
      <c r="AS19" s="186">
        <f>AR19/$AL$17</f>
        <v>0.82921348314606746</v>
      </c>
    </row>
    <row r="20" spans="1:45" ht="13.2">
      <c r="A20" s="258">
        <v>43077</v>
      </c>
      <c r="B20" s="96">
        <f>COUNTIFS('Tracking List'!$D$5:$D$650,"BET",'Tracking List'!$W$5:$W$650,"&lt;2017/12/9")</f>
        <v>0</v>
      </c>
      <c r="C20" s="96">
        <f>COUNTIFS('Tracking List'!$D$5:$D$650,"BET",'Tracking List'!$X$5:$X$650,"&lt;2017/12/9")</f>
        <v>0</v>
      </c>
      <c r="D20" s="101">
        <f>COUNTIFS('Tracking List'!$D$5:$D$650,"BET",'Tracking List'!$Y$5:$Y$650,"&lt;2017/12/9")</f>
        <v>0</v>
      </c>
      <c r="E20" s="97">
        <f t="shared" si="0"/>
        <v>0</v>
      </c>
      <c r="F20" s="97">
        <f t="shared" si="0"/>
        <v>0</v>
      </c>
      <c r="G20" s="96">
        <f>COUNTIFS('Tracking List'!$D$5:$D$650,"BIW",'Tracking List'!$W$5:$W$650,"&lt;2017/12/9")</f>
        <v>0</v>
      </c>
      <c r="H20" s="96">
        <f>COUNTIFS('Tracking List'!$D$5:$D$650,"BIW",'Tracking List'!$X$5:$X$650,"&lt;2017/12/9")</f>
        <v>0</v>
      </c>
      <c r="I20" s="96">
        <f>COUNTIFS('Tracking List'!$D$5:$D$650,"BIW",'Tracking List'!$Y$5:$Y$650,"&lt;2017/12/9")</f>
        <v>0</v>
      </c>
      <c r="J20" s="97">
        <f t="shared" si="27"/>
        <v>0</v>
      </c>
      <c r="K20" s="97">
        <f t="shared" si="1"/>
        <v>0</v>
      </c>
      <c r="L20" s="96">
        <f>COUNTIFS('Tracking List'!$D$5:$D$650,"BIT",'Tracking List'!$W$5:$W$650,"&lt;2017/12/9")</f>
        <v>0</v>
      </c>
      <c r="M20" s="96">
        <f>COUNTIFS('Tracking List'!$D$5:$D$650,"BIT",'Tracking List'!$X$5:$X$650,"&lt;2017/12/9")</f>
        <v>0</v>
      </c>
      <c r="N20" s="96">
        <f>COUNTIFS('Tracking List'!$D$5:$D$650,"BIT",'Tracking List'!$Y$5:$Y$650,"&lt;2017/12/9")</f>
        <v>0</v>
      </c>
      <c r="O20" s="97">
        <f t="shared" si="2"/>
        <v>0</v>
      </c>
      <c r="P20" s="97">
        <f t="shared" si="2"/>
        <v>0</v>
      </c>
      <c r="Q20" s="96">
        <f>COUNTIFS('Tracking List'!$D$5:$D$650,"CHS",'Tracking List'!$W$5:$W$650,"&lt;2017/12/9")</f>
        <v>0</v>
      </c>
      <c r="R20" s="96">
        <f>COUNTIFS('Tracking List'!$D$5:$D$650,"CHS",'Tracking List'!$X$5:$X$650,"&lt;2017/12/9")</f>
        <v>0</v>
      </c>
      <c r="S20" s="96">
        <f>COUNTIFS('Tracking List'!$D$5:$D$650,"CHS",'Tracking List'!$Y$5:$Y$650,"&lt;2017/12/9")</f>
        <v>0</v>
      </c>
      <c r="T20" s="97">
        <f t="shared" si="3"/>
        <v>0</v>
      </c>
      <c r="U20" s="97">
        <f t="shared" si="3"/>
        <v>0</v>
      </c>
      <c r="V20" s="96">
        <f>COUNTIFS('Tracking List'!$D$5:$D$650,"PT",'Tracking List'!$W$5:$W$650,"&lt;2017/12/9")</f>
        <v>0</v>
      </c>
      <c r="W20" s="96">
        <f>COUNTIFS('Tracking List'!$D$5:$D$650,"PT",'Tracking List'!$X$5:$X$650,"&lt;2017/12/9")</f>
        <v>0</v>
      </c>
      <c r="X20" s="96">
        <f>COUNTIFS('Tracking List'!$D$5:$D$650,"PT",'Tracking List'!$Y$5:$Y$650,"&lt;2017/12/9")</f>
        <v>0</v>
      </c>
      <c r="Y20" s="97">
        <f t="shared" si="4"/>
        <v>0</v>
      </c>
      <c r="Z20" s="97">
        <f t="shared" si="4"/>
        <v>0</v>
      </c>
      <c r="AA20" s="96">
        <f>COUNTIFS('Tracking List'!$D$5:$D$650,"EESE",'Tracking List'!$W$5:$W$650,"&lt;2017/12/9")</f>
        <v>0</v>
      </c>
      <c r="AB20" s="96">
        <f>COUNTIFS('Tracking List'!$D$5:$D$650,"EESE",'Tracking List'!$X$5:$X$650,"&lt;2017/12/9")</f>
        <v>0</v>
      </c>
      <c r="AC20" s="96">
        <f>COUNTIFS('Tracking List'!$D$5:$D$650,"EESE",'Tracking List'!$Y$5:$Y$650,"&lt;2017/12/9")</f>
        <v>0</v>
      </c>
      <c r="AD20" s="97">
        <f t="shared" si="5"/>
        <v>0</v>
      </c>
      <c r="AE20" s="97">
        <f t="shared" si="5"/>
        <v>0</v>
      </c>
      <c r="AF20" s="96">
        <f t="shared" si="28"/>
        <v>0</v>
      </c>
      <c r="AG20" s="96">
        <f t="shared" si="28"/>
        <v>0</v>
      </c>
      <c r="AH20" s="96">
        <f t="shared" si="28"/>
        <v>0</v>
      </c>
      <c r="AI20" s="97">
        <f t="shared" si="29"/>
        <v>0</v>
      </c>
      <c r="AJ20" s="97">
        <f t="shared" si="9"/>
        <v>0</v>
      </c>
      <c r="AK20" s="14"/>
      <c r="AL20" s="188" t="s">
        <v>206</v>
      </c>
      <c r="AM20" s="187">
        <v>43102</v>
      </c>
      <c r="AN20" s="188">
        <f>COUNTIF('Tracking List'!$X$5:$X$447,"&lt;="&amp;AM20)</f>
        <v>0</v>
      </c>
      <c r="AO20" s="186">
        <f>AN20/$AL$17</f>
        <v>0</v>
      </c>
      <c r="AP20" s="188">
        <f>COUNTIF('Tracking List'!$X$5:$X$447,"&lt;="&amp;AP3)</f>
        <v>15</v>
      </c>
      <c r="AQ20" s="186">
        <f>AP20/$AL$17</f>
        <v>3.3707865168539325E-2</v>
      </c>
      <c r="AR20" s="188">
        <f>COUNTIF('Tracking List'!$X$5:$X$447,"&lt;="&amp;AR3)</f>
        <v>247</v>
      </c>
      <c r="AS20" s="186">
        <f>AR20/$AL$17</f>
        <v>0.55505617977528088</v>
      </c>
    </row>
    <row r="21" spans="1:45" ht="13.2">
      <c r="A21" s="258">
        <v>43084</v>
      </c>
      <c r="B21" s="96">
        <f>COUNTIFS('Tracking List'!$D$5:$D$650,"BET",'Tracking List'!$W$5:$W$650,"&lt;2017/12/16")</f>
        <v>0</v>
      </c>
      <c r="C21" s="96">
        <f>COUNTIFS('Tracking List'!$D$5:$D$650,"BET",'Tracking List'!$X$5:$X$650,"&lt;2017/12/16")</f>
        <v>0</v>
      </c>
      <c r="D21" s="101">
        <f>COUNTIFS('Tracking List'!$D$5:$D$650,"BET",'Tracking List'!$Y$5:$Y$650,"&lt;2017/12/16")</f>
        <v>0</v>
      </c>
      <c r="E21" s="97">
        <f t="shared" ref="E21:F41" si="30">C21/$B$2</f>
        <v>0</v>
      </c>
      <c r="F21" s="97">
        <f t="shared" si="30"/>
        <v>0</v>
      </c>
      <c r="G21" s="96">
        <f>COUNTIFS('Tracking List'!$D$5:$D$650,"BIW",'Tracking List'!$W$5:$W$650,"&lt;2017/12/16")</f>
        <v>0</v>
      </c>
      <c r="H21" s="96">
        <f>COUNTIFS('Tracking List'!$D$5:$D$650,"BIW",'Tracking List'!$X$5:$X$650,"&lt;2017/12/16")</f>
        <v>0</v>
      </c>
      <c r="I21" s="96">
        <f>COUNTIFS('Tracking List'!$D$5:$D$650,"BIW",'Tracking List'!$Y$5:$Y$650,"&lt;2017/12/16")</f>
        <v>0</v>
      </c>
      <c r="J21" s="97">
        <f t="shared" si="27"/>
        <v>0</v>
      </c>
      <c r="K21" s="97">
        <f t="shared" si="27"/>
        <v>0</v>
      </c>
      <c r="L21" s="96">
        <f>COUNTIFS('Tracking List'!$D$5:$D$650,"BIT",'Tracking List'!$W$5:$W$650,"&lt;2017/12/16")</f>
        <v>0</v>
      </c>
      <c r="M21" s="96">
        <f>COUNTIFS('Tracking List'!$D$5:$D$650,"BIT",'Tracking List'!$X$5:$X$650,"&lt;2017/12/16")</f>
        <v>0</v>
      </c>
      <c r="N21" s="96">
        <f>COUNTIFS('Tracking List'!$D$5:$D$650,"BIT",'Tracking List'!$Y$5:$Y$650,"&lt;2017/12/16")</f>
        <v>0</v>
      </c>
      <c r="O21" s="97">
        <f t="shared" ref="O21:P41" si="31">M21/$L$2</f>
        <v>0</v>
      </c>
      <c r="P21" s="97">
        <f t="shared" si="31"/>
        <v>0</v>
      </c>
      <c r="Q21" s="96">
        <f>COUNTIFS('Tracking List'!$D$5:$D$650,"CHS",'Tracking List'!$W$5:$W$650,"&lt;2017/12/16")</f>
        <v>0</v>
      </c>
      <c r="R21" s="96">
        <f>COUNTIFS('Tracking List'!$D$5:$D$650,"CHS",'Tracking List'!$X$5:$X$650,"&lt;2017/12/16")</f>
        <v>0</v>
      </c>
      <c r="S21" s="96">
        <f>COUNTIFS('Tracking List'!$D$5:$D$650,"CHS",'Tracking List'!$Y$5:$Y$650,"&lt;2017/12/16")</f>
        <v>0</v>
      </c>
      <c r="T21" s="97">
        <f t="shared" ref="T21:U41" si="32">R21/$Q$2</f>
        <v>0</v>
      </c>
      <c r="U21" s="97">
        <f t="shared" si="32"/>
        <v>0</v>
      </c>
      <c r="V21" s="96">
        <f>COUNTIFS('Tracking List'!$D$5:$D$650,"PT",'Tracking List'!$W$5:$W$650,"&lt;2017/12/16")</f>
        <v>0</v>
      </c>
      <c r="W21" s="96">
        <f>COUNTIFS('Tracking List'!$D$5:$D$650,"PT",'Tracking List'!$X$5:$X$650,"&lt;2017/12/16")</f>
        <v>0</v>
      </c>
      <c r="X21" s="96">
        <f>COUNTIFS('Tracking List'!$D$5:$D$650,"PT",'Tracking List'!$Y$5:$Y$650,"&lt;2017/12/16")</f>
        <v>0</v>
      </c>
      <c r="Y21" s="97">
        <f t="shared" ref="Y21:Z41" si="33">W21/$V$2</f>
        <v>0</v>
      </c>
      <c r="Z21" s="97">
        <f t="shared" si="33"/>
        <v>0</v>
      </c>
      <c r="AA21" s="96">
        <f>COUNTIFS('Tracking List'!$D$5:$D$650,"EESE",'Tracking List'!$W$5:$W$650,"&lt;2017/12/16")</f>
        <v>0</v>
      </c>
      <c r="AB21" s="96">
        <f>COUNTIFS('Tracking List'!$D$5:$D$650,"EESE",'Tracking List'!$X$5:$X$650,"&lt;2017/12/16")</f>
        <v>0</v>
      </c>
      <c r="AC21" s="96">
        <f>COUNTIFS('Tracking List'!$D$5:$D$650,"EESE",'Tracking List'!$Y$5:$Y$650,"&lt;2017/12/16")</f>
        <v>0</v>
      </c>
      <c r="AD21" s="97">
        <f t="shared" ref="AD21:AE41" si="34">AB21/$AA$2</f>
        <v>0</v>
      </c>
      <c r="AE21" s="97">
        <f t="shared" si="34"/>
        <v>0</v>
      </c>
      <c r="AF21" s="96">
        <f t="shared" si="28"/>
        <v>0</v>
      </c>
      <c r="AG21" s="96">
        <f t="shared" si="28"/>
        <v>0</v>
      </c>
      <c r="AH21" s="96">
        <f t="shared" si="28"/>
        <v>0</v>
      </c>
      <c r="AI21" s="97">
        <f t="shared" si="29"/>
        <v>0</v>
      </c>
      <c r="AJ21" s="97">
        <f t="shared" si="9"/>
        <v>0</v>
      </c>
      <c r="AK21" s="14"/>
    </row>
    <row r="22" spans="1:45" ht="13.2">
      <c r="A22" s="258">
        <v>43091</v>
      </c>
      <c r="B22" s="96">
        <f>COUNTIFS('Tracking List'!$D$5:$D$650,"BET",'Tracking List'!$W$5:$W$650,"&lt;2017/12/23")</f>
        <v>0</v>
      </c>
      <c r="C22" s="96">
        <f>COUNTIFS('Tracking List'!$D$5:$D$650,"BET",'Tracking List'!$X$5:$X$650,"&lt;2017/12/23")</f>
        <v>0</v>
      </c>
      <c r="D22" s="101">
        <f>COUNTIFS('Tracking List'!$D$5:$D$650,"BET",'Tracking List'!$Y$5:$Y$650,"&lt;2017/12/23")</f>
        <v>0</v>
      </c>
      <c r="E22" s="97">
        <f t="shared" si="30"/>
        <v>0</v>
      </c>
      <c r="F22" s="97">
        <f t="shared" si="30"/>
        <v>0</v>
      </c>
      <c r="G22" s="96">
        <f>COUNTIFS('Tracking List'!$D$5:$D$650,"BIW",'Tracking List'!$W$5:$W$650,"&lt;2017/12/23")</f>
        <v>0</v>
      </c>
      <c r="H22" s="96">
        <f>COUNTIFS('Tracking List'!$D$5:$D$650,"BIW",'Tracking List'!$X$5:$X$650,"&lt;2017/12/23")</f>
        <v>0</v>
      </c>
      <c r="I22" s="96">
        <f>COUNTIFS('Tracking List'!$D$5:$D$650,"BIW",'Tracking List'!$Y$5:$Y$650,"&lt;2017/12/23")</f>
        <v>0</v>
      </c>
      <c r="J22" s="97">
        <f t="shared" si="27"/>
        <v>0</v>
      </c>
      <c r="K22" s="97">
        <f t="shared" si="27"/>
        <v>0</v>
      </c>
      <c r="L22" s="96">
        <f>COUNTIFS('Tracking List'!$D$5:$D$650,"BIT",'Tracking List'!$W$5:$W$650,"&lt;2017/12/23")</f>
        <v>0</v>
      </c>
      <c r="M22" s="96">
        <f>COUNTIFS('Tracking List'!$D$5:$D$650,"BIT",'Tracking List'!$X$5:$X$650,"&lt;2017/12/23")</f>
        <v>0</v>
      </c>
      <c r="N22" s="96">
        <f>COUNTIFS('Tracking List'!$D$5:$D$650,"BIT",'Tracking List'!$Y$5:$Y$650,"&lt;2017/12/23")</f>
        <v>0</v>
      </c>
      <c r="O22" s="97">
        <f t="shared" si="31"/>
        <v>0</v>
      </c>
      <c r="P22" s="97">
        <f t="shared" si="31"/>
        <v>0</v>
      </c>
      <c r="Q22" s="96">
        <f>COUNTIFS('Tracking List'!$D$5:$D$650,"CHS",'Tracking List'!$W$5:$W$650,"&lt;2017/12/23")</f>
        <v>0</v>
      </c>
      <c r="R22" s="96">
        <f>COUNTIFS('Tracking List'!$D$5:$D$650,"CHS",'Tracking List'!$X$5:$X$650,"&lt;2017/12/23")</f>
        <v>0</v>
      </c>
      <c r="S22" s="96">
        <f>COUNTIFS('Tracking List'!$D$5:$D$650,"CHS",'Tracking List'!$Y$5:$Y$650,"&lt;2017/12/23")</f>
        <v>0</v>
      </c>
      <c r="T22" s="97">
        <f t="shared" si="32"/>
        <v>0</v>
      </c>
      <c r="U22" s="97">
        <f t="shared" si="32"/>
        <v>0</v>
      </c>
      <c r="V22" s="96">
        <f>COUNTIFS('Tracking List'!$D$5:$D$650,"PT",'Tracking List'!$W$5:$W$650,"&lt;2017/12/23")</f>
        <v>0</v>
      </c>
      <c r="W22" s="96">
        <f>COUNTIFS('Tracking List'!$D$5:$D$650,"PT",'Tracking List'!$X$5:$X$650,"&lt;2017/12/23")</f>
        <v>0</v>
      </c>
      <c r="X22" s="96">
        <f>COUNTIFS('Tracking List'!$D$5:$D$650,"PT",'Tracking List'!$Y$5:$Y$650,"&lt;2017/12/23")</f>
        <v>0</v>
      </c>
      <c r="Y22" s="97">
        <f t="shared" si="33"/>
        <v>0</v>
      </c>
      <c r="Z22" s="97">
        <f t="shared" si="33"/>
        <v>0</v>
      </c>
      <c r="AA22" s="96">
        <f>COUNTIFS('Tracking List'!$D$5:$D$650,"EESE",'Tracking List'!$W$5:$W$650,"&lt;2017/12/23")</f>
        <v>0</v>
      </c>
      <c r="AB22" s="96">
        <f>COUNTIFS('Tracking List'!$D$5:$D$650,"EESE",'Tracking List'!$X$5:$X$650,"&lt;2017/12/23")</f>
        <v>0</v>
      </c>
      <c r="AC22" s="96">
        <f>COUNTIFS('Tracking List'!$D$5:$D$650,"EESE",'Tracking List'!$Y$5:$Y$650,"&lt;2017/12/23")</f>
        <v>0</v>
      </c>
      <c r="AD22" s="97">
        <f t="shared" si="34"/>
        <v>0</v>
      </c>
      <c r="AE22" s="97">
        <f t="shared" si="34"/>
        <v>0</v>
      </c>
      <c r="AF22" s="96">
        <f t="shared" si="28"/>
        <v>0</v>
      </c>
      <c r="AG22" s="96">
        <f t="shared" si="28"/>
        <v>0</v>
      </c>
      <c r="AH22" s="96">
        <f t="shared" si="28"/>
        <v>0</v>
      </c>
      <c r="AI22" s="97">
        <f t="shared" si="29"/>
        <v>0</v>
      </c>
      <c r="AJ22" s="97">
        <f t="shared" si="9"/>
        <v>0</v>
      </c>
      <c r="AK22" s="14"/>
    </row>
    <row r="23" spans="1:45" ht="13.2">
      <c r="A23" s="258">
        <v>43098</v>
      </c>
      <c r="B23" s="96">
        <f>COUNTIFS('Tracking List'!$D$5:$D$650,"BET",'Tracking List'!$W$5:$W$650,"&lt;2017/12/30")</f>
        <v>0</v>
      </c>
      <c r="C23" s="96">
        <f>COUNTIFS('Tracking List'!$D$5:$D$650,"BET",'Tracking List'!$X$5:$X$650,"&lt;2017/12/30")</f>
        <v>0</v>
      </c>
      <c r="D23" s="101">
        <f>COUNTIFS('Tracking List'!$D$5:$D$650,"BET",'Tracking List'!$Y$5:$Y$650,"&lt;2017/12/30")</f>
        <v>0</v>
      </c>
      <c r="E23" s="97">
        <f t="shared" si="30"/>
        <v>0</v>
      </c>
      <c r="F23" s="97">
        <f t="shared" si="30"/>
        <v>0</v>
      </c>
      <c r="G23" s="96">
        <f>COUNTIFS('Tracking List'!$D$5:$D$650,"BIW",'Tracking List'!$W$5:$W$650,"&lt;2017/12/30")</f>
        <v>0</v>
      </c>
      <c r="H23" s="96">
        <f>COUNTIFS('Tracking List'!$D$5:$D$650,"BIW",'Tracking List'!$X$5:$X$650,"&lt;2017/12/30")</f>
        <v>0</v>
      </c>
      <c r="I23" s="96">
        <f>COUNTIFS('Tracking List'!$D$5:$D$650,"BIW",'Tracking List'!$Y$5:$Y$650,"&lt;2017/12/30")</f>
        <v>0</v>
      </c>
      <c r="J23" s="97">
        <f t="shared" si="27"/>
        <v>0</v>
      </c>
      <c r="K23" s="97">
        <f t="shared" si="27"/>
        <v>0</v>
      </c>
      <c r="L23" s="96">
        <f>COUNTIFS('Tracking List'!$D$5:$D$650,"BIT",'Tracking List'!$W$5:$W$650,"&lt;2017/12/30")</f>
        <v>0</v>
      </c>
      <c r="M23" s="96">
        <f>COUNTIFS('Tracking List'!$D$5:$D$650,"BIT",'Tracking List'!$X$5:$X$650,"&lt;2017/12/30")</f>
        <v>0</v>
      </c>
      <c r="N23" s="96">
        <f>COUNTIFS('Tracking List'!$D$5:$D$650,"BIT",'Tracking List'!$Y$5:$Y$650,"&lt;2017/12/30")</f>
        <v>0</v>
      </c>
      <c r="O23" s="97">
        <f t="shared" si="31"/>
        <v>0</v>
      </c>
      <c r="P23" s="97">
        <f t="shared" si="31"/>
        <v>0</v>
      </c>
      <c r="Q23" s="96">
        <f>COUNTIFS('Tracking List'!$D$5:$D$650,"CHS",'Tracking List'!$W$5:$W$650,"&lt;2017/12/30")</f>
        <v>2</v>
      </c>
      <c r="R23" s="96">
        <f>COUNTIFS('Tracking List'!$D$5:$D$650,"CHS",'Tracking List'!$X$5:$X$650,"&lt;2017/12/30")</f>
        <v>0</v>
      </c>
      <c r="S23" s="96">
        <f>COUNTIFS('Tracking List'!$D$5:$D$650,"CHS",'Tracking List'!$Y$5:$Y$650,"&lt;2017/12/30")</f>
        <v>0</v>
      </c>
      <c r="T23" s="97">
        <f t="shared" si="32"/>
        <v>0</v>
      </c>
      <c r="U23" s="97">
        <f t="shared" si="32"/>
        <v>0</v>
      </c>
      <c r="V23" s="96">
        <f>COUNTIFS('Tracking List'!$D$5:$D$650,"PT",'Tracking List'!$W$5:$W$650,"&lt;2017/12/30")</f>
        <v>0</v>
      </c>
      <c r="W23" s="96">
        <f>COUNTIFS('Tracking List'!$D$5:$D$650,"PT",'Tracking List'!$X$5:$X$650,"&lt;2017/12/30")</f>
        <v>0</v>
      </c>
      <c r="X23" s="96">
        <f>COUNTIFS('Tracking List'!$D$5:$D$650,"PT",'Tracking List'!$Y$5:$Y$650,"&lt;2017/12/30")</f>
        <v>0</v>
      </c>
      <c r="Y23" s="97">
        <f t="shared" si="33"/>
        <v>0</v>
      </c>
      <c r="Z23" s="97">
        <f t="shared" si="33"/>
        <v>0</v>
      </c>
      <c r="AA23" s="96">
        <f>COUNTIFS('Tracking List'!$D$5:$D$650,"EESE",'Tracking List'!$W$5:$W$650,"&lt;2017/12/30")</f>
        <v>0</v>
      </c>
      <c r="AB23" s="96">
        <f>COUNTIFS('Tracking List'!$D$5:$D$650,"EESE",'Tracking List'!$X$5:$X$650,"&lt;2017/12/30")</f>
        <v>0</v>
      </c>
      <c r="AC23" s="96">
        <f>COUNTIFS('Tracking List'!$D$5:$D$650,"EESE",'Tracking List'!$Y$5:$Y$650,"&lt;2017/12/30")</f>
        <v>0</v>
      </c>
      <c r="AD23" s="97">
        <f t="shared" si="34"/>
        <v>0</v>
      </c>
      <c r="AE23" s="97">
        <f t="shared" si="34"/>
        <v>0</v>
      </c>
      <c r="AF23" s="96">
        <f t="shared" si="28"/>
        <v>2</v>
      </c>
      <c r="AG23" s="96">
        <f t="shared" si="28"/>
        <v>0</v>
      </c>
      <c r="AH23" s="96">
        <f t="shared" si="28"/>
        <v>0</v>
      </c>
      <c r="AI23" s="97">
        <f t="shared" si="29"/>
        <v>4.4943820224719105E-3</v>
      </c>
      <c r="AJ23" s="97">
        <f t="shared" si="9"/>
        <v>0</v>
      </c>
      <c r="AK23" s="14"/>
      <c r="AM23" s="201" t="s">
        <v>247</v>
      </c>
      <c r="AN23" s="200">
        <v>43235</v>
      </c>
      <c r="AO23" s="199">
        <v>1</v>
      </c>
    </row>
    <row r="24" spans="1:45" ht="13.2">
      <c r="A24" s="258">
        <v>43105</v>
      </c>
      <c r="B24" s="96">
        <f>COUNTIFS('Tracking List'!$D$5:$D$650,"BET",'Tracking List'!$W$5:$W$650,"&lt;2018/1/6")</f>
        <v>0</v>
      </c>
      <c r="C24" s="96">
        <f>COUNTIFS('Tracking List'!$D$5:$D$650,"BET",'Tracking List'!$X$5:$X$650,"&lt;2018/1/6")</f>
        <v>0</v>
      </c>
      <c r="D24" s="101">
        <f>COUNTIFS('Tracking List'!$D$5:$D$650,"BET",'Tracking List'!$Y$5:$Y$650,"&lt;2018/1/6")</f>
        <v>0</v>
      </c>
      <c r="E24" s="97">
        <f t="shared" si="30"/>
        <v>0</v>
      </c>
      <c r="F24" s="97">
        <f t="shared" si="30"/>
        <v>0</v>
      </c>
      <c r="G24" s="96">
        <f>COUNTIFS('Tracking List'!$D$5:$D$650,"BIW",'Tracking List'!$W$5:$W$650,"&lt;2018/1/6")</f>
        <v>0</v>
      </c>
      <c r="H24" s="96">
        <f>COUNTIFS('Tracking List'!$D$5:$D$650,"BIW",'Tracking List'!$X$5:$X$650,"&lt;2018/1/6")</f>
        <v>0</v>
      </c>
      <c r="I24" s="96">
        <f>COUNTIFS('Tracking List'!$D$5:$D$650,"BIW",'Tracking List'!$Y$5:$Y$650,"&lt;2018/1/6")</f>
        <v>0</v>
      </c>
      <c r="J24" s="97">
        <f t="shared" si="27"/>
        <v>0</v>
      </c>
      <c r="K24" s="97">
        <f t="shared" si="27"/>
        <v>0</v>
      </c>
      <c r="L24" s="96">
        <f>COUNTIFS('Tracking List'!$D$5:$D$650,"BIT",'Tracking List'!$W$5:$W$650,"&lt;2018/1/6")</f>
        <v>0</v>
      </c>
      <c r="M24" s="96">
        <f>COUNTIFS('Tracking List'!$D$5:$D$650,"BIT",'Tracking List'!$X$5:$X$650,"&lt;2018/1/6")</f>
        <v>0</v>
      </c>
      <c r="N24" s="96">
        <f>COUNTIFS('Tracking List'!$D$5:$D$650,"BIT",'Tracking List'!$Y$5:$Y$650,"&lt;2018/1/6")</f>
        <v>0</v>
      </c>
      <c r="O24" s="97">
        <f t="shared" si="31"/>
        <v>0</v>
      </c>
      <c r="P24" s="97">
        <f t="shared" si="31"/>
        <v>0</v>
      </c>
      <c r="Q24" s="96">
        <f>COUNTIFS('Tracking List'!$D$5:$D$650,"CHS",'Tracking List'!$W$5:$W$650,"&lt;2018/1/6")</f>
        <v>2</v>
      </c>
      <c r="R24" s="96">
        <f>COUNTIFS('Tracking List'!$D$5:$D$650,"CHS",'Tracking List'!$X$5:$X$650,"&lt;2018/1/6")</f>
        <v>0</v>
      </c>
      <c r="S24" s="96">
        <f>COUNTIFS('Tracking List'!$D$5:$D$650,"CHS",'Tracking List'!$Y$5:$Y$650,"&lt;2018/1/6")</f>
        <v>0</v>
      </c>
      <c r="T24" s="97">
        <f t="shared" si="32"/>
        <v>0</v>
      </c>
      <c r="U24" s="97">
        <f t="shared" si="32"/>
        <v>0</v>
      </c>
      <c r="V24" s="96">
        <f>COUNTIFS('Tracking List'!$D$5:$D$650,"PT",'Tracking List'!$W$5:$W$650,"&lt;2018/1/6")</f>
        <v>0</v>
      </c>
      <c r="W24" s="96">
        <f>COUNTIFS('Tracking List'!$D$5:$D$650,"PT",'Tracking List'!$X$5:$X$650,"&lt;2018/1/6")</f>
        <v>0</v>
      </c>
      <c r="X24" s="96">
        <f>COUNTIFS('Tracking List'!$D$5:$D$650,"PT",'Tracking List'!$Y$5:$Y$650,"&lt;2018/1/6")</f>
        <v>0</v>
      </c>
      <c r="Y24" s="97">
        <f t="shared" si="33"/>
        <v>0</v>
      </c>
      <c r="Z24" s="97">
        <f t="shared" si="33"/>
        <v>0</v>
      </c>
      <c r="AA24" s="96">
        <f>COUNTIFS('Tracking List'!$D$5:$D$650,"EESE",'Tracking List'!$W$5:$W$650,"&lt;2018/1/6")</f>
        <v>0</v>
      </c>
      <c r="AB24" s="96">
        <f>COUNTIFS('Tracking List'!$D$5:$D$650,"EESE",'Tracking List'!$X$5:$X$650,"&lt;2018/1/6")</f>
        <v>0</v>
      </c>
      <c r="AC24" s="96">
        <f>COUNTIFS('Tracking List'!$D$5:$D$650,"EESE",'Tracking List'!$Y$5:$Y$650,"&lt;2018/1/6")</f>
        <v>0</v>
      </c>
      <c r="AD24" s="97">
        <f t="shared" si="34"/>
        <v>0</v>
      </c>
      <c r="AE24" s="97">
        <f t="shared" si="34"/>
        <v>0</v>
      </c>
      <c r="AF24" s="96">
        <f t="shared" si="28"/>
        <v>2</v>
      </c>
      <c r="AG24" s="96">
        <f t="shared" si="28"/>
        <v>0</v>
      </c>
      <c r="AH24" s="96">
        <f t="shared" si="28"/>
        <v>0</v>
      </c>
      <c r="AI24" s="97">
        <f t="shared" si="29"/>
        <v>4.4943820224719105E-3</v>
      </c>
      <c r="AJ24" s="97">
        <f t="shared" si="9"/>
        <v>0</v>
      </c>
      <c r="AK24" s="97"/>
      <c r="AM24" s="202">
        <v>43235</v>
      </c>
    </row>
    <row r="25" spans="1:45" ht="13.2">
      <c r="A25" s="258">
        <v>43112</v>
      </c>
      <c r="B25" s="96">
        <f>COUNTIFS('Tracking List'!$D$5:$D$650,"BET",'Tracking List'!$W$5:$W$650,"&lt;2018/1/13")</f>
        <v>0</v>
      </c>
      <c r="C25" s="96">
        <f>COUNTIFS('Tracking List'!$D$5:$D$650,"BET",'Tracking List'!$X$5:$X$650,"&lt;2018/1/13")</f>
        <v>0</v>
      </c>
      <c r="D25" s="101">
        <f>COUNTIFS('Tracking List'!$D$5:$D$650,"BET",'Tracking List'!$Y$5:$Y$650,"&lt;2018/1/13")</f>
        <v>0</v>
      </c>
      <c r="E25" s="97">
        <f t="shared" si="30"/>
        <v>0</v>
      </c>
      <c r="F25" s="97">
        <f t="shared" si="30"/>
        <v>0</v>
      </c>
      <c r="G25" s="96">
        <f>COUNTIFS('Tracking List'!$D$5:$D$650,"BIW",'Tracking List'!$W$5:$W$650,"&lt;2018/1/13")</f>
        <v>0</v>
      </c>
      <c r="H25" s="96">
        <f>COUNTIFS('Tracking List'!$D$5:$D$650,"BIW",'Tracking List'!$X$5:$X$650,"&lt;2018/1/13")</f>
        <v>0</v>
      </c>
      <c r="I25" s="96">
        <f>COUNTIFS('Tracking List'!$D$5:$D$650,"BIW",'Tracking List'!$Y$5:$Y$650,"&lt;2018/1/13")</f>
        <v>0</v>
      </c>
      <c r="J25" s="97">
        <f t="shared" si="27"/>
        <v>0</v>
      </c>
      <c r="K25" s="97">
        <f t="shared" si="27"/>
        <v>0</v>
      </c>
      <c r="L25" s="96">
        <f>COUNTIFS('Tracking List'!$D$5:$D$650,"BIT",'Tracking List'!$W$5:$W$650,"&lt;2018/1/13")</f>
        <v>0</v>
      </c>
      <c r="M25" s="96">
        <f>COUNTIFS('Tracking List'!$D$5:$D$650,"BIT",'Tracking List'!$X$5:$X$650,"&lt;2018/1/13")</f>
        <v>0</v>
      </c>
      <c r="N25" s="96">
        <f>COUNTIFS('Tracking List'!$D$5:$D$650,"BIT",'Tracking List'!$Y$5:$Y$650,"&lt;2018/1/13")</f>
        <v>0</v>
      </c>
      <c r="O25" s="97">
        <f t="shared" si="31"/>
        <v>0</v>
      </c>
      <c r="P25" s="97">
        <f t="shared" si="31"/>
        <v>0</v>
      </c>
      <c r="Q25" s="96">
        <f>COUNTIFS('Tracking List'!$D$5:$D$650,"CHS",'Tracking List'!$W$5:$W$650,"&lt;2018/1/13")</f>
        <v>2</v>
      </c>
      <c r="R25" s="96">
        <f>COUNTIFS('Tracking List'!$D$5:$D$650,"CHS",'Tracking List'!$X$5:$X$650,"&lt;2018/1/13")</f>
        <v>0</v>
      </c>
      <c r="S25" s="96">
        <f>COUNTIFS('Tracking List'!$D$5:$D$650,"CHS",'Tracking List'!$Y$5:$Y$650,"&lt;2018/1/13")</f>
        <v>0</v>
      </c>
      <c r="T25" s="97">
        <f t="shared" si="32"/>
        <v>0</v>
      </c>
      <c r="U25" s="97">
        <f t="shared" si="32"/>
        <v>0</v>
      </c>
      <c r="V25" s="96">
        <f>COUNTIFS('Tracking List'!$D$5:$D$650,"PT",'Tracking List'!$W$5:$W$650,"&lt;2018/1/13")</f>
        <v>0</v>
      </c>
      <c r="W25" s="96">
        <f>COUNTIFS('Tracking List'!$D$5:$D$650,"PT",'Tracking List'!$X$5:$X$650,"&lt;2018/1/13")</f>
        <v>0</v>
      </c>
      <c r="X25" s="96">
        <f>COUNTIFS('Tracking List'!$D$5:$D$650,"PT",'Tracking List'!$Y$5:$Y$650,"&lt;2018/1/13")</f>
        <v>0</v>
      </c>
      <c r="Y25" s="97">
        <f t="shared" si="33"/>
        <v>0</v>
      </c>
      <c r="Z25" s="97">
        <f t="shared" si="33"/>
        <v>0</v>
      </c>
      <c r="AA25" s="96">
        <f>COUNTIFS('Tracking List'!$D$5:$D$650,"EESE",'Tracking List'!$W$5:$W$650,"&lt;2018/1/13")</f>
        <v>0</v>
      </c>
      <c r="AB25" s="96">
        <f>COUNTIFS('Tracking List'!$D$5:$D$650,"EESE",'Tracking List'!$X$5:$X$650,"&lt;2018/1/13")</f>
        <v>0</v>
      </c>
      <c r="AC25" s="96">
        <f>COUNTIFS('Tracking List'!$D$5:$D$650,"EESE",'Tracking List'!$Y$5:$Y$650,"&lt;2018/1/13")</f>
        <v>0</v>
      </c>
      <c r="AD25" s="97">
        <f t="shared" si="34"/>
        <v>0</v>
      </c>
      <c r="AE25" s="97">
        <f t="shared" si="34"/>
        <v>0</v>
      </c>
      <c r="AF25" s="96">
        <f t="shared" si="28"/>
        <v>2</v>
      </c>
      <c r="AG25" s="96">
        <f t="shared" si="28"/>
        <v>0</v>
      </c>
      <c r="AH25" s="96">
        <f t="shared" si="28"/>
        <v>0</v>
      </c>
      <c r="AI25" s="97">
        <f t="shared" si="29"/>
        <v>4.4943820224719105E-3</v>
      </c>
      <c r="AJ25" s="97">
        <f t="shared" si="9"/>
        <v>0</v>
      </c>
      <c r="AK25" s="97"/>
      <c r="AM25" s="203">
        <v>1</v>
      </c>
    </row>
    <row r="26" spans="1:45" ht="13.2">
      <c r="A26" s="258">
        <v>43119</v>
      </c>
      <c r="B26" s="96">
        <f>COUNTIFS('Tracking List'!$D$5:$D$650,"BET",'Tracking List'!$W$5:$W$650,"&lt;2018/1/20")</f>
        <v>0</v>
      </c>
      <c r="C26" s="96">
        <f>COUNTIFS('Tracking List'!$D$5:$D$650,"BET",'Tracking List'!$X$5:$X$650,"&lt;2018/1/20")</f>
        <v>0</v>
      </c>
      <c r="D26" s="101">
        <f>COUNTIFS('Tracking List'!$D$5:$D$650,"BET",'Tracking List'!$Y$5:$Y$650,"&lt;2018/1/20")</f>
        <v>0</v>
      </c>
      <c r="E26" s="97">
        <f t="shared" si="30"/>
        <v>0</v>
      </c>
      <c r="F26" s="97">
        <f t="shared" si="30"/>
        <v>0</v>
      </c>
      <c r="G26" s="96">
        <f>COUNTIFS('Tracking List'!$D$5:$D$650,"BIW",'Tracking List'!$W$5:$W$650,"&lt;2018/1/20")</f>
        <v>0</v>
      </c>
      <c r="H26" s="96">
        <f>COUNTIFS('Tracking List'!$D$5:$D$650,"BIW",'Tracking List'!$X$5:$X$650,"&lt;2018/1/20")</f>
        <v>0</v>
      </c>
      <c r="I26" s="96">
        <f>COUNTIFS('Tracking List'!$D$5:$D$650,"BIW",'Tracking List'!$Y$5:$Y$650,"&lt;2018/1/20")</f>
        <v>0</v>
      </c>
      <c r="J26" s="97">
        <f t="shared" si="27"/>
        <v>0</v>
      </c>
      <c r="K26" s="97">
        <f t="shared" si="27"/>
        <v>0</v>
      </c>
      <c r="L26" s="96">
        <f>COUNTIFS('Tracking List'!$D$5:$D$650,"BIT",'Tracking List'!$W$5:$W$650,"&lt;2018/1/20")</f>
        <v>0</v>
      </c>
      <c r="M26" s="96">
        <f>COUNTIFS('Tracking List'!$D$5:$D$650,"BIT",'Tracking List'!$X$5:$X$650,"&lt;2018/1/20")</f>
        <v>0</v>
      </c>
      <c r="N26" s="96">
        <f>COUNTIFS('Tracking List'!$D$5:$D$650,"BIT",'Tracking List'!$Y$5:$Y$650,"&lt;2018/1/20")</f>
        <v>2</v>
      </c>
      <c r="O26" s="97">
        <f t="shared" si="31"/>
        <v>0</v>
      </c>
      <c r="P26" s="97">
        <f t="shared" si="31"/>
        <v>1.7391304347826087E-2</v>
      </c>
      <c r="Q26" s="96">
        <f>COUNTIFS('Tracking List'!$D$5:$D$650,"CHS",'Tracking List'!$W$5:$W$650,"&lt;2018/1/20")</f>
        <v>2</v>
      </c>
      <c r="R26" s="96">
        <f>COUNTIFS('Tracking List'!$D$5:$D$650,"CHS",'Tracking List'!$X$5:$X$650,"&lt;2018/1/20")</f>
        <v>0</v>
      </c>
      <c r="S26" s="96">
        <f>COUNTIFS('Tracking List'!$D$5:$D$650,"CHS",'Tracking List'!$Y$5:$Y$650,"&lt;2018/1/20")</f>
        <v>0</v>
      </c>
      <c r="T26" s="97">
        <f t="shared" si="32"/>
        <v>0</v>
      </c>
      <c r="U26" s="97">
        <f t="shared" si="32"/>
        <v>0</v>
      </c>
      <c r="V26" s="96">
        <f>COUNTIFS('Tracking List'!$D$5:$D$650,"PT",'Tracking List'!$W$5:$W$650,"&lt;2018/1/20")</f>
        <v>0</v>
      </c>
      <c r="W26" s="96">
        <f>COUNTIFS('Tracking List'!$D$5:$D$650,"PT",'Tracking List'!$X$5:$X$650,"&lt;2018/1/20")</f>
        <v>0</v>
      </c>
      <c r="X26" s="96">
        <f>COUNTIFS('Tracking List'!$D$5:$D$650,"PT",'Tracking List'!$Y$5:$Y$650,"&lt;2018/1/20")</f>
        <v>0</v>
      </c>
      <c r="Y26" s="97">
        <f t="shared" si="33"/>
        <v>0</v>
      </c>
      <c r="Z26" s="97">
        <f t="shared" si="33"/>
        <v>0</v>
      </c>
      <c r="AA26" s="96">
        <f>COUNTIFS('Tracking List'!$D$5:$D$650,"EESE",'Tracking List'!$W$5:$W$650,"&lt;2018/1/20")</f>
        <v>0</v>
      </c>
      <c r="AB26" s="96">
        <f>COUNTIFS('Tracking List'!$D$5:$D$650,"EESE",'Tracking List'!$X$5:$X$650,"&lt;2018/1/20")</f>
        <v>0</v>
      </c>
      <c r="AC26" s="96">
        <f>COUNTIFS('Tracking List'!$D$5:$D$650,"EESE",'Tracking List'!$Y$5:$Y$650,"&lt;2018/1/20")</f>
        <v>0</v>
      </c>
      <c r="AD26" s="97">
        <f t="shared" si="34"/>
        <v>0</v>
      </c>
      <c r="AE26" s="97">
        <f t="shared" si="34"/>
        <v>0</v>
      </c>
      <c r="AF26" s="96">
        <f t="shared" si="28"/>
        <v>2</v>
      </c>
      <c r="AG26" s="96">
        <f t="shared" si="28"/>
        <v>0</v>
      </c>
      <c r="AH26" s="96">
        <f t="shared" si="28"/>
        <v>2</v>
      </c>
      <c r="AI26" s="97">
        <f t="shared" si="29"/>
        <v>4.4943820224719105E-3</v>
      </c>
      <c r="AJ26" s="97">
        <f t="shared" si="9"/>
        <v>0</v>
      </c>
      <c r="AK26" s="97"/>
    </row>
    <row r="27" spans="1:45" ht="13.2">
      <c r="A27" s="258">
        <v>43126</v>
      </c>
      <c r="B27" s="96">
        <f>COUNTIFS('Tracking List'!$D$5:$D$650,"BET",'Tracking List'!$W$5:$W$650,"&lt;2018/1/27")</f>
        <v>0</v>
      </c>
      <c r="C27" s="96">
        <f>COUNTIFS('Tracking List'!$D$5:$D$650,"BET",'Tracking List'!$X$5:$X$650,"&lt;2018/1/27")</f>
        <v>0</v>
      </c>
      <c r="D27" s="101">
        <f>COUNTIFS('Tracking List'!$D$5:$D$650,"BET",'Tracking List'!$Y$5:$Y$650,"&lt;2018/1/27")</f>
        <v>0</v>
      </c>
      <c r="E27" s="97">
        <f t="shared" si="30"/>
        <v>0</v>
      </c>
      <c r="F27" s="97">
        <f t="shared" si="30"/>
        <v>0</v>
      </c>
      <c r="G27" s="96">
        <f>COUNTIFS('Tracking List'!$D$5:$D$650,"BIW",'Tracking List'!$W$5:$W$650,"&lt;2018/1/27")</f>
        <v>0</v>
      </c>
      <c r="H27" s="96">
        <f>COUNTIFS('Tracking List'!$D$5:$D$650,"BIW",'Tracking List'!$X$5:$X$650,"&lt;2018/1/27")</f>
        <v>0</v>
      </c>
      <c r="I27" s="96">
        <f>COUNTIFS('Tracking List'!$D$5:$D$650,"BIW",'Tracking List'!$Y$5:$Y$650,"&lt;2018/1/27")</f>
        <v>0</v>
      </c>
      <c r="J27" s="97">
        <f t="shared" si="27"/>
        <v>0</v>
      </c>
      <c r="K27" s="97">
        <f t="shared" si="27"/>
        <v>0</v>
      </c>
      <c r="L27" s="96">
        <f>COUNTIFS('Tracking List'!$D$5:$D$650,"BIT",'Tracking List'!$W$5:$W$650,"&lt;2018/1/27")</f>
        <v>0</v>
      </c>
      <c r="M27" s="96">
        <f>COUNTIFS('Tracking List'!$D$5:$D$650,"BIT",'Tracking List'!$X$5:$X$650,"&lt;2018/1/27")</f>
        <v>0</v>
      </c>
      <c r="N27" s="96">
        <f>COUNTIFS('Tracking List'!$D$5:$D$650,"BIT",'Tracking List'!$Y$5:$Y$650,"&lt;2018/1/27")</f>
        <v>2</v>
      </c>
      <c r="O27" s="97">
        <f t="shared" si="31"/>
        <v>0</v>
      </c>
      <c r="P27" s="97">
        <f t="shared" si="31"/>
        <v>1.7391304347826087E-2</v>
      </c>
      <c r="Q27" s="96">
        <f>COUNTIFS('Tracking List'!$D$5:$D$650,"CHS",'Tracking List'!$W$5:$W$650,"&lt;2018/1/27")</f>
        <v>2</v>
      </c>
      <c r="R27" s="96">
        <f>COUNTIFS('Tracking List'!$D$5:$D$650,"CHS",'Tracking List'!$X$5:$X$650,"&lt;2018/1/27")</f>
        <v>0</v>
      </c>
      <c r="S27" s="96">
        <f>COUNTIFS('Tracking List'!$D$5:$D$650,"CHS",'Tracking List'!$Y$5:$Y$650,"&lt;2018/1/27")</f>
        <v>0</v>
      </c>
      <c r="T27" s="97">
        <f t="shared" si="32"/>
        <v>0</v>
      </c>
      <c r="U27" s="97">
        <f t="shared" si="32"/>
        <v>0</v>
      </c>
      <c r="V27" s="96">
        <f>COUNTIFS('Tracking List'!$D$5:$D$650,"PT",'Tracking List'!$W$5:$W$650,"&lt;2018/1/27")</f>
        <v>0</v>
      </c>
      <c r="W27" s="96">
        <f>COUNTIFS('Tracking List'!$D$5:$D$650,"PT",'Tracking List'!$X$5:$X$650,"&lt;2018/1/27")</f>
        <v>0</v>
      </c>
      <c r="X27" s="96">
        <f>COUNTIFS('Tracking List'!$D$5:$D$650,"PT",'Tracking List'!$Y$5:$Y$650,"&lt;2018/1/27")</f>
        <v>0</v>
      </c>
      <c r="Y27" s="97">
        <f t="shared" si="33"/>
        <v>0</v>
      </c>
      <c r="Z27" s="97">
        <f t="shared" si="33"/>
        <v>0</v>
      </c>
      <c r="AA27" s="96">
        <f>COUNTIFS('Tracking List'!$D$5:$D$650,"EESE",'Tracking List'!$W$5:$W$650,"&lt;2018/1/27")</f>
        <v>0</v>
      </c>
      <c r="AB27" s="96">
        <f>COUNTIFS('Tracking List'!$D$5:$D$650,"EESE",'Tracking List'!$X$5:$X$650,"&lt;2018/1/27")</f>
        <v>0</v>
      </c>
      <c r="AC27" s="96">
        <f>COUNTIFS('Tracking List'!$D$5:$D$650,"EESE",'Tracking List'!$Y$5:$Y$650,"&lt;2018/1/27")</f>
        <v>0</v>
      </c>
      <c r="AD27" s="97">
        <f t="shared" si="34"/>
        <v>0</v>
      </c>
      <c r="AE27" s="97">
        <f t="shared" si="34"/>
        <v>0</v>
      </c>
      <c r="AF27" s="96">
        <f t="shared" si="28"/>
        <v>2</v>
      </c>
      <c r="AG27" s="96">
        <f t="shared" si="28"/>
        <v>0</v>
      </c>
      <c r="AH27" s="96">
        <f t="shared" si="28"/>
        <v>2</v>
      </c>
      <c r="AI27" s="97">
        <f t="shared" si="29"/>
        <v>4.4943820224719105E-3</v>
      </c>
      <c r="AJ27" s="97">
        <f t="shared" si="9"/>
        <v>0</v>
      </c>
      <c r="AK27" s="97"/>
    </row>
    <row r="28" spans="1:45" s="227" customFormat="1" ht="13.2">
      <c r="A28" s="260">
        <v>43130</v>
      </c>
      <c r="B28" s="224">
        <f>COUNTIFS('Tracking List'!$D$5:$D$650,"BET",'Tracking List'!$W$5:$W$650,"&lt;=2018/1/30")</f>
        <v>0</v>
      </c>
      <c r="C28" s="224">
        <f>COUNTIFS('Tracking List'!$D$5:$D$650,"BET",'Tracking List'!$X$5:$X$650,"&lt;=2018/1/30")</f>
        <v>0</v>
      </c>
      <c r="D28" s="225">
        <f>COUNTIFS('Tracking List'!$D$5:$D$650,"BET",'Tracking List'!$Y$5:$Y$650,"&lt;=2018/1/30")</f>
        <v>0</v>
      </c>
      <c r="E28" s="226">
        <f>C28/$B$2</f>
        <v>0</v>
      </c>
      <c r="F28" s="226">
        <f>D28/$B$2</f>
        <v>0</v>
      </c>
      <c r="G28" s="224">
        <f>COUNTIFS('Tracking List'!$D$5:$D$650,"BIW",'Tracking List'!$W$5:$W$650,"&lt;=2018/1/30")</f>
        <v>0</v>
      </c>
      <c r="H28" s="224">
        <f>COUNTIFS('Tracking List'!$D$5:$D$650,"BIW",'Tracking List'!$X$5:$X$650,"&lt;=2018/1/30")</f>
        <v>0</v>
      </c>
      <c r="I28" s="224">
        <f>COUNTIFS('Tracking List'!$D$5:$D$650,"BIW",'Tracking List'!$Y$5:$Y$650,"&lt;=2018/1/30")</f>
        <v>0</v>
      </c>
      <c r="J28" s="226">
        <f>H28/$G$2</f>
        <v>0</v>
      </c>
      <c r="K28" s="226">
        <f>I28/$G$2</f>
        <v>0</v>
      </c>
      <c r="L28" s="224">
        <f>COUNTIFS('Tracking List'!$D$5:$D$650,"BIT",'Tracking List'!$W$5:$W$650,"&lt;=2018/1/30")</f>
        <v>0</v>
      </c>
      <c r="M28" s="224">
        <f>COUNTIFS('Tracking List'!$D$5:$D$650,"BIT",'Tracking List'!$X$5:$X$650,"&lt;=2018/1/30")</f>
        <v>0</v>
      </c>
      <c r="N28" s="224">
        <f>COUNTIFS('Tracking List'!$D$5:$D$650,"BIT",'Tracking List'!$Y$5:$Y$650,"&lt;=2018/1/30")</f>
        <v>2</v>
      </c>
      <c r="O28" s="226">
        <f>M28/$L$2</f>
        <v>0</v>
      </c>
      <c r="P28" s="226">
        <f>N28/$L$2</f>
        <v>1.7391304347826087E-2</v>
      </c>
      <c r="Q28" s="224">
        <f>COUNTIFS('Tracking List'!$D$5:$D$650,"CHS",'Tracking List'!$W$5:$W$650,"&lt;=2018/1/30")</f>
        <v>2</v>
      </c>
      <c r="R28" s="224">
        <f>COUNTIFS('Tracking List'!$D$5:$D$650,"CHS",'Tracking List'!$X$5:$X$650,"&lt;=2018/1/30")</f>
        <v>0</v>
      </c>
      <c r="S28" s="224">
        <f>COUNTIFS('Tracking List'!$D$5:$D$650,"CHS",'Tracking List'!$Y$5:$Y$650,"&lt;=2018/1/30")</f>
        <v>0</v>
      </c>
      <c r="T28" s="226">
        <f>R28/$Q$2</f>
        <v>0</v>
      </c>
      <c r="U28" s="226">
        <f>S28/$Q$2</f>
        <v>0</v>
      </c>
      <c r="V28" s="224">
        <f>COUNTIFS('Tracking List'!$D$5:$D$650,"PT",'Tracking List'!$W$5:$W$650,"&lt;=2018/1/30")</f>
        <v>0</v>
      </c>
      <c r="W28" s="224">
        <f>COUNTIFS('Tracking List'!$D$5:$D$650,"PT",'Tracking List'!$X$5:$X$650,"&lt;=2018/1/30")</f>
        <v>0</v>
      </c>
      <c r="X28" s="224">
        <f>COUNTIFS('Tracking List'!$D$5:$D$650,"PT",'Tracking List'!$Y$5:$Y$650,"&lt;=2018/1/30")</f>
        <v>0</v>
      </c>
      <c r="Y28" s="226">
        <f>W28/$V$2</f>
        <v>0</v>
      </c>
      <c r="Z28" s="226">
        <f>X28/$V$2</f>
        <v>0</v>
      </c>
      <c r="AA28" s="224">
        <f>COUNTIFS('Tracking List'!$D$5:$D$650,"EESE",'Tracking List'!$W$5:$W$650,"&lt;=2018/1/30")</f>
        <v>0</v>
      </c>
      <c r="AB28" s="224">
        <f>COUNTIFS('Tracking List'!$D$5:$D$650,"EESE",'Tracking List'!$X$5:$X$650,"&lt;=2018/1/30")</f>
        <v>0</v>
      </c>
      <c r="AC28" s="224">
        <f>COUNTIFS('Tracking List'!$D$5:$D$650,"EESE",'Tracking List'!$Y$5:$Y$650,"&lt;=2018/1/30")</f>
        <v>0</v>
      </c>
      <c r="AD28" s="226">
        <f>AB28/$AA$2</f>
        <v>0</v>
      </c>
      <c r="AE28" s="226">
        <f>AC28/$AA$2</f>
        <v>0</v>
      </c>
      <c r="AF28" s="224">
        <f>B28+G28+L28+Q28+V28+AA28</f>
        <v>2</v>
      </c>
      <c r="AG28" s="224">
        <f>C28+H28+M28+R28+W28+AB28</f>
        <v>0</v>
      </c>
      <c r="AH28" s="224">
        <f>D28+I28+N28+S28+X28+AC28</f>
        <v>2</v>
      </c>
      <c r="AI28" s="226">
        <f>AF28/$AF$2</f>
        <v>4.4943820224719105E-3</v>
      </c>
      <c r="AJ28" s="226">
        <f>AG28/$AF$2</f>
        <v>0</v>
      </c>
      <c r="AK28" s="226"/>
    </row>
    <row r="29" spans="1:45" ht="13.2">
      <c r="A29" s="258">
        <v>43133</v>
      </c>
      <c r="B29" s="96">
        <f>COUNTIFS('Tracking List'!$D$5:$D$650,"BET",'Tracking List'!$W$5:$W$650,"&lt;2018/2/3")</f>
        <v>0</v>
      </c>
      <c r="C29" s="96">
        <f>COUNTIFS('Tracking List'!$D$5:$D$650,"BET",'Tracking List'!$X$5:$X$650,"&lt;2018/2/3")</f>
        <v>0</v>
      </c>
      <c r="D29" s="101">
        <f>COUNTIFS('Tracking List'!$D$5:$D$650,"BET",'Tracking List'!$Y$5:$Y$650,"&lt;2018/2/3")</f>
        <v>0</v>
      </c>
      <c r="E29" s="97">
        <f t="shared" si="30"/>
        <v>0</v>
      </c>
      <c r="F29" s="97">
        <f t="shared" si="30"/>
        <v>0</v>
      </c>
      <c r="G29" s="96">
        <f>COUNTIFS('Tracking List'!$D$5:$D$650,"BIW",'Tracking List'!$W$5:$W$650,"&lt;2018/2/3")</f>
        <v>0</v>
      </c>
      <c r="H29" s="96">
        <f>COUNTIFS('Tracking List'!$D$5:$D$650,"BIW",'Tracking List'!$X$5:$X$650,"&lt;2018/2/3")</f>
        <v>0</v>
      </c>
      <c r="I29" s="96">
        <f>COUNTIFS('Tracking List'!$D$5:$D$650,"BIW",'Tracking List'!$Y$5:$Y$650,"&lt;2018/2/3")</f>
        <v>0</v>
      </c>
      <c r="J29" s="97">
        <f t="shared" si="27"/>
        <v>0</v>
      </c>
      <c r="K29" s="97">
        <f t="shared" si="27"/>
        <v>0</v>
      </c>
      <c r="L29" s="96">
        <f>COUNTIFS('Tracking List'!$D$5:$D$650,"BIT",'Tracking List'!$W$5:$W$650,"&lt;2018/2/3")</f>
        <v>0</v>
      </c>
      <c r="M29" s="96">
        <f>COUNTIFS('Tracking List'!$D$5:$D$650,"BIT",'Tracking List'!$X$5:$X$650,"&lt;2018/2/3")</f>
        <v>0</v>
      </c>
      <c r="N29" s="96">
        <f>COUNTIFS('Tracking List'!$D$5:$D$650,"BIT",'Tracking List'!$Y$5:$Y$650,"&lt;2018/2/3")</f>
        <v>2</v>
      </c>
      <c r="O29" s="97">
        <f t="shared" si="31"/>
        <v>0</v>
      </c>
      <c r="P29" s="97">
        <f t="shared" si="31"/>
        <v>1.7391304347826087E-2</v>
      </c>
      <c r="Q29" s="96">
        <f>COUNTIFS('Tracking List'!$D$5:$D$650,"CHS",'Tracking List'!$W$5:$W$650,"&lt;2018/2/3")</f>
        <v>2</v>
      </c>
      <c r="R29" s="96">
        <f>COUNTIFS('Tracking List'!$D$5:$D$650,"CHS",'Tracking List'!$X$5:$X$650,"&lt;2018/2/3")</f>
        <v>0</v>
      </c>
      <c r="S29" s="96">
        <f>COUNTIFS('Tracking List'!$D$5:$D$650,"CHS",'Tracking List'!$Y$5:$Y$650,"&lt;2018/2/3")</f>
        <v>0</v>
      </c>
      <c r="T29" s="97">
        <f t="shared" si="32"/>
        <v>0</v>
      </c>
      <c r="U29" s="97">
        <f t="shared" si="32"/>
        <v>0</v>
      </c>
      <c r="V29" s="96">
        <f>COUNTIFS('Tracking List'!$D$5:$D$650,"PT",'Tracking List'!$W$5:$W$650,"&lt;2018/2/3")</f>
        <v>0</v>
      </c>
      <c r="W29" s="96">
        <f>COUNTIFS('Tracking List'!$D$5:$D$650,"PT",'Tracking List'!$X$5:$X$650,"&lt;2018/2/3")</f>
        <v>0</v>
      </c>
      <c r="X29" s="96">
        <f>COUNTIFS('Tracking List'!$D$5:$D$650,"PT",'Tracking List'!$Y$5:$Y$650,"&lt;2018/2/3")</f>
        <v>0</v>
      </c>
      <c r="Y29" s="97">
        <f t="shared" si="33"/>
        <v>0</v>
      </c>
      <c r="Z29" s="97">
        <f t="shared" si="33"/>
        <v>0</v>
      </c>
      <c r="AA29" s="96">
        <f>COUNTIFS('Tracking List'!$D$5:$D$650,"EESE",'Tracking List'!$W$5:$W$650,"&lt;2018/2/3")</f>
        <v>0</v>
      </c>
      <c r="AB29" s="96">
        <f>COUNTIFS('Tracking List'!$D$5:$D$650,"EESE",'Tracking List'!$X$5:$X$650,"&lt;2018/2/3")</f>
        <v>0</v>
      </c>
      <c r="AC29" s="96">
        <f>COUNTIFS('Tracking List'!$D$5:$D$650,"EESE",'Tracking List'!$Y$5:$Y$650,"&lt;2018/2/3")</f>
        <v>0</v>
      </c>
      <c r="AD29" s="97">
        <f t="shared" si="34"/>
        <v>0</v>
      </c>
      <c r="AE29" s="97">
        <f t="shared" si="34"/>
        <v>0</v>
      </c>
      <c r="AF29" s="96">
        <f t="shared" si="28"/>
        <v>2</v>
      </c>
      <c r="AG29" s="96">
        <f t="shared" si="28"/>
        <v>0</v>
      </c>
      <c r="AH29" s="96">
        <f t="shared" si="28"/>
        <v>2</v>
      </c>
      <c r="AI29" s="97">
        <f t="shared" si="29"/>
        <v>4.4943820224719105E-3</v>
      </c>
      <c r="AJ29" s="97">
        <f t="shared" si="9"/>
        <v>0</v>
      </c>
      <c r="AK29" s="97"/>
    </row>
    <row r="30" spans="1:45" ht="13.2">
      <c r="A30" s="258">
        <v>43140</v>
      </c>
      <c r="B30" s="96">
        <f>COUNTIFS('Tracking List'!$D$5:$D$650,"BET",'Tracking List'!$W$5:$W$650,"&lt;2018/2/10")</f>
        <v>2</v>
      </c>
      <c r="C30" s="96">
        <f>COUNTIFS('Tracking List'!$D$5:$D$650,"BET",'Tracking List'!$X$5:$X$650,"&lt;2018/2/10")</f>
        <v>0</v>
      </c>
      <c r="D30" s="101">
        <f>COUNTIFS('Tracking List'!$D$5:$D$650,"BET",'Tracking List'!$Y$5:$Y$650,"&lt;2018/2/10")</f>
        <v>0</v>
      </c>
      <c r="E30" s="97">
        <f t="shared" si="30"/>
        <v>0</v>
      </c>
      <c r="F30" s="97">
        <f t="shared" si="30"/>
        <v>0</v>
      </c>
      <c r="G30" s="96">
        <f>COUNTIFS('Tracking List'!$D$5:$D$650,"BIW",'Tracking List'!$W$5:$W$650,"&lt;2018/2/10")</f>
        <v>0</v>
      </c>
      <c r="H30" s="96">
        <f>COUNTIFS('Tracking List'!$D$5:$D$650,"BIW",'Tracking List'!$X$5:$X$650,"&lt;2018/2/10")</f>
        <v>0</v>
      </c>
      <c r="I30" s="96">
        <f>COUNTIFS('Tracking List'!$D$5:$D$650,"BIW",'Tracking List'!$Y$5:$Y$650,"&lt;2018/2/10")</f>
        <v>0</v>
      </c>
      <c r="J30" s="97">
        <f t="shared" si="27"/>
        <v>0</v>
      </c>
      <c r="K30" s="97">
        <f t="shared" si="27"/>
        <v>0</v>
      </c>
      <c r="L30" s="96">
        <f>COUNTIFS('Tracking List'!$D$5:$D$650,"BIT",'Tracking List'!$W$5:$W$650,"&lt;2018/2/10")</f>
        <v>0</v>
      </c>
      <c r="M30" s="96">
        <f>COUNTIFS('Tracking List'!$D$5:$D$650,"BIT",'Tracking List'!$X$5:$X$650,"&lt;2018/2/10")</f>
        <v>0</v>
      </c>
      <c r="N30" s="96">
        <f>COUNTIFS('Tracking List'!$D$5:$D$650,"BIT",'Tracking List'!$Y$5:$Y$650,"&lt;2018/2/10")</f>
        <v>2</v>
      </c>
      <c r="O30" s="97">
        <f t="shared" si="31"/>
        <v>0</v>
      </c>
      <c r="P30" s="97">
        <f t="shared" si="31"/>
        <v>1.7391304347826087E-2</v>
      </c>
      <c r="Q30" s="96">
        <f>COUNTIFS('Tracking List'!$D$5:$D$650,"CHS",'Tracking List'!$W$5:$W$650,"&lt;2018/2/10")</f>
        <v>2</v>
      </c>
      <c r="R30" s="96">
        <f>COUNTIFS('Tracking List'!$D$5:$D$650,"CHS",'Tracking List'!$X$5:$X$650,"&lt;2018/2/10")</f>
        <v>0</v>
      </c>
      <c r="S30" s="96">
        <f>COUNTIFS('Tracking List'!$D$5:$D$650,"CHS",'Tracking List'!$Y$5:$Y$650,"&lt;2018/2/10")</f>
        <v>0</v>
      </c>
      <c r="T30" s="97">
        <f t="shared" si="32"/>
        <v>0</v>
      </c>
      <c r="U30" s="97">
        <f t="shared" si="32"/>
        <v>0</v>
      </c>
      <c r="V30" s="96">
        <f>COUNTIFS('Tracking List'!$D$5:$D$650,"PT",'Tracking List'!$W$5:$W$650,"&lt;2018/2/10")</f>
        <v>0</v>
      </c>
      <c r="W30" s="96">
        <f>COUNTIFS('Tracking List'!$D$5:$D$650,"PT",'Tracking List'!$X$5:$X$650,"&lt;2018/2/10")</f>
        <v>0</v>
      </c>
      <c r="X30" s="96">
        <f>COUNTIFS('Tracking List'!$D$5:$D$650,"PT",'Tracking List'!$Y$5:$Y$650,"&lt;2018/2/10")</f>
        <v>0</v>
      </c>
      <c r="Y30" s="97">
        <f t="shared" si="33"/>
        <v>0</v>
      </c>
      <c r="Z30" s="97">
        <f t="shared" si="33"/>
        <v>0</v>
      </c>
      <c r="AA30" s="96">
        <f>COUNTIFS('Tracking List'!$D$5:$D$650,"EESE",'Tracking List'!$W$5:$W$650,"&lt;2018/2/10")</f>
        <v>0</v>
      </c>
      <c r="AB30" s="96">
        <f>COUNTIFS('Tracking List'!$D$5:$D$650,"EESE",'Tracking List'!$X$5:$X$650,"&lt;2018/2/10")</f>
        <v>0</v>
      </c>
      <c r="AC30" s="96">
        <f>COUNTIFS('Tracking List'!$D$5:$D$650,"EESE",'Tracking List'!$Y$5:$Y$650,"&lt;2018/2/10")</f>
        <v>0</v>
      </c>
      <c r="AD30" s="97">
        <f t="shared" si="34"/>
        <v>0</v>
      </c>
      <c r="AE30" s="97">
        <f t="shared" si="34"/>
        <v>0</v>
      </c>
      <c r="AF30" s="96">
        <f t="shared" si="28"/>
        <v>4</v>
      </c>
      <c r="AG30" s="96">
        <f t="shared" si="28"/>
        <v>0</v>
      </c>
      <c r="AH30" s="96">
        <f t="shared" si="28"/>
        <v>2</v>
      </c>
      <c r="AI30" s="97">
        <f t="shared" si="29"/>
        <v>8.988764044943821E-3</v>
      </c>
      <c r="AJ30" s="97">
        <f t="shared" si="9"/>
        <v>0</v>
      </c>
      <c r="AK30" s="97"/>
    </row>
    <row r="31" spans="1:45" ht="13.2">
      <c r="A31" s="258">
        <v>43147</v>
      </c>
      <c r="B31" s="96">
        <f>COUNTIFS('Tracking List'!$D$5:$D$650,"BET",'Tracking List'!$W$5:$W$650,"&lt;2018/2/17")</f>
        <v>2</v>
      </c>
      <c r="C31" s="96">
        <f>COUNTIFS('Tracking List'!$D$5:$D$650,"BET",'Tracking List'!$X$5:$X$650,"&lt;2018/2/17")</f>
        <v>0</v>
      </c>
      <c r="D31" s="101">
        <f>COUNTIFS('Tracking List'!$D$5:$D$650,"BET",'Tracking List'!$Y$5:$Y$650,"&lt;2018/2/17")</f>
        <v>0</v>
      </c>
      <c r="E31" s="97">
        <f t="shared" si="30"/>
        <v>0</v>
      </c>
      <c r="F31" s="97">
        <f t="shared" si="30"/>
        <v>0</v>
      </c>
      <c r="G31" s="96">
        <f>COUNTIFS('Tracking List'!$D$5:$D$650,"BIW",'Tracking List'!$W$5:$W$650,"&lt;2018/2/17")</f>
        <v>0</v>
      </c>
      <c r="H31" s="96">
        <f>COUNTIFS('Tracking List'!$D$5:$D$650,"BIW",'Tracking List'!$X$5:$X$650,"&lt;2018/2/17")</f>
        <v>0</v>
      </c>
      <c r="I31" s="96">
        <f>COUNTIFS('Tracking List'!$D$5:$D$650,"BIW",'Tracking List'!$Y$5:$Y$650,"&lt;2018/2/17")</f>
        <v>0</v>
      </c>
      <c r="J31" s="97">
        <f t="shared" si="27"/>
        <v>0</v>
      </c>
      <c r="K31" s="97">
        <f t="shared" si="27"/>
        <v>0</v>
      </c>
      <c r="L31" s="96">
        <f>COUNTIFS('Tracking List'!$D$5:$D$650,"BIT",'Tracking List'!$W$5:$W$650,"&lt;2018/2/17")</f>
        <v>0</v>
      </c>
      <c r="M31" s="96">
        <f>COUNTIFS('Tracking List'!$D$5:$D$650,"BIT",'Tracking List'!$X$5:$X$650,"&lt;2018/2/17")</f>
        <v>0</v>
      </c>
      <c r="N31" s="96">
        <f>COUNTIFS('Tracking List'!$D$5:$D$650,"BIT",'Tracking List'!$Y$5:$Y$650,"&lt;2018/2/17")</f>
        <v>2</v>
      </c>
      <c r="O31" s="97">
        <f t="shared" si="31"/>
        <v>0</v>
      </c>
      <c r="P31" s="97">
        <f t="shared" si="31"/>
        <v>1.7391304347826087E-2</v>
      </c>
      <c r="Q31" s="96">
        <f>COUNTIFS('Tracking List'!$D$5:$D$650,"CHS",'Tracking List'!$W$5:$W$650,"&lt;2018/2/17")</f>
        <v>2</v>
      </c>
      <c r="R31" s="96">
        <f>COUNTIFS('Tracking List'!$D$5:$D$650,"CHS",'Tracking List'!$X$5:$X$650,"&lt;2018/2/17")</f>
        <v>0</v>
      </c>
      <c r="S31" s="96">
        <f>COUNTIFS('Tracking List'!$D$5:$D$650,"CHS",'Tracking List'!$Y$5:$Y$650,"&lt;2018/2/17")</f>
        <v>0</v>
      </c>
      <c r="T31" s="97">
        <f t="shared" si="32"/>
        <v>0</v>
      </c>
      <c r="U31" s="97">
        <f t="shared" si="32"/>
        <v>0</v>
      </c>
      <c r="V31" s="96">
        <f>COUNTIFS('Tracking List'!$D$5:$D$650,"PT",'Tracking List'!$W$5:$W$650,"&lt;2018/2/17")</f>
        <v>0</v>
      </c>
      <c r="W31" s="96">
        <f>COUNTIFS('Tracking List'!$D$5:$D$650,"PT",'Tracking List'!$X$5:$X$650,"&lt;2018/2/17")</f>
        <v>0</v>
      </c>
      <c r="X31" s="96">
        <f>COUNTIFS('Tracking List'!$D$5:$D$650,"PT",'Tracking List'!$Y$5:$Y$650,"&lt;2018/2/17")</f>
        <v>0</v>
      </c>
      <c r="Y31" s="97">
        <f t="shared" si="33"/>
        <v>0</v>
      </c>
      <c r="Z31" s="97">
        <f t="shared" si="33"/>
        <v>0</v>
      </c>
      <c r="AA31" s="96">
        <f>COUNTIFS('Tracking List'!$D$5:$D$650,"EESE",'Tracking List'!$W$5:$W$650,"&lt;2018/2/17")</f>
        <v>0</v>
      </c>
      <c r="AB31" s="96">
        <f>COUNTIFS('Tracking List'!$D$5:$D$650,"EESE",'Tracking List'!$X$5:$X$650,"&lt;2018/2/17")</f>
        <v>0</v>
      </c>
      <c r="AC31" s="96">
        <f>COUNTIFS('Tracking List'!$D$5:$D$650,"EESE",'Tracking List'!$Y$5:$Y$650,"&lt;2018/2/17")</f>
        <v>0</v>
      </c>
      <c r="AD31" s="97">
        <f t="shared" si="34"/>
        <v>0</v>
      </c>
      <c r="AE31" s="97">
        <f t="shared" si="34"/>
        <v>0</v>
      </c>
      <c r="AF31" s="96">
        <f t="shared" si="28"/>
        <v>4</v>
      </c>
      <c r="AG31" s="96">
        <f t="shared" si="28"/>
        <v>0</v>
      </c>
      <c r="AH31" s="96">
        <f t="shared" si="28"/>
        <v>2</v>
      </c>
      <c r="AI31" s="97">
        <f t="shared" si="29"/>
        <v>8.988764044943821E-3</v>
      </c>
      <c r="AJ31" s="97">
        <f t="shared" si="9"/>
        <v>0</v>
      </c>
      <c r="AK31" s="97"/>
    </row>
    <row r="32" spans="1:45" ht="13.2">
      <c r="A32" s="258">
        <v>43154</v>
      </c>
      <c r="B32" s="96">
        <f>COUNTIFS('Tracking List'!$D$5:$D$650,"BET",'Tracking List'!$W$5:$W$650,"&lt;2018/2/24")</f>
        <v>2</v>
      </c>
      <c r="C32" s="96">
        <f>COUNTIFS('Tracking List'!$D$5:$D$650,"BET",'Tracking List'!$X$5:$X$650,"&lt;2018/2/24")</f>
        <v>0</v>
      </c>
      <c r="D32" s="101">
        <f>COUNTIFS('Tracking List'!$D$5:$D$650,"BET",'Tracking List'!$Y$5:$Y$650,"&lt;2018/2/24")</f>
        <v>0</v>
      </c>
      <c r="E32" s="97">
        <f t="shared" si="30"/>
        <v>0</v>
      </c>
      <c r="F32" s="97">
        <f t="shared" si="30"/>
        <v>0</v>
      </c>
      <c r="G32" s="96">
        <f>COUNTIFS('Tracking List'!$D$5:$D$650,"BIW",'Tracking List'!$W$5:$W$650,"&lt;2018/2/24")</f>
        <v>0</v>
      </c>
      <c r="H32" s="96">
        <f>COUNTIFS('Tracking List'!$D$5:$D$650,"BIW",'Tracking List'!$X$5:$X$650,"&lt;2018/2/24")</f>
        <v>0</v>
      </c>
      <c r="I32" s="96">
        <f>COUNTIFS('Tracking List'!$D$5:$D$650,"BIW",'Tracking List'!$Y$5:$Y$650,"&lt;2018/2/24")</f>
        <v>0</v>
      </c>
      <c r="J32" s="97">
        <f t="shared" si="27"/>
        <v>0</v>
      </c>
      <c r="K32" s="97">
        <f t="shared" si="27"/>
        <v>0</v>
      </c>
      <c r="L32" s="96">
        <f>COUNTIFS('Tracking List'!$D$5:$D$650,"BIT",'Tracking List'!$W$5:$W$650,"&lt;2018/2/24")</f>
        <v>0</v>
      </c>
      <c r="M32" s="96">
        <f>COUNTIFS('Tracking List'!$D$5:$D$650,"BIT",'Tracking List'!$X$5:$X$650,"&lt;2018/2/24")</f>
        <v>0</v>
      </c>
      <c r="N32" s="96">
        <f>COUNTIFS('Tracking List'!$D$5:$D$650,"BIT",'Tracking List'!$Y$5:$Y$650,"&lt;2018/2/24")</f>
        <v>2</v>
      </c>
      <c r="O32" s="97">
        <f t="shared" si="31"/>
        <v>0</v>
      </c>
      <c r="P32" s="97">
        <f t="shared" si="31"/>
        <v>1.7391304347826087E-2</v>
      </c>
      <c r="Q32" s="96">
        <f>COUNTIFS('Tracking List'!$D$5:$D$650,"CHS",'Tracking List'!$W$5:$W$650,"&lt;2018/2/24")</f>
        <v>2</v>
      </c>
      <c r="R32" s="96">
        <f>COUNTIFS('Tracking List'!$D$5:$D$650,"CHS",'Tracking List'!$X$5:$X$650,"&lt;2018/2/24")</f>
        <v>0</v>
      </c>
      <c r="S32" s="96">
        <f>COUNTIFS('Tracking List'!$D$5:$D$650,"CHS",'Tracking List'!$Y$5:$Y$650,"&lt;2018/2/24")</f>
        <v>0</v>
      </c>
      <c r="T32" s="97">
        <f t="shared" si="32"/>
        <v>0</v>
      </c>
      <c r="U32" s="97">
        <f t="shared" si="32"/>
        <v>0</v>
      </c>
      <c r="V32" s="96">
        <f>COUNTIFS('Tracking List'!$D$5:$D$650,"PT",'Tracking List'!$W$5:$W$650,"&lt;2018/2/24")</f>
        <v>0</v>
      </c>
      <c r="W32" s="96">
        <f>COUNTIFS('Tracking List'!$D$5:$D$650,"PT",'Tracking List'!$X$5:$X$650,"&lt;2018/2/24")</f>
        <v>0</v>
      </c>
      <c r="X32" s="96">
        <f>COUNTIFS('Tracking List'!$D$5:$D$650,"PT",'Tracking List'!$Y$5:$Y$650,"&lt;2018/2/24")</f>
        <v>0</v>
      </c>
      <c r="Y32" s="97">
        <f t="shared" si="33"/>
        <v>0</v>
      </c>
      <c r="Z32" s="97">
        <f t="shared" si="33"/>
        <v>0</v>
      </c>
      <c r="AA32" s="96">
        <f>COUNTIFS('Tracking List'!$D$5:$D$650,"EESE",'Tracking List'!$W$5:$W$650,"&lt;2018/2/24")</f>
        <v>0</v>
      </c>
      <c r="AB32" s="96">
        <f>COUNTIFS('Tracking List'!$D$5:$D$650,"EESE",'Tracking List'!$X$5:$X$650,"&lt;2018/2/24")</f>
        <v>0</v>
      </c>
      <c r="AC32" s="96">
        <f>COUNTIFS('Tracking List'!$D$5:$D$650,"EESE",'Tracking List'!$Y$5:$Y$650,"&lt;2018/2/24")</f>
        <v>0</v>
      </c>
      <c r="AD32" s="97">
        <f t="shared" si="34"/>
        <v>0</v>
      </c>
      <c r="AE32" s="97">
        <f t="shared" si="34"/>
        <v>0</v>
      </c>
      <c r="AF32" s="96">
        <f t="shared" si="28"/>
        <v>4</v>
      </c>
      <c r="AG32" s="96">
        <f t="shared" si="28"/>
        <v>0</v>
      </c>
      <c r="AH32" s="96">
        <f t="shared" si="28"/>
        <v>2</v>
      </c>
      <c r="AI32" s="97">
        <f t="shared" si="29"/>
        <v>8.988764044943821E-3</v>
      </c>
      <c r="AJ32" s="97">
        <f t="shared" si="9"/>
        <v>0</v>
      </c>
      <c r="AK32" s="97"/>
    </row>
    <row r="33" spans="1:42" ht="13.2">
      <c r="A33" s="258">
        <v>43161</v>
      </c>
      <c r="B33" s="96">
        <f>COUNTIFS('Tracking List'!$D$5:$D$650,"BET",'Tracking List'!$W$5:$W$650,"&lt;2018/3/3")</f>
        <v>8</v>
      </c>
      <c r="C33" s="96">
        <f>COUNTIFS('Tracking List'!$D$5:$D$650,"BET",'Tracking List'!$X$5:$X$650,"&lt;2018/3/3")</f>
        <v>6</v>
      </c>
      <c r="D33" s="101">
        <f>COUNTIFS('Tracking List'!$D$5:$D$650,"BET",'Tracking List'!$Y$5:$Y$650,"&lt;2018/3/3")</f>
        <v>0</v>
      </c>
      <c r="E33" s="97">
        <f t="shared" si="30"/>
        <v>5.7692307692307696E-2</v>
      </c>
      <c r="F33" s="97">
        <f t="shared" si="30"/>
        <v>0</v>
      </c>
      <c r="G33" s="96">
        <f>COUNTIFS('Tracking List'!$D$5:$D$650,"BIW",'Tracking List'!$W$5:$W$650,"&lt;2018/3/3")</f>
        <v>0</v>
      </c>
      <c r="H33" s="96">
        <f>COUNTIFS('Tracking List'!$D$5:$D$650,"BIW",'Tracking List'!$X$5:$X$650,"&lt;2018/3/3")</f>
        <v>0</v>
      </c>
      <c r="I33" s="96">
        <f>COUNTIFS('Tracking List'!$D$5:$D$650,"BIW",'Tracking List'!$Y$5:$Y$650,"&lt;2018/3/3")</f>
        <v>0</v>
      </c>
      <c r="J33" s="97">
        <f t="shared" si="27"/>
        <v>0</v>
      </c>
      <c r="K33" s="97">
        <f t="shared" si="27"/>
        <v>0</v>
      </c>
      <c r="L33" s="96">
        <f>COUNTIFS('Tracking List'!$D$5:$D$650,"BIT",'Tracking List'!$W$5:$W$650,"&lt;2018/3/3")</f>
        <v>0</v>
      </c>
      <c r="M33" s="96">
        <f>COUNTIFS('Tracking List'!$D$5:$D$650,"BIT",'Tracking List'!$X$5:$X$650,"&lt;2018/3/3")</f>
        <v>0</v>
      </c>
      <c r="N33" s="96">
        <f>COUNTIFS('Tracking List'!$D$5:$D$650,"BIT",'Tracking List'!$Y$5:$Y$650,"&lt;2018/3/3")</f>
        <v>2</v>
      </c>
      <c r="O33" s="97">
        <f t="shared" si="31"/>
        <v>0</v>
      </c>
      <c r="P33" s="97">
        <f t="shared" si="31"/>
        <v>1.7391304347826087E-2</v>
      </c>
      <c r="Q33" s="96">
        <f>COUNTIFS('Tracking List'!$D$5:$D$650,"CHS",'Tracking List'!$W$5:$W$650,"&lt;2018/3/3")</f>
        <v>2</v>
      </c>
      <c r="R33" s="96">
        <f>COUNTIFS('Tracking List'!$D$5:$D$650,"CHS",'Tracking List'!$X$5:$X$650,"&lt;2018/3/3")</f>
        <v>0</v>
      </c>
      <c r="S33" s="96">
        <f>COUNTIFS('Tracking List'!$D$5:$D$650,"CHS",'Tracking List'!$Y$5:$Y$650,"&lt;2018/3/3")</f>
        <v>0</v>
      </c>
      <c r="T33" s="97">
        <f t="shared" si="32"/>
        <v>0</v>
      </c>
      <c r="U33" s="97">
        <f t="shared" si="32"/>
        <v>0</v>
      </c>
      <c r="V33" s="96">
        <f>COUNTIFS('Tracking List'!$D$5:$D$650,"PT",'Tracking List'!$W$5:$W$650,"&lt;2018/3/3")</f>
        <v>0</v>
      </c>
      <c r="W33" s="96">
        <f>COUNTIFS('Tracking List'!$D$5:$D$650,"PT",'Tracking List'!$X$5:$X$650,"&lt;2018/3/3")</f>
        <v>0</v>
      </c>
      <c r="X33" s="96">
        <f>COUNTIFS('Tracking List'!$D$5:$D$650,"PT",'Tracking List'!$Y$5:$Y$650,"&lt;2018/3/3")</f>
        <v>0</v>
      </c>
      <c r="Y33" s="97">
        <f t="shared" si="33"/>
        <v>0</v>
      </c>
      <c r="Z33" s="97">
        <f t="shared" si="33"/>
        <v>0</v>
      </c>
      <c r="AA33" s="96">
        <f>COUNTIFS('Tracking List'!$D$5:$D$650,"EESE",'Tracking List'!$W$5:$W$650,"&lt;2018/3/3")</f>
        <v>0</v>
      </c>
      <c r="AB33" s="96">
        <f>COUNTIFS('Tracking List'!$D$5:$D$650,"EESE",'Tracking List'!$X$5:$X$650,"&lt;2018/3/3")</f>
        <v>0</v>
      </c>
      <c r="AC33" s="96">
        <f>COUNTIFS('Tracking List'!$D$5:$D$650,"EESE",'Tracking List'!$Y$5:$Y$650,"&lt;2018/3/3")</f>
        <v>0</v>
      </c>
      <c r="AD33" s="97">
        <f t="shared" si="34"/>
        <v>0</v>
      </c>
      <c r="AE33" s="97">
        <f t="shared" si="34"/>
        <v>0</v>
      </c>
      <c r="AF33" s="96">
        <f t="shared" si="28"/>
        <v>10</v>
      </c>
      <c r="AG33" s="96">
        <f t="shared" si="28"/>
        <v>6</v>
      </c>
      <c r="AH33" s="96">
        <f t="shared" si="28"/>
        <v>2</v>
      </c>
      <c r="AI33" s="97">
        <f t="shared" si="29"/>
        <v>2.247191011235955E-2</v>
      </c>
      <c r="AJ33" s="97">
        <f t="shared" si="9"/>
        <v>1.3483146067415731E-2</v>
      </c>
      <c r="AK33" s="97"/>
    </row>
    <row r="34" spans="1:42" s="227" customFormat="1" ht="13.2">
      <c r="A34" s="260">
        <v>43164</v>
      </c>
      <c r="B34" s="224">
        <f>COUNTIFS('Tracking List'!$D$5:$D$650,"BET",'Tracking List'!$W$5:$W$650,"&lt;=2018/3/5")</f>
        <v>8</v>
      </c>
      <c r="C34" s="224">
        <f>COUNTIFS('Tracking List'!$D$5:$D$650,"BET",'Tracking List'!$X$5:$X$650,"&lt;=2018/3/5")</f>
        <v>6</v>
      </c>
      <c r="D34" s="225">
        <f>COUNTIFS('Tracking List'!$D$5:$D$650,"BET",'Tracking List'!$Y$5:$Y$650,"&lt;=2018/3/5")</f>
        <v>0</v>
      </c>
      <c r="E34" s="226">
        <f>C34/$B$2</f>
        <v>5.7692307692307696E-2</v>
      </c>
      <c r="F34" s="226">
        <f>D34/$B$2</f>
        <v>0</v>
      </c>
      <c r="G34" s="224">
        <f>COUNTIFS('Tracking List'!$D$5:$D$650,"BIW",'Tracking List'!$W$5:$W$650,"&lt;=2018/3/5")</f>
        <v>0</v>
      </c>
      <c r="H34" s="224">
        <f>COUNTIFS('Tracking List'!$D$5:$D$650,"BIW",'Tracking List'!$X$5:$X$650,"&lt;=2018/3/5")</f>
        <v>0</v>
      </c>
      <c r="I34" s="224">
        <f>COUNTIFS('Tracking List'!$D$5:$D$650,"BIW",'Tracking List'!$Y$5:$Y$650,"&lt;=2018/3/5")</f>
        <v>0</v>
      </c>
      <c r="J34" s="226">
        <f>H34/$G$2</f>
        <v>0</v>
      </c>
      <c r="K34" s="226">
        <f>I34/$G$2</f>
        <v>0</v>
      </c>
      <c r="L34" s="224">
        <f>COUNTIFS('Tracking List'!$D$5:$D$650,"BIT",'Tracking List'!$W$5:$W$650,"&lt;=2018/3/5")</f>
        <v>0</v>
      </c>
      <c r="M34" s="224">
        <f>COUNTIFS('Tracking List'!$D$5:$D$650,"BIT",'Tracking List'!$X$5:$X$650,"&lt;=2018/3/5")</f>
        <v>0</v>
      </c>
      <c r="N34" s="224">
        <f>COUNTIFS('Tracking List'!$D$5:$D$650,"BIT",'Tracking List'!$Y$5:$Y$650,"&lt;=2018/3/5")</f>
        <v>2</v>
      </c>
      <c r="O34" s="226">
        <f>M34/$L$2</f>
        <v>0</v>
      </c>
      <c r="P34" s="226">
        <f>N34/$L$2</f>
        <v>1.7391304347826087E-2</v>
      </c>
      <c r="Q34" s="224">
        <f>COUNTIFS('Tracking List'!$D$5:$D$650,"CHS",'Tracking List'!$W$5:$W$650,"&lt;=2018/3/5")</f>
        <v>2</v>
      </c>
      <c r="R34" s="224">
        <f>COUNTIFS('Tracking List'!$D$5:$D$650,"CHS",'Tracking List'!$X$5:$X$650,"&lt;=2018/3/5")</f>
        <v>0</v>
      </c>
      <c r="S34" s="224">
        <f>COUNTIFS('Tracking List'!$D$5:$D$650,"CHS",'Tracking List'!$Y$5:$Y$650,"&lt;=2018/3/5")</f>
        <v>0</v>
      </c>
      <c r="T34" s="226">
        <f>R34/$Q$2</f>
        <v>0</v>
      </c>
      <c r="U34" s="226">
        <f>S34/$Q$2</f>
        <v>0</v>
      </c>
      <c r="V34" s="224">
        <f>COUNTIFS('Tracking List'!$D$5:$D$650,"PT",'Tracking List'!$W$5:$W$650,"&lt;=2018/3/5")</f>
        <v>0</v>
      </c>
      <c r="W34" s="224">
        <f>COUNTIFS('Tracking List'!$D$5:$D$650,"PT",'Tracking List'!$X$5:$X$650,"&lt;=2018/3/5")</f>
        <v>0</v>
      </c>
      <c r="X34" s="224">
        <f>COUNTIFS('Tracking List'!$D$5:$D$650,"PT",'Tracking List'!$Y$5:$Y$650,"&lt;=2018/3/5")</f>
        <v>0</v>
      </c>
      <c r="Y34" s="226">
        <f>W34/$V$2</f>
        <v>0</v>
      </c>
      <c r="Z34" s="226">
        <f>X34/$V$2</f>
        <v>0</v>
      </c>
      <c r="AA34" s="224">
        <f>COUNTIFS('Tracking List'!$D$5:$D$650,"EESE",'Tracking List'!$W$5:$W$650,"&lt;=2018/3/5")</f>
        <v>0</v>
      </c>
      <c r="AB34" s="224">
        <f>COUNTIFS('Tracking List'!$D$5:$D$650,"EESE",'Tracking List'!$X$5:$X$650,"&lt;=2018/3/5")</f>
        <v>0</v>
      </c>
      <c r="AC34" s="224">
        <f>COUNTIFS('Tracking List'!$D$5:$D$650,"EESE",'Tracking List'!$Y$5:$Y$650,"&lt;=2018/3/5")</f>
        <v>0</v>
      </c>
      <c r="AD34" s="226">
        <f>AB34/$AA$2</f>
        <v>0</v>
      </c>
      <c r="AE34" s="226">
        <f>AC34/$AA$2</f>
        <v>0</v>
      </c>
      <c r="AF34" s="224">
        <f>B34+G34+L34+Q34+V34+AA34</f>
        <v>10</v>
      </c>
      <c r="AG34" s="224">
        <f>C34+H34+M34+R34+W34+AB34</f>
        <v>6</v>
      </c>
      <c r="AH34" s="224">
        <f>D34+I34+N34+S34+X34+AC34</f>
        <v>2</v>
      </c>
      <c r="AI34" s="226">
        <f>AF34/$AF$2</f>
        <v>2.247191011235955E-2</v>
      </c>
      <c r="AJ34" s="226">
        <f>AG34/$AF$2</f>
        <v>1.3483146067415731E-2</v>
      </c>
      <c r="AK34" s="226"/>
    </row>
    <row r="35" spans="1:42" ht="13.2">
      <c r="A35" s="258">
        <v>43168</v>
      </c>
      <c r="B35" s="96">
        <f>COUNTIFS('Tracking List'!$D$5:$D$650,"BET",'Tracking List'!$W$5:$W$650,"&lt;2018/3/10")</f>
        <v>8</v>
      </c>
      <c r="C35" s="96">
        <f>COUNTIFS('Tracking List'!$D$5:$D$650,"BET",'Tracking List'!$X$5:$X$650,"&lt;2018/3/10")</f>
        <v>6</v>
      </c>
      <c r="D35" s="101">
        <f>COUNTIFS('Tracking List'!$D$5:$D$650,"BET",'Tracking List'!$Y$5:$Y$650,"&lt;2018/3/10")</f>
        <v>0</v>
      </c>
      <c r="E35" s="97">
        <f t="shared" si="30"/>
        <v>5.7692307692307696E-2</v>
      </c>
      <c r="F35" s="97">
        <f t="shared" si="30"/>
        <v>0</v>
      </c>
      <c r="G35" s="96">
        <f>COUNTIFS('Tracking List'!$D$5:$D$650,"BIW",'Tracking List'!$W$5:$W$650,"&lt;2018/3/10")</f>
        <v>0</v>
      </c>
      <c r="H35" s="96">
        <f>COUNTIFS('Tracking List'!$D$5:$D$650,"BIW",'Tracking List'!$X$5:$X$650,"&lt;2018/3/10")</f>
        <v>0</v>
      </c>
      <c r="I35" s="96">
        <f>COUNTIFS('Tracking List'!$D$5:$D$650,"BIW",'Tracking List'!$Y$5:$Y$650,"&lt;2018/3/10")</f>
        <v>0</v>
      </c>
      <c r="J35" s="97">
        <f t="shared" si="27"/>
        <v>0</v>
      </c>
      <c r="K35" s="97">
        <f t="shared" si="27"/>
        <v>0</v>
      </c>
      <c r="L35" s="96">
        <f>COUNTIFS('Tracking List'!$D$5:$D$650,"BIT",'Tracking List'!$W$5:$W$650,"&lt;2018/3/10")</f>
        <v>0</v>
      </c>
      <c r="M35" s="96">
        <f>COUNTIFS('Tracking List'!$D$5:$D$650,"BIT",'Tracking List'!$X$5:$X$650,"&lt;2018/3/10")</f>
        <v>0</v>
      </c>
      <c r="N35" s="96">
        <f>COUNTIFS('Tracking List'!$D$5:$D$650,"BIT",'Tracking List'!$Y$5:$Y$650,"&lt;2018/3/10")</f>
        <v>2</v>
      </c>
      <c r="O35" s="97">
        <f t="shared" si="31"/>
        <v>0</v>
      </c>
      <c r="P35" s="97">
        <f t="shared" si="31"/>
        <v>1.7391304347826087E-2</v>
      </c>
      <c r="Q35" s="96">
        <f>COUNTIFS('Tracking List'!$D$5:$D$650,"CHS",'Tracking List'!$W$5:$W$650,"&lt;2018/3/10")</f>
        <v>2</v>
      </c>
      <c r="R35" s="96">
        <f>COUNTIFS('Tracking List'!$D$5:$D$650,"CHS",'Tracking List'!$X$5:$X$650,"&lt;2018/3/10")</f>
        <v>0</v>
      </c>
      <c r="S35" s="96">
        <f>COUNTIFS('Tracking List'!$D$5:$D$650,"CHS",'Tracking List'!$Y$5:$Y$650,"&lt;2018/3/10")</f>
        <v>0</v>
      </c>
      <c r="T35" s="97">
        <f t="shared" si="32"/>
        <v>0</v>
      </c>
      <c r="U35" s="97">
        <f t="shared" si="32"/>
        <v>0</v>
      </c>
      <c r="V35" s="96">
        <f>COUNTIFS('Tracking List'!$D$5:$D$650,"PT",'Tracking List'!$W$5:$W$650,"&lt;2018/3/10")</f>
        <v>0</v>
      </c>
      <c r="W35" s="96">
        <f>COUNTIFS('Tracking List'!$D$5:$D$650,"PT",'Tracking List'!$X$5:$X$650,"&lt;2018/3/10")</f>
        <v>0</v>
      </c>
      <c r="X35" s="96">
        <f>COUNTIFS('Tracking List'!$D$5:$D$650,"PT",'Tracking List'!$Y$5:$Y$650,"&lt;2018/3/10")</f>
        <v>0</v>
      </c>
      <c r="Y35" s="97">
        <f t="shared" si="33"/>
        <v>0</v>
      </c>
      <c r="Z35" s="97">
        <f t="shared" si="33"/>
        <v>0</v>
      </c>
      <c r="AA35" s="96">
        <f>COUNTIFS('Tracking List'!$D$5:$D$650,"EESE",'Tracking List'!$W$5:$W$650,"&lt;2018/3/10")</f>
        <v>0</v>
      </c>
      <c r="AB35" s="96">
        <f>COUNTIFS('Tracking List'!$D$5:$D$650,"EESE",'Tracking List'!$X$5:$X$650,"&lt;2018/3/10")</f>
        <v>0</v>
      </c>
      <c r="AC35" s="96">
        <f>COUNTIFS('Tracking List'!$D$5:$D$650,"EESE",'Tracking List'!$Y$5:$Y$650,"&lt;2018/3/10")</f>
        <v>0</v>
      </c>
      <c r="AD35" s="97">
        <f t="shared" si="34"/>
        <v>0</v>
      </c>
      <c r="AE35" s="97">
        <f t="shared" si="34"/>
        <v>0</v>
      </c>
      <c r="AF35" s="96">
        <f t="shared" si="28"/>
        <v>10</v>
      </c>
      <c r="AG35" s="96">
        <f t="shared" si="28"/>
        <v>6</v>
      </c>
      <c r="AH35" s="96">
        <f t="shared" si="28"/>
        <v>2</v>
      </c>
      <c r="AI35" s="97">
        <f t="shared" si="29"/>
        <v>2.247191011235955E-2</v>
      </c>
      <c r="AJ35" s="97">
        <f t="shared" si="9"/>
        <v>1.3483146067415731E-2</v>
      </c>
      <c r="AK35" s="97"/>
    </row>
    <row r="36" spans="1:42" ht="13.2">
      <c r="A36" s="258">
        <v>43175</v>
      </c>
      <c r="B36" s="96">
        <f>COUNTIFS('Tracking List'!$D$5:$D$650,"BET",'Tracking List'!$W$5:$W$650,"&lt;2018/3/17")</f>
        <v>8</v>
      </c>
      <c r="C36" s="96">
        <f>COUNTIFS('Tracking List'!$D$5:$D$650,"BET",'Tracking List'!$X$5:$X$650,"&lt;2018/3/17")</f>
        <v>6</v>
      </c>
      <c r="D36" s="101">
        <f>COUNTIFS('Tracking List'!$D$5:$D$650,"BET",'Tracking List'!$Y$5:$Y$650,"&lt;2018/3/17")</f>
        <v>0</v>
      </c>
      <c r="E36" s="97">
        <f t="shared" si="30"/>
        <v>5.7692307692307696E-2</v>
      </c>
      <c r="F36" s="97">
        <f t="shared" si="30"/>
        <v>0</v>
      </c>
      <c r="G36" s="96">
        <f>COUNTIFS('Tracking List'!$D$5:$D$650,"BIW",'Tracking List'!$W$5:$W$650,"&lt;2018/3/17")</f>
        <v>0</v>
      </c>
      <c r="H36" s="96">
        <f>COUNTIFS('Tracking List'!$D$5:$D$650,"BIW",'Tracking List'!$X$5:$X$650,"&lt;2018/3/17")</f>
        <v>0</v>
      </c>
      <c r="I36" s="96">
        <f>COUNTIFS('Tracking List'!$D$5:$D$650,"BIW",'Tracking List'!$Y$5:$Y$650,"&lt;2018/3/17")</f>
        <v>0</v>
      </c>
      <c r="J36" s="97">
        <f t="shared" si="27"/>
        <v>0</v>
      </c>
      <c r="K36" s="97">
        <f t="shared" si="27"/>
        <v>0</v>
      </c>
      <c r="L36" s="96">
        <f>COUNTIFS('Tracking List'!$D$5:$D$650,"BIT",'Tracking List'!$W$5:$W$650,"&lt;2018/3/17")</f>
        <v>0</v>
      </c>
      <c r="M36" s="96">
        <f>COUNTIFS('Tracking List'!$D$5:$D$650,"BIT",'Tracking List'!$X$5:$X$650,"&lt;2018/3/17")</f>
        <v>0</v>
      </c>
      <c r="N36" s="96">
        <f>COUNTIFS('Tracking List'!$D$5:$D$650,"BIT",'Tracking List'!$Y$5:$Y$650,"&lt;2018/3/17")</f>
        <v>2</v>
      </c>
      <c r="O36" s="97">
        <f t="shared" si="31"/>
        <v>0</v>
      </c>
      <c r="P36" s="97">
        <f t="shared" si="31"/>
        <v>1.7391304347826087E-2</v>
      </c>
      <c r="Q36" s="96">
        <f>COUNTIFS('Tracking List'!$D$5:$D$650,"CHS",'Tracking List'!$W$5:$W$650,"&lt;2018/3/17")</f>
        <v>2</v>
      </c>
      <c r="R36" s="96">
        <f>COUNTIFS('Tracking List'!$D$5:$D$650,"CHS",'Tracking List'!$X$5:$X$650,"&lt;2018/3/17")</f>
        <v>0</v>
      </c>
      <c r="S36" s="96">
        <f>COUNTIFS('Tracking List'!$D$5:$D$650,"CHS",'Tracking List'!$Y$5:$Y$650,"&lt;2018/3/17")</f>
        <v>0</v>
      </c>
      <c r="T36" s="97">
        <f t="shared" si="32"/>
        <v>0</v>
      </c>
      <c r="U36" s="97">
        <f t="shared" si="32"/>
        <v>0</v>
      </c>
      <c r="V36" s="96">
        <f>COUNTIFS('Tracking List'!$D$5:$D$650,"PT",'Tracking List'!$W$5:$W$650,"&lt;2018/3/17")</f>
        <v>0</v>
      </c>
      <c r="W36" s="96">
        <f>COUNTIFS('Tracking List'!$D$5:$D$650,"PT",'Tracking List'!$X$5:$X$650,"&lt;2018/3/17")</f>
        <v>0</v>
      </c>
      <c r="X36" s="96">
        <f>COUNTIFS('Tracking List'!$D$5:$D$650,"PT",'Tracking List'!$Y$5:$Y$650,"&lt;2018/3/17")</f>
        <v>0</v>
      </c>
      <c r="Y36" s="97">
        <f t="shared" si="33"/>
        <v>0</v>
      </c>
      <c r="Z36" s="97">
        <f t="shared" si="33"/>
        <v>0</v>
      </c>
      <c r="AA36" s="96">
        <f>COUNTIFS('Tracking List'!$D$5:$D$650,"EESE",'Tracking List'!$W$5:$W$650,"&lt;2018/3/17")</f>
        <v>0</v>
      </c>
      <c r="AB36" s="96">
        <f>COUNTIFS('Tracking List'!$D$5:$D$650,"EESE",'Tracking List'!$X$5:$X$650,"&lt;2018/3/17")</f>
        <v>0</v>
      </c>
      <c r="AC36" s="96">
        <f>COUNTIFS('Tracking List'!$D$5:$D$650,"EESE",'Tracking List'!$Y$5:$Y$650,"&lt;2018/3/17")</f>
        <v>0</v>
      </c>
      <c r="AD36" s="97">
        <f t="shared" si="34"/>
        <v>0</v>
      </c>
      <c r="AE36" s="97">
        <f t="shared" si="34"/>
        <v>0</v>
      </c>
      <c r="AF36" s="96">
        <f t="shared" si="28"/>
        <v>10</v>
      </c>
      <c r="AG36" s="96">
        <f t="shared" si="28"/>
        <v>6</v>
      </c>
      <c r="AH36" s="96">
        <f t="shared" si="28"/>
        <v>2</v>
      </c>
      <c r="AI36" s="97">
        <f t="shared" si="29"/>
        <v>2.247191011235955E-2</v>
      </c>
      <c r="AJ36" s="97">
        <f t="shared" si="9"/>
        <v>1.3483146067415731E-2</v>
      </c>
      <c r="AK36" s="97"/>
    </row>
    <row r="37" spans="1:42" ht="13.2">
      <c r="A37" s="258">
        <v>43182</v>
      </c>
      <c r="B37" s="96">
        <f>COUNTIFS('Tracking List'!$D$5:$D$650,"BET",'Tracking List'!$W$5:$W$650,"&lt;2018/3/24")</f>
        <v>8</v>
      </c>
      <c r="C37" s="96">
        <f>COUNTIFS('Tracking List'!$D$5:$D$650,"BET",'Tracking List'!$X$5:$X$650,"&lt;2018/3/24")</f>
        <v>6</v>
      </c>
      <c r="D37" s="101">
        <f>COUNTIFS('Tracking List'!$D$5:$D$650,"BET",'Tracking List'!$Y$5:$Y$650,"&lt;2018/3/24")</f>
        <v>0</v>
      </c>
      <c r="E37" s="97">
        <f t="shared" si="30"/>
        <v>5.7692307692307696E-2</v>
      </c>
      <c r="F37" s="97">
        <f t="shared" si="30"/>
        <v>0</v>
      </c>
      <c r="G37" s="96">
        <f>COUNTIFS('Tracking List'!$D$5:$D$650,"BIW",'Tracking List'!$W$5:$W$650,"&lt;2018/3/24")</f>
        <v>0</v>
      </c>
      <c r="H37" s="96">
        <f>COUNTIFS('Tracking List'!$D$5:$D$650,"BIW",'Tracking List'!$X$5:$X$650,"&lt;2018/3/24")</f>
        <v>0</v>
      </c>
      <c r="I37" s="96">
        <f>COUNTIFS('Tracking List'!$D$5:$D$650,"BIW",'Tracking List'!$Y$5:$Y$650,"&lt;2018/3/24")</f>
        <v>0</v>
      </c>
      <c r="J37" s="97">
        <f t="shared" si="27"/>
        <v>0</v>
      </c>
      <c r="K37" s="97">
        <f t="shared" si="27"/>
        <v>0</v>
      </c>
      <c r="L37" s="96">
        <f>COUNTIFS('Tracking List'!$D$5:$D$650,"BIT",'Tracking List'!$W$5:$W$650,"&lt;2018/3/24")</f>
        <v>0</v>
      </c>
      <c r="M37" s="96">
        <f>COUNTIFS('Tracking List'!$D$5:$D$650,"BIT",'Tracking List'!$X$5:$X$650,"&lt;2018/3/24")</f>
        <v>0</v>
      </c>
      <c r="N37" s="96">
        <f>COUNTIFS('Tracking List'!$D$5:$D$650,"BIT",'Tracking List'!$Y$5:$Y$650,"&lt;2018/3/24")</f>
        <v>2</v>
      </c>
      <c r="O37" s="97">
        <f t="shared" si="31"/>
        <v>0</v>
      </c>
      <c r="P37" s="97">
        <f t="shared" si="31"/>
        <v>1.7391304347826087E-2</v>
      </c>
      <c r="Q37" s="96">
        <f>COUNTIFS('Tracking List'!$D$5:$D$650,"CHS",'Tracking List'!$W$5:$W$650,"&lt;2018/3/24")</f>
        <v>2</v>
      </c>
      <c r="R37" s="96">
        <f>COUNTIFS('Tracking List'!$D$5:$D$650,"CHS",'Tracking List'!$X$5:$X$650,"&lt;2018/3/24")</f>
        <v>0</v>
      </c>
      <c r="S37" s="96">
        <f>COUNTIFS('Tracking List'!$D$5:$D$650,"CHS",'Tracking List'!$Y$5:$Y$650,"&lt;2018/3/24")</f>
        <v>0</v>
      </c>
      <c r="T37" s="97">
        <f t="shared" si="32"/>
        <v>0</v>
      </c>
      <c r="U37" s="97">
        <f t="shared" si="32"/>
        <v>0</v>
      </c>
      <c r="V37" s="96">
        <f>COUNTIFS('Tracking List'!$D$5:$D$650,"PT",'Tracking List'!$W$5:$W$650,"&lt;2018/3/24")</f>
        <v>0</v>
      </c>
      <c r="W37" s="96">
        <f>COUNTIFS('Tracking List'!$D$5:$D$650,"PT",'Tracking List'!$X$5:$X$650,"&lt;2018/3/24")</f>
        <v>0</v>
      </c>
      <c r="X37" s="96">
        <f>COUNTIFS('Tracking List'!$D$5:$D$650,"PT",'Tracking List'!$Y$5:$Y$650,"&lt;2018/3/24")</f>
        <v>0</v>
      </c>
      <c r="Y37" s="97">
        <f t="shared" si="33"/>
        <v>0</v>
      </c>
      <c r="Z37" s="97">
        <f t="shared" si="33"/>
        <v>0</v>
      </c>
      <c r="AA37" s="96">
        <f>COUNTIFS('Tracking List'!$D$5:$D$650,"EESE",'Tracking List'!$W$5:$W$650,"&lt;2018/3/24")</f>
        <v>0</v>
      </c>
      <c r="AB37" s="96">
        <f>COUNTIFS('Tracking List'!$D$5:$D$650,"EESE",'Tracking List'!$X$5:$X$650,"&lt;2018/3/24")</f>
        <v>0</v>
      </c>
      <c r="AC37" s="96">
        <f>COUNTIFS('Tracking List'!$D$5:$D$650,"EESE",'Tracking List'!$Y$5:$Y$650,"&lt;2018/3/24")</f>
        <v>0</v>
      </c>
      <c r="AD37" s="97">
        <f t="shared" si="34"/>
        <v>0</v>
      </c>
      <c r="AE37" s="97">
        <f t="shared" si="34"/>
        <v>0</v>
      </c>
      <c r="AF37" s="96">
        <f t="shared" si="28"/>
        <v>10</v>
      </c>
      <c r="AG37" s="96">
        <f t="shared" si="28"/>
        <v>6</v>
      </c>
      <c r="AH37" s="96">
        <f t="shared" si="28"/>
        <v>2</v>
      </c>
      <c r="AI37" s="97">
        <f t="shared" si="29"/>
        <v>2.247191011235955E-2</v>
      </c>
      <c r="AJ37" s="97">
        <f t="shared" si="9"/>
        <v>1.3483146067415731E-2</v>
      </c>
      <c r="AK37" s="97"/>
    </row>
    <row r="38" spans="1:42" ht="13.2">
      <c r="A38" s="258">
        <v>43189</v>
      </c>
      <c r="B38" s="96">
        <f>COUNTIFS('Tracking List'!$D$5:$D$650,"BET",'Tracking List'!$W$5:$W$650,"&lt;2018/3/31")</f>
        <v>8</v>
      </c>
      <c r="C38" s="96">
        <f>COUNTIFS('Tracking List'!$D$5:$D$650,"BET",'Tracking List'!$X$5:$X$650,"&lt;2018/3/31")</f>
        <v>6</v>
      </c>
      <c r="D38" s="101">
        <f>COUNTIFS('Tracking List'!$D$5:$D$650,"BET",'Tracking List'!$Y$5:$Y$650,"&lt;2018/3/31")</f>
        <v>0</v>
      </c>
      <c r="E38" s="97">
        <f t="shared" si="30"/>
        <v>5.7692307692307696E-2</v>
      </c>
      <c r="F38" s="97">
        <f t="shared" si="30"/>
        <v>0</v>
      </c>
      <c r="G38" s="96">
        <f>COUNTIFS('Tracking List'!$D$5:$D$650,"BIW",'Tracking List'!$W$5:$W$650,"&lt;2018/3/31")</f>
        <v>0</v>
      </c>
      <c r="H38" s="96">
        <f>COUNTIFS('Tracking List'!$D$5:$D$650,"BIW",'Tracking List'!$X$5:$X$650,"&lt;2018/3/31")</f>
        <v>0</v>
      </c>
      <c r="I38" s="96">
        <f>COUNTIFS('Tracking List'!$D$5:$D$650,"BIW",'Tracking List'!$Y$5:$Y$650,"&lt;2018/3/31")</f>
        <v>0</v>
      </c>
      <c r="J38" s="97">
        <f t="shared" ref="J38:K42" si="35">H38/$G$2</f>
        <v>0</v>
      </c>
      <c r="K38" s="97">
        <f t="shared" si="35"/>
        <v>0</v>
      </c>
      <c r="L38" s="96">
        <f>COUNTIFS('Tracking List'!$D$5:$D$650,"BIT",'Tracking List'!$W$5:$W$650,"&lt;2018/3/31")</f>
        <v>0</v>
      </c>
      <c r="M38" s="96">
        <f>COUNTIFS('Tracking List'!$D$5:$D$650,"BIT",'Tracking List'!$X$5:$X$650,"&lt;2018/3/31")</f>
        <v>0</v>
      </c>
      <c r="N38" s="96">
        <f>COUNTIFS('Tracking List'!$D$5:$D$650,"BIT",'Tracking List'!$Y$5:$Y$650,"&lt;2018/3/31")</f>
        <v>2</v>
      </c>
      <c r="O38" s="97">
        <f t="shared" si="31"/>
        <v>0</v>
      </c>
      <c r="P38" s="97">
        <f t="shared" si="31"/>
        <v>1.7391304347826087E-2</v>
      </c>
      <c r="Q38" s="96">
        <f>COUNTIFS('Tracking List'!$D$5:$D$650,"CHS",'Tracking List'!$W$5:$W$650,"&lt;2018/3/31")</f>
        <v>8</v>
      </c>
      <c r="R38" s="96">
        <f>COUNTIFS('Tracking List'!$D$5:$D$650,"CHS",'Tracking List'!$X$5:$X$650,"&lt;2018/3/31")</f>
        <v>6</v>
      </c>
      <c r="S38" s="96">
        <f>COUNTIFS('Tracking List'!$D$5:$D$650,"CHS",'Tracking List'!$Y$5:$Y$650,"&lt;2018/3/31")</f>
        <v>0</v>
      </c>
      <c r="T38" s="97">
        <f t="shared" si="32"/>
        <v>0.2</v>
      </c>
      <c r="U38" s="97">
        <f t="shared" si="32"/>
        <v>0</v>
      </c>
      <c r="V38" s="96">
        <f>COUNTIFS('Tracking List'!$D$5:$D$650,"PT",'Tracking List'!$W$5:$W$650,"&lt;2018/3/31")</f>
        <v>0</v>
      </c>
      <c r="W38" s="96">
        <f>COUNTIFS('Tracking List'!$D$5:$D$650,"PT",'Tracking List'!$X$5:$X$650,"&lt;2018/3/31")</f>
        <v>0</v>
      </c>
      <c r="X38" s="96">
        <f>COUNTIFS('Tracking List'!$D$5:$D$650,"PT",'Tracking List'!$Y$5:$Y$650,"&lt;2018/3/31")</f>
        <v>0</v>
      </c>
      <c r="Y38" s="97">
        <f t="shared" si="33"/>
        <v>0</v>
      </c>
      <c r="Z38" s="97">
        <f t="shared" si="33"/>
        <v>0</v>
      </c>
      <c r="AA38" s="96">
        <f>COUNTIFS('Tracking List'!$D$5:$D$650,"EESE",'Tracking List'!$W$5:$W$650,"&lt;2018/3/31")</f>
        <v>0</v>
      </c>
      <c r="AB38" s="96">
        <f>COUNTIFS('Tracking List'!$D$5:$D$650,"EESE",'Tracking List'!$X$5:$X$650,"&lt;2018/3/31")</f>
        <v>0</v>
      </c>
      <c r="AC38" s="96">
        <f>COUNTIFS('Tracking List'!$D$5:$D$650,"EESE",'Tracking List'!$Y$5:$Y$650,"&lt;2018/3/31")</f>
        <v>0</v>
      </c>
      <c r="AD38" s="97">
        <f t="shared" si="34"/>
        <v>0</v>
      </c>
      <c r="AE38" s="97">
        <f t="shared" si="34"/>
        <v>0</v>
      </c>
      <c r="AF38" s="96">
        <f t="shared" ref="AF38:AH42" si="36">B38+G38+L38+Q38+V38+AA38</f>
        <v>16</v>
      </c>
      <c r="AG38" s="96">
        <f t="shared" si="36"/>
        <v>12</v>
      </c>
      <c r="AH38" s="96">
        <f t="shared" si="36"/>
        <v>2</v>
      </c>
      <c r="AI38" s="97">
        <f t="shared" si="29"/>
        <v>3.5955056179775284E-2</v>
      </c>
      <c r="AJ38" s="97">
        <f t="shared" si="29"/>
        <v>2.6966292134831461E-2</v>
      </c>
      <c r="AK38" s="97"/>
    </row>
    <row r="39" spans="1:42" ht="13.2">
      <c r="A39" s="258">
        <v>43220</v>
      </c>
      <c r="B39" s="96">
        <f>COUNTIFS('Tracking List'!$D$5:$D$650,"BET",'Tracking List'!$W$5:$W$650,"&lt;2018/4/30")</f>
        <v>11</v>
      </c>
      <c r="C39" s="96">
        <f>COUNTIFS('Tracking List'!$D$5:$D$650,"BET",'Tracking List'!$X$5:$X$650,"&lt;2018/4/30")</f>
        <v>8</v>
      </c>
      <c r="D39" s="101">
        <f>COUNTIFS('Tracking List'!$D$5:$D$650,"BET",'Tracking List'!$Y$5:$Y$650,"&lt;2018/4/30")</f>
        <v>0</v>
      </c>
      <c r="E39" s="97">
        <f t="shared" si="30"/>
        <v>7.6923076923076927E-2</v>
      </c>
      <c r="F39" s="97">
        <f t="shared" si="30"/>
        <v>0</v>
      </c>
      <c r="G39" s="96">
        <f>COUNTIFS('Tracking List'!$D$5:$D$650,"BIW",'Tracking List'!$W$5:$W$650,"&lt;2018/4/30")</f>
        <v>5</v>
      </c>
      <c r="H39" s="96">
        <f>COUNTIFS('Tracking List'!$D$5:$D$650,"BIW",'Tracking List'!$X$5:$X$650,"&lt;2018/4/30")</f>
        <v>0</v>
      </c>
      <c r="I39" s="96">
        <f>COUNTIFS('Tracking List'!$D$5:$D$650,"BIW",'Tracking List'!$Y$5:$Y$650,"&lt;2018/4/30")</f>
        <v>0</v>
      </c>
      <c r="J39" s="97">
        <f t="shared" si="35"/>
        <v>0</v>
      </c>
      <c r="K39" s="97">
        <f t="shared" si="35"/>
        <v>0</v>
      </c>
      <c r="L39" s="96">
        <f>COUNTIFS('Tracking List'!$D$5:$D$650,"BIT",'Tracking List'!$W$5:$W$650,"&lt;2018/4/30")</f>
        <v>0</v>
      </c>
      <c r="M39" s="96">
        <f>COUNTIFS('Tracking List'!$D$5:$D$650,"BIT",'Tracking List'!$X$5:$X$650,"&lt;2018/4/30")</f>
        <v>0</v>
      </c>
      <c r="N39" s="96">
        <f>COUNTIFS('Tracking List'!$D$5:$D$650,"BIT",'Tracking List'!$Y$5:$Y$650,"&lt;2018/4/30")</f>
        <v>2</v>
      </c>
      <c r="O39" s="97">
        <f t="shared" si="31"/>
        <v>0</v>
      </c>
      <c r="P39" s="97">
        <f t="shared" si="31"/>
        <v>1.7391304347826087E-2</v>
      </c>
      <c r="Q39" s="96">
        <f>COUNTIFS('Tracking List'!$D$5:$D$650,"CHS",'Tracking List'!$W$5:$W$650,"&lt;2018/4/30")</f>
        <v>8</v>
      </c>
      <c r="R39" s="96">
        <f>COUNTIFS('Tracking List'!$D$5:$D$650,"CHS",'Tracking List'!$X$5:$X$650,"&lt;2018/4/30")</f>
        <v>8</v>
      </c>
      <c r="S39" s="96">
        <f>COUNTIFS('Tracking List'!$D$5:$D$650,"CHS",'Tracking List'!$Y$5:$Y$650,"&lt;2018/4/30")</f>
        <v>0</v>
      </c>
      <c r="T39" s="97">
        <f t="shared" si="32"/>
        <v>0.26666666666666666</v>
      </c>
      <c r="U39" s="97">
        <f t="shared" si="32"/>
        <v>0</v>
      </c>
      <c r="V39" s="96">
        <f>COUNTIFS('Tracking List'!$D$5:$D$650,"PT",'Tracking List'!$W$5:$W$650,"&lt;2018/4/30")</f>
        <v>2</v>
      </c>
      <c r="W39" s="96">
        <f>COUNTIFS('Tracking List'!$D$5:$D$650,"PT",'Tracking List'!$X$5:$X$650,"&lt;2018/4/30")</f>
        <v>1</v>
      </c>
      <c r="X39" s="96">
        <f>COUNTIFS('Tracking List'!$D$5:$D$650,"PT",'Tracking List'!$Y$5:$Y$650,"&lt;2018/4/30")</f>
        <v>0</v>
      </c>
      <c r="Y39" s="97">
        <f t="shared" si="33"/>
        <v>2.5000000000000001E-2</v>
      </c>
      <c r="Z39" s="97">
        <f t="shared" si="33"/>
        <v>0</v>
      </c>
      <c r="AA39" s="96">
        <f>COUNTIFS('Tracking List'!$D$5:$D$650,"EESE",'Tracking List'!$W$5:$W$650,"&lt;2018/4/30")</f>
        <v>0</v>
      </c>
      <c r="AB39" s="96">
        <f>COUNTIFS('Tracking List'!$D$5:$D$650,"EESE",'Tracking List'!$X$5:$X$650,"&lt;2018/4/30")</f>
        <v>0</v>
      </c>
      <c r="AC39" s="96">
        <f>COUNTIFS('Tracking List'!$D$5:$D$650,"EESE",'Tracking List'!$Y$5:$Y$650,"&lt;2018/4/30")</f>
        <v>0</v>
      </c>
      <c r="AD39" s="97">
        <f t="shared" si="34"/>
        <v>0</v>
      </c>
      <c r="AE39" s="97">
        <f t="shared" si="34"/>
        <v>0</v>
      </c>
      <c r="AF39" s="96">
        <f t="shared" si="36"/>
        <v>26</v>
      </c>
      <c r="AG39" s="96">
        <f t="shared" si="36"/>
        <v>17</v>
      </c>
      <c r="AH39" s="96">
        <f t="shared" si="36"/>
        <v>2</v>
      </c>
      <c r="AI39" s="97">
        <f t="shared" ref="AI39:AJ42" si="37">AF39/$AF$2</f>
        <v>5.8426966292134834E-2</v>
      </c>
      <c r="AJ39" s="97">
        <f t="shared" si="37"/>
        <v>3.8202247191011236E-2</v>
      </c>
      <c r="AK39" s="97"/>
    </row>
    <row r="40" spans="1:42" s="227" customFormat="1" ht="13.2">
      <c r="A40" s="260">
        <v>43222</v>
      </c>
      <c r="B40" s="224">
        <f>COUNTIFS('Tracking List'!$D$5:$D$650,"BET",'Tracking List'!$W$5:$W$650,"&lt;=2018/5/2")</f>
        <v>16</v>
      </c>
      <c r="C40" s="224">
        <f>COUNTIFS('Tracking List'!$D$5:$D$650,"BET",'Tracking List'!$X$5:$X$650,"&lt;=2018/5/2")</f>
        <v>13</v>
      </c>
      <c r="D40" s="225">
        <f>COUNTIFS('Tracking List'!$D$5:$D$650,"BET",'Tracking List'!$Y$5:$Y$650,"&lt;=2018/5/2")</f>
        <v>0</v>
      </c>
      <c r="E40" s="226">
        <f t="shared" si="30"/>
        <v>0.125</v>
      </c>
      <c r="F40" s="226">
        <f t="shared" si="30"/>
        <v>0</v>
      </c>
      <c r="G40" s="224">
        <f>COUNTIFS('Tracking List'!$D$5:$D$650,"BIW",'Tracking List'!$W$5:$W$650,"&lt;=2018/5/2")</f>
        <v>5</v>
      </c>
      <c r="H40" s="224">
        <f>COUNTIFS('Tracking List'!$D$5:$D$650,"BIW",'Tracking List'!$X$5:$X$650,"&lt;=2018/5/2")</f>
        <v>0</v>
      </c>
      <c r="I40" s="224">
        <f>COUNTIFS('Tracking List'!$D$5:$D$650,"BIW",'Tracking List'!$Y$5:$Y$650,"&lt;=2018/5/2")</f>
        <v>0</v>
      </c>
      <c r="J40" s="226">
        <f t="shared" si="35"/>
        <v>0</v>
      </c>
      <c r="K40" s="226">
        <f t="shared" si="35"/>
        <v>0</v>
      </c>
      <c r="L40" s="224">
        <f>COUNTIFS('Tracking List'!$D$5:$D$650,"BIT",'Tracking List'!$W$5:$W$650,"&lt;=2018/5/2")</f>
        <v>0</v>
      </c>
      <c r="M40" s="224">
        <f>COUNTIFS('Tracking List'!$D$5:$D$650,"BIT",'Tracking List'!$X$5:$X$650,"&lt;=2018/5/2")</f>
        <v>0</v>
      </c>
      <c r="N40" s="224">
        <f>COUNTIFS('Tracking List'!$D$5:$D$650,"BIT",'Tracking List'!$Y$5:$Y$650,"&lt;=2018/5/2")</f>
        <v>2</v>
      </c>
      <c r="O40" s="226">
        <f t="shared" si="31"/>
        <v>0</v>
      </c>
      <c r="P40" s="226">
        <f t="shared" si="31"/>
        <v>1.7391304347826087E-2</v>
      </c>
      <c r="Q40" s="224">
        <f>COUNTIFS('Tracking List'!$D$5:$D$650,"CHS",'Tracking List'!$W$5:$W$650,"&lt;=2018/5/2")</f>
        <v>8</v>
      </c>
      <c r="R40" s="224">
        <f>COUNTIFS('Tracking List'!$D$5:$D$650,"CHS",'Tracking List'!$X$5:$X$650,"&lt;=2018/5/2")</f>
        <v>8</v>
      </c>
      <c r="S40" s="224">
        <f>COUNTIFS('Tracking List'!$D$5:$D$650,"CHS",'Tracking List'!$Y$5:$Y$650,"&lt;=2018/5/2")</f>
        <v>0</v>
      </c>
      <c r="T40" s="226">
        <f t="shared" si="32"/>
        <v>0.26666666666666666</v>
      </c>
      <c r="U40" s="226">
        <f t="shared" si="32"/>
        <v>0</v>
      </c>
      <c r="V40" s="224">
        <f>COUNTIFS('Tracking List'!$D$5:$D$650,"PT",'Tracking List'!$W$5:$W$650,"&lt;=2018/5/2")</f>
        <v>4</v>
      </c>
      <c r="W40" s="224">
        <f>COUNTIFS('Tracking List'!$D$5:$D$650,"PT",'Tracking List'!$X$5:$X$650,"&lt;=2018/5/2")</f>
        <v>3</v>
      </c>
      <c r="X40" s="224">
        <f>COUNTIFS('Tracking List'!$D$5:$D$650,"PT",'Tracking List'!$Y$5:$Y$650,"&lt;=2018/5/2")</f>
        <v>0</v>
      </c>
      <c r="Y40" s="226">
        <f t="shared" si="33"/>
        <v>7.4999999999999997E-2</v>
      </c>
      <c r="Z40" s="226">
        <f t="shared" si="33"/>
        <v>0</v>
      </c>
      <c r="AA40" s="224">
        <f>COUNTIFS('Tracking List'!$D$5:$D$650,"EESE",'Tracking List'!$W$5:$W$650,"&lt;=2018/5/2")</f>
        <v>1</v>
      </c>
      <c r="AB40" s="224">
        <f>COUNTIFS('Tracking List'!$D$5:$D$650,"EESE",'Tracking List'!$X$5:$X$650,"&lt;=2018/5/2")</f>
        <v>1</v>
      </c>
      <c r="AC40" s="224">
        <f>COUNTIFS('Tracking List'!$D$5:$D$650,"EESE",'Tracking List'!$Y$5:$Y$650,"&lt;=2018/5/2")</f>
        <v>0</v>
      </c>
      <c r="AD40" s="226">
        <f t="shared" si="34"/>
        <v>7.3529411764705881E-3</v>
      </c>
      <c r="AE40" s="226">
        <f t="shared" si="34"/>
        <v>0</v>
      </c>
      <c r="AF40" s="224">
        <f t="shared" si="36"/>
        <v>34</v>
      </c>
      <c r="AG40" s="224">
        <f t="shared" si="36"/>
        <v>25</v>
      </c>
      <c r="AH40" s="224">
        <f t="shared" si="36"/>
        <v>2</v>
      </c>
      <c r="AI40" s="226">
        <f t="shared" si="37"/>
        <v>7.6404494382022473E-2</v>
      </c>
      <c r="AJ40" s="226">
        <f t="shared" si="37"/>
        <v>5.6179775280898875E-2</v>
      </c>
      <c r="AK40" s="226"/>
    </row>
    <row r="41" spans="1:42" s="227" customFormat="1" ht="13.2">
      <c r="A41" s="260">
        <v>43235</v>
      </c>
      <c r="B41" s="224">
        <f>COUNTIFS('Tracking List'!$D$5:$D$650,"BET",'Tracking List'!$W$5:$W$650,"&lt;=2018/5/15")</f>
        <v>16</v>
      </c>
      <c r="C41" s="224">
        <f>COUNTIFS('Tracking List'!$D$5:$D$650,"BET",'Tracking List'!$X$5:$X$650,"&lt;=2018/5/15")</f>
        <v>15</v>
      </c>
      <c r="D41" s="225">
        <f>COUNTIFS('Tracking List'!$D$5:$D$650,"BET",'Tracking List'!$Y$5:$Y$650,"&lt;=2018/5/15")</f>
        <v>0</v>
      </c>
      <c r="E41" s="226">
        <f t="shared" si="30"/>
        <v>0.14423076923076922</v>
      </c>
      <c r="F41" s="226">
        <f t="shared" si="30"/>
        <v>0</v>
      </c>
      <c r="G41" s="224">
        <f>COUNTIFS('Tracking List'!$D$5:$D$650,"BIW",'Tracking List'!$W$5:$W$650,"&lt;=2018/5/15")</f>
        <v>20</v>
      </c>
      <c r="H41" s="224">
        <f>COUNTIFS('Tracking List'!$D$5:$D$650,"BIW",'Tracking List'!$X$5:$X$650,"&lt;=2018/5/15")</f>
        <v>15</v>
      </c>
      <c r="I41" s="224">
        <f>COUNTIFS('Tracking List'!$D$5:$D$650,"BIW",'Tracking List'!$Y$5:$Y$650,"&lt;=2018/5/15")</f>
        <v>0</v>
      </c>
      <c r="J41" s="226">
        <f t="shared" si="35"/>
        <v>0.75</v>
      </c>
      <c r="K41" s="226">
        <f t="shared" si="35"/>
        <v>0</v>
      </c>
      <c r="L41" s="224">
        <f>COUNTIFS('Tracking List'!$D$5:$D$650,"BIT",'Tracking List'!$W$5:$W$650,"&lt;=2018/5/15")</f>
        <v>0</v>
      </c>
      <c r="M41" s="224">
        <f>COUNTIFS('Tracking List'!$D$5:$D$650,"BIT",'Tracking List'!$X$5:$X$650,"&lt;=2018/5/15")</f>
        <v>0</v>
      </c>
      <c r="N41" s="224">
        <f>COUNTIFS('Tracking List'!$D$5:$D$650,"BIT",'Tracking List'!$Y$5:$Y$650,"&lt;=2018/5/15")</f>
        <v>2</v>
      </c>
      <c r="O41" s="226">
        <f t="shared" si="31"/>
        <v>0</v>
      </c>
      <c r="P41" s="226">
        <f t="shared" si="31"/>
        <v>1.7391304347826087E-2</v>
      </c>
      <c r="Q41" s="224">
        <f>COUNTIFS('Tracking List'!$D$5:$D$650,"CHS",'Tracking List'!$W$5:$W$650,"&lt;=2018/5/15")</f>
        <v>8</v>
      </c>
      <c r="R41" s="224">
        <f>COUNTIFS('Tracking List'!$D$5:$D$650,"CHS",'Tracking List'!$X$5:$X$650,"&lt;=2018/5/15")</f>
        <v>8</v>
      </c>
      <c r="S41" s="224">
        <f>COUNTIFS('Tracking List'!$D$5:$D$650,"CHS",'Tracking List'!$Y$5:$Y$650,"&lt;=2018/5/15")</f>
        <v>0</v>
      </c>
      <c r="T41" s="226">
        <f t="shared" si="32"/>
        <v>0.26666666666666666</v>
      </c>
      <c r="U41" s="226">
        <f t="shared" si="32"/>
        <v>0</v>
      </c>
      <c r="V41" s="224">
        <f>COUNTIFS('Tracking List'!$D$5:$D$650,"PT",'Tracking List'!$W$5:$W$650,"&lt;=2018/5/15")</f>
        <v>5</v>
      </c>
      <c r="W41" s="224">
        <f>COUNTIFS('Tracking List'!$D$5:$D$650,"PT",'Tracking List'!$X$5:$X$650,"&lt;=2018/5/15")</f>
        <v>3</v>
      </c>
      <c r="X41" s="224">
        <f>COUNTIFS('Tracking List'!$D$5:$D$650,"PT",'Tracking List'!$Y$5:$Y$650,"&lt;=2018/5/15")</f>
        <v>0</v>
      </c>
      <c r="Y41" s="226">
        <f t="shared" si="33"/>
        <v>7.4999999999999997E-2</v>
      </c>
      <c r="Z41" s="226">
        <f t="shared" si="33"/>
        <v>0</v>
      </c>
      <c r="AA41" s="224">
        <f>COUNTIFS('Tracking List'!$D$5:$D$650,"EESE",'Tracking List'!$W$5:$W$650,"&lt;=2018/5/15")</f>
        <v>6</v>
      </c>
      <c r="AB41" s="224">
        <f>COUNTIFS('Tracking List'!$D$5:$D$650,"EESE",'Tracking List'!$X$5:$X$650,"&lt;=2018/5/15")</f>
        <v>6</v>
      </c>
      <c r="AC41" s="224">
        <f>COUNTIFS('Tracking List'!$D$5:$D$650,"EESE",'Tracking List'!$Y$5:$Y$650,"&lt;=2018/5/15")</f>
        <v>0</v>
      </c>
      <c r="AD41" s="226">
        <f t="shared" si="34"/>
        <v>4.4117647058823532E-2</v>
      </c>
      <c r="AE41" s="226">
        <f t="shared" si="34"/>
        <v>0</v>
      </c>
      <c r="AF41" s="224">
        <f t="shared" si="36"/>
        <v>55</v>
      </c>
      <c r="AG41" s="224">
        <f t="shared" si="36"/>
        <v>47</v>
      </c>
      <c r="AH41" s="224">
        <f t="shared" si="36"/>
        <v>2</v>
      </c>
      <c r="AI41" s="226">
        <f t="shared" si="37"/>
        <v>0.12359550561797752</v>
      </c>
      <c r="AJ41" s="226">
        <f t="shared" si="37"/>
        <v>0.10561797752808989</v>
      </c>
      <c r="AK41" s="226"/>
    </row>
    <row r="42" spans="1:42" ht="13.2">
      <c r="A42" s="258">
        <v>43251</v>
      </c>
      <c r="B42" s="96">
        <f>COUNTIFS('Tracking List'!$D$5:$D$650,"BET",'Tracking List'!$W$5:$W$650,"&lt;2018/12/12")</f>
        <v>104</v>
      </c>
      <c r="C42" s="96">
        <f>COUNTIFS('Tracking List'!$D$5:$D$650,"BET",'Tracking List'!$X$5:$X$650,"&lt;2018/12/12")</f>
        <v>105</v>
      </c>
      <c r="D42" s="101">
        <f>COUNTIFS('Tracking List'!$D$5:$D$650,"BET",'Tracking List'!$Y$5:$Y$650,"&lt;2018/12/12")</f>
        <v>0</v>
      </c>
      <c r="E42" s="97">
        <f t="shared" ref="E42:F42" si="38">C42/$B$2</f>
        <v>1.0096153846153846</v>
      </c>
      <c r="F42" s="97">
        <f t="shared" si="38"/>
        <v>0</v>
      </c>
      <c r="G42" s="96">
        <f>COUNTIFS('Tracking List'!$D$5:$D$650,"BIW",'Tracking List'!$W$5:$W$650,"&lt;2018/12/12")</f>
        <v>20</v>
      </c>
      <c r="H42" s="96">
        <f>COUNTIFS('Tracking List'!$D$5:$D$650,"BIW",'Tracking List'!$X$5:$X$650,"&lt;2018/12/12")</f>
        <v>20</v>
      </c>
      <c r="I42" s="96">
        <f>COUNTIFS('Tracking List'!$D$5:$D$650,"BIW",'Tracking List'!$Y$5:$Y$650,"&lt;2018/12/12")</f>
        <v>0</v>
      </c>
      <c r="J42" s="97">
        <f t="shared" si="35"/>
        <v>1</v>
      </c>
      <c r="K42" s="97">
        <f t="shared" si="35"/>
        <v>0</v>
      </c>
      <c r="L42" s="96">
        <f>COUNTIFS('Tracking List'!$D$5:$D$650,"BIT",'Tracking List'!$W$5:$W$650,"&lt;2018/12/12")</f>
        <v>115</v>
      </c>
      <c r="M42" s="96">
        <f>COUNTIFS('Tracking List'!$D$5:$D$650,"BIT",'Tracking List'!$X$5:$X$650,"&lt;2018/12/12")</f>
        <v>115</v>
      </c>
      <c r="N42" s="96">
        <f>COUNTIFS('Tracking List'!$D$5:$D$650,"BIT",'Tracking List'!$Y$5:$Y$650,"&lt;2018/12/12")</f>
        <v>2</v>
      </c>
      <c r="O42" s="97">
        <f t="shared" ref="O42:P42" si="39">M42/$L$2</f>
        <v>1</v>
      </c>
      <c r="P42" s="97">
        <f t="shared" si="39"/>
        <v>1.7391304347826087E-2</v>
      </c>
      <c r="Q42" s="96">
        <f>COUNTIFS('Tracking List'!$D$5:$D$650,"CHS",'Tracking List'!$W$5:$W$650,"&lt;2018/12/12")</f>
        <v>30</v>
      </c>
      <c r="R42" s="96">
        <f>COUNTIFS('Tracking List'!$D$5:$D$650,"CHS",'Tracking List'!$X$5:$X$650,"&lt;2018/12/12")</f>
        <v>30</v>
      </c>
      <c r="S42" s="96">
        <f>COUNTIFS('Tracking List'!$D$5:$D$650,"CHS",'Tracking List'!$Y$5:$Y$650,"&lt;2018/12/12")</f>
        <v>0</v>
      </c>
      <c r="T42" s="97">
        <f t="shared" ref="T42:U42" si="40">R42/$Q$2</f>
        <v>1</v>
      </c>
      <c r="U42" s="97">
        <f t="shared" si="40"/>
        <v>0</v>
      </c>
      <c r="V42" s="96">
        <f>COUNTIFS('Tracking List'!$D$5:$D$650,"PT",'Tracking List'!$W$5:$W$650,"&lt;2018/12/12")</f>
        <v>40</v>
      </c>
      <c r="W42" s="96">
        <f>COUNTIFS('Tracking List'!$D$5:$D$650,"PT",'Tracking List'!$X$5:$X$650,"&lt;2018/12/12")</f>
        <v>40</v>
      </c>
      <c r="X42" s="96">
        <f>COUNTIFS('Tracking List'!$D$5:$D$650,"PT",'Tracking List'!$Y$5:$Y$650,"&lt;2018/12/12")</f>
        <v>0</v>
      </c>
      <c r="Y42" s="97">
        <f>W42/E42</f>
        <v>39.61904761904762</v>
      </c>
      <c r="Z42" s="97">
        <f>X42/$V$2</f>
        <v>0</v>
      </c>
      <c r="AA42" s="96">
        <f>COUNTIFS('Tracking List'!$D$5:$D$650,"EESE",'Tracking List'!$W$5:$W$650,"&lt;2018/12/12")</f>
        <v>136</v>
      </c>
      <c r="AB42" s="96">
        <f>COUNTIFS('Tracking List'!$D$5:$D$650,"EESE",'Tracking List'!$X$5:$X$650,"&lt;2018/12/12")</f>
        <v>136</v>
      </c>
      <c r="AC42" s="96">
        <f>COUNTIFS('Tracking List'!$D$5:$D$650,"EESE",'Tracking List'!$Y$5:$Y$650,"&lt;2018/12/12")</f>
        <v>0</v>
      </c>
      <c r="AD42" s="97">
        <f t="shared" ref="AD42:AE42" si="41">AB42/$AA$2</f>
        <v>1</v>
      </c>
      <c r="AE42" s="97">
        <f t="shared" si="41"/>
        <v>0</v>
      </c>
      <c r="AF42" s="96">
        <f t="shared" si="36"/>
        <v>445</v>
      </c>
      <c r="AG42" s="96">
        <f t="shared" si="36"/>
        <v>446</v>
      </c>
      <c r="AH42" s="96">
        <f t="shared" si="36"/>
        <v>2</v>
      </c>
      <c r="AI42" s="97">
        <f t="shared" si="37"/>
        <v>1</v>
      </c>
      <c r="AJ42" s="97">
        <f t="shared" si="37"/>
        <v>1.002247191011236</v>
      </c>
      <c r="AK42" s="97"/>
    </row>
    <row r="48" spans="1:42">
      <c r="AL48" s="119"/>
      <c r="AM48" s="119"/>
      <c r="AN48" s="119"/>
      <c r="AO48" s="119"/>
      <c r="AP48" s="119"/>
    </row>
    <row r="49" spans="5:42">
      <c r="AK49" s="115"/>
      <c r="AN49" s="12"/>
      <c r="AO49" s="12"/>
    </row>
    <row r="50" spans="5:42">
      <c r="AI50" s="116"/>
      <c r="AJ50" s="116"/>
      <c r="AK50" s="117"/>
      <c r="AL50" s="117"/>
      <c r="AN50" s="117"/>
      <c r="AP50" s="116"/>
    </row>
    <row r="51" spans="5:42">
      <c r="G51" s="115"/>
      <c r="AI51" s="116"/>
      <c r="AJ51" s="116"/>
      <c r="AK51" s="117"/>
      <c r="AL51" s="118"/>
      <c r="AM51" s="117"/>
      <c r="AN51" s="118"/>
      <c r="AO51" s="118"/>
      <c r="AP51" s="118"/>
    </row>
    <row r="52" spans="5:42">
      <c r="E52" s="116"/>
      <c r="F52" s="116"/>
      <c r="G52" s="117"/>
      <c r="H52" s="117"/>
      <c r="I52" s="117"/>
      <c r="J52" s="116"/>
      <c r="AI52" s="116"/>
      <c r="AJ52" s="116"/>
      <c r="AK52" s="117"/>
      <c r="AL52" s="117"/>
      <c r="AM52" s="117"/>
      <c r="AN52" s="117"/>
      <c r="AO52" s="12"/>
      <c r="AP52" s="117"/>
    </row>
    <row r="53" spans="5:42">
      <c r="E53" s="116"/>
      <c r="F53" s="116"/>
      <c r="G53" s="117"/>
      <c r="H53" s="117"/>
      <c r="I53" s="117"/>
      <c r="J53" s="116"/>
      <c r="AF53" s="120"/>
      <c r="AI53" s="116"/>
      <c r="AJ53" s="116"/>
      <c r="AK53" s="117"/>
      <c r="AL53" s="117"/>
      <c r="AM53" s="117"/>
      <c r="AN53" s="117"/>
      <c r="AO53" s="12"/>
      <c r="AP53" s="117"/>
    </row>
    <row r="54" spans="5:42">
      <c r="E54" s="116"/>
      <c r="F54" s="116"/>
      <c r="G54" s="117"/>
      <c r="H54" s="117"/>
      <c r="I54" s="117"/>
      <c r="J54" s="116"/>
      <c r="AI54" s="116"/>
      <c r="AM54" s="117"/>
      <c r="AN54" s="117"/>
      <c r="AO54" s="12"/>
      <c r="AP54" s="117"/>
    </row>
    <row r="57" spans="5:42">
      <c r="AL57" s="119"/>
      <c r="AN57" s="119"/>
      <c r="AP57" s="119"/>
    </row>
    <row r="58" spans="5:42">
      <c r="AL58" s="119"/>
      <c r="AN58" s="119"/>
      <c r="AP58" s="119"/>
    </row>
    <row r="59" spans="5:42">
      <c r="AL59" s="119"/>
      <c r="AN59" s="119"/>
      <c r="AP59" s="119"/>
    </row>
    <row r="61" spans="5:42">
      <c r="AK61" s="124"/>
    </row>
    <row r="63" spans="5:42">
      <c r="AI63" s="132"/>
      <c r="AJ63" s="132"/>
      <c r="AK63" s="132"/>
    </row>
    <row r="64" spans="5:42">
      <c r="AJ64" s="132"/>
      <c r="AK64" s="132"/>
    </row>
    <row r="65" spans="5:45">
      <c r="AJ65" s="132"/>
      <c r="AK65" s="132"/>
    </row>
    <row r="77" spans="5:45" ht="13.2">
      <c r="E77" s="133" t="s">
        <v>69</v>
      </c>
      <c r="F77" s="133" t="s">
        <v>70</v>
      </c>
      <c r="G77" s="133" t="s">
        <v>196</v>
      </c>
      <c r="H77" s="133" t="s">
        <v>71</v>
      </c>
    </row>
    <row r="78" spans="5:45" ht="13.2">
      <c r="E78" s="134">
        <v>43119</v>
      </c>
      <c r="F78" s="13">
        <f>COUNTIF('Tracking List'!$S$5:$S$432,"&lt;="&amp;E78)</f>
        <v>69</v>
      </c>
      <c r="G78" s="13"/>
      <c r="H78" s="13">
        <f>COUNTIF('Tracking List'!$U$5:$U$432,"&lt;="&amp;E78)</f>
        <v>57</v>
      </c>
      <c r="AL78" s="297"/>
      <c r="AM78" s="297" t="s">
        <v>251</v>
      </c>
      <c r="AN78" s="297" t="s">
        <v>252</v>
      </c>
      <c r="AO78" s="297" t="s">
        <v>253</v>
      </c>
      <c r="AP78" s="297" t="s">
        <v>254</v>
      </c>
      <c r="AQ78" s="297" t="s">
        <v>255</v>
      </c>
      <c r="AR78" s="297" t="s">
        <v>256</v>
      </c>
      <c r="AS78" s="297" t="s">
        <v>260</v>
      </c>
    </row>
    <row r="79" spans="5:45" ht="13.2">
      <c r="E79" s="134">
        <f>E78+7</f>
        <v>43126</v>
      </c>
      <c r="F79" s="13">
        <f>COUNTIF('Tracking List'!$S$5:$S$432,"&lt;="&amp;E79)</f>
        <v>82</v>
      </c>
      <c r="G79" s="13"/>
      <c r="H79" s="13">
        <v>24</v>
      </c>
      <c r="AL79" s="297" t="s">
        <v>873</v>
      </c>
      <c r="AM79" s="228">
        <f>J11</f>
        <v>1</v>
      </c>
      <c r="AN79" s="300">
        <f>E11</f>
        <v>0.625</v>
      </c>
      <c r="AO79" s="228">
        <f>O11</f>
        <v>1</v>
      </c>
      <c r="AP79" s="300">
        <f>T11</f>
        <v>0.33333333333333331</v>
      </c>
      <c r="AQ79" s="228">
        <f>Y11</f>
        <v>0.97499999999999998</v>
      </c>
      <c r="AR79" s="228">
        <f>AD11</f>
        <v>0.8970588235294118</v>
      </c>
      <c r="AS79" s="300">
        <f>AJ11</f>
        <v>0.83370786516853934</v>
      </c>
    </row>
    <row r="80" spans="5:45" ht="13.2">
      <c r="E80" s="134">
        <f t="shared" ref="E80:E108" si="42">E79+7</f>
        <v>43133</v>
      </c>
      <c r="F80" s="13">
        <f>COUNTIF('Tracking List'!$S$5:$S$432,"&lt;="&amp;E80)</f>
        <v>82</v>
      </c>
      <c r="G80" s="13">
        <f>COUNTIF('Tracking List'!$T$5:$T$432,"&lt;="&amp;E80)</f>
        <v>65</v>
      </c>
      <c r="H80" s="13"/>
      <c r="AL80" s="297" t="s">
        <v>874</v>
      </c>
      <c r="AM80" s="228">
        <f>J12</f>
        <v>1</v>
      </c>
      <c r="AN80" s="228">
        <f>E12</f>
        <v>0.625</v>
      </c>
      <c r="AO80" s="228">
        <f>O12</f>
        <v>1</v>
      </c>
      <c r="AP80" s="228">
        <f>T12</f>
        <v>0.33333333333333331</v>
      </c>
      <c r="AQ80" s="228">
        <f>Y12</f>
        <v>1</v>
      </c>
      <c r="AR80" s="228">
        <f>AD12</f>
        <v>0.8970588235294118</v>
      </c>
      <c r="AS80" s="228">
        <f>AJ12</f>
        <v>0.83595505617977528</v>
      </c>
    </row>
    <row r="81" spans="5:45" ht="13.2">
      <c r="E81" s="134">
        <f t="shared" si="42"/>
        <v>43140</v>
      </c>
      <c r="F81" s="13">
        <f>COUNTIF('Tracking List'!$S$5:$S$432,"&lt;="&amp;E81)</f>
        <v>98</v>
      </c>
      <c r="G81" s="13">
        <f>COUNTIF('Tracking List'!$T$5:$T$432,"&lt;="&amp;E81)</f>
        <v>81</v>
      </c>
      <c r="H81" s="13"/>
      <c r="AL81" s="297" t="s">
        <v>875</v>
      </c>
      <c r="AM81" s="228">
        <f>J14</f>
        <v>1</v>
      </c>
      <c r="AN81" s="228">
        <f>E14</f>
        <v>0.72115384615384615</v>
      </c>
      <c r="AO81" s="228">
        <f>O14</f>
        <v>1</v>
      </c>
      <c r="AP81" s="228">
        <f>T14</f>
        <v>1</v>
      </c>
      <c r="AQ81" s="228">
        <f>Y14</f>
        <v>1</v>
      </c>
      <c r="AR81" s="228">
        <f>AD14</f>
        <v>0.8970588235294118</v>
      </c>
      <c r="AS81" s="228">
        <f>AJ14</f>
        <v>0.90337078651685399</v>
      </c>
    </row>
    <row r="82" spans="5:45" ht="13.2">
      <c r="E82" s="134">
        <f t="shared" si="42"/>
        <v>43147</v>
      </c>
      <c r="F82" s="13">
        <f>COUNTIF('Tracking List'!$S$5:$S$432,"&lt;="&amp;E82)</f>
        <v>131</v>
      </c>
      <c r="G82" s="13">
        <f>COUNTIF('Tracking List'!$T$5:$T$432,"&lt;="&amp;E82)</f>
        <v>95</v>
      </c>
      <c r="H82" s="13"/>
      <c r="AL82" s="297" t="s">
        <v>972</v>
      </c>
      <c r="AM82" s="228">
        <f>J15</f>
        <v>1</v>
      </c>
      <c r="AN82" s="300">
        <f>E15</f>
        <v>0.93269230769230771</v>
      </c>
      <c r="AO82" s="228">
        <f>O15</f>
        <v>1</v>
      </c>
      <c r="AP82" s="228">
        <f>T15</f>
        <v>1</v>
      </c>
      <c r="AQ82" s="228">
        <f>Y15</f>
        <v>1</v>
      </c>
      <c r="AR82" s="228">
        <f>AD15</f>
        <v>0.8970588235294118</v>
      </c>
      <c r="AS82" s="228">
        <f>AJ15</f>
        <v>0.95280898876404496</v>
      </c>
    </row>
    <row r="83" spans="5:45" ht="13.2">
      <c r="E83" s="134">
        <f t="shared" si="42"/>
        <v>43154</v>
      </c>
      <c r="F83" s="13">
        <f>COUNTIF('Tracking List'!$S$5:$S$432,"&lt;="&amp;E83)</f>
        <v>132</v>
      </c>
      <c r="G83" s="13">
        <f>COUNTIF('Tracking List'!$T$5:$T$432,"&lt;="&amp;E83)</f>
        <v>96</v>
      </c>
      <c r="H83" s="13"/>
    </row>
    <row r="84" spans="5:45" ht="13.2">
      <c r="E84" s="134">
        <f t="shared" si="42"/>
        <v>43161</v>
      </c>
      <c r="F84" s="13">
        <f>COUNTIF('Tracking List'!$S$5:$S$432,"&lt;="&amp;E84)</f>
        <v>258</v>
      </c>
      <c r="G84" s="13">
        <f>COUNTIF('Tracking List'!$T$5:$T$432,"&lt;="&amp;E84)</f>
        <v>109</v>
      </c>
      <c r="H84" s="13"/>
    </row>
    <row r="85" spans="5:45" ht="13.2">
      <c r="E85" s="134">
        <f t="shared" si="42"/>
        <v>43168</v>
      </c>
      <c r="F85" s="13">
        <f>COUNTIF('Tracking List'!$S$5:$S$432,"&lt;="&amp;E85)</f>
        <v>272</v>
      </c>
      <c r="G85" s="13">
        <f>COUNTIF('Tracking List'!$T$5:$T$432,"&lt;="&amp;E85)</f>
        <v>114</v>
      </c>
      <c r="H85" s="13"/>
    </row>
    <row r="86" spans="5:45" ht="13.2">
      <c r="E86" s="134">
        <f t="shared" si="42"/>
        <v>43175</v>
      </c>
      <c r="F86" s="13">
        <f>COUNTIF('Tracking List'!$S$5:$S$432,"&lt;="&amp;E86)</f>
        <v>282</v>
      </c>
      <c r="G86" s="13">
        <f>COUNTIF('Tracking List'!$T$5:$T$432,"&lt;="&amp;E86)</f>
        <v>153</v>
      </c>
      <c r="H86" s="13"/>
    </row>
    <row r="87" spans="5:45" ht="13.2">
      <c r="E87" s="134">
        <f t="shared" si="42"/>
        <v>43182</v>
      </c>
      <c r="F87" s="13">
        <f>COUNTIF('Tracking List'!$S$5:$S$432,"&lt;="&amp;E87)</f>
        <v>295</v>
      </c>
      <c r="G87" s="13">
        <f>COUNTIF('Tracking List'!$T$5:$T$432,"&lt;="&amp;E87)</f>
        <v>167</v>
      </c>
      <c r="H87" s="13"/>
    </row>
    <row r="88" spans="5:45" ht="13.2">
      <c r="E88" s="134">
        <f t="shared" si="42"/>
        <v>43189</v>
      </c>
      <c r="F88" s="13">
        <f>COUNTIF('Tracking List'!$S$5:$S$432,"&lt;="&amp;E88)</f>
        <v>297</v>
      </c>
      <c r="G88" s="13">
        <f>COUNTIF('Tracking List'!$T$5:$T$432,"&lt;="&amp;E88)</f>
        <v>169</v>
      </c>
      <c r="H88" s="13"/>
    </row>
    <row r="89" spans="5:45" ht="13.2">
      <c r="E89" s="134">
        <f t="shared" si="42"/>
        <v>43196</v>
      </c>
      <c r="F89" s="13">
        <f>COUNTIF('Tracking List'!$S$5:$S$432,"&lt;="&amp;E89)</f>
        <v>305</v>
      </c>
      <c r="G89" s="13">
        <f>COUNTIF('Tracking List'!$T$5:$T$432,"&lt;="&amp;E89)</f>
        <v>291</v>
      </c>
      <c r="H89" s="13"/>
    </row>
    <row r="90" spans="5:45" ht="13.2">
      <c r="E90" s="134">
        <f t="shared" si="42"/>
        <v>43203</v>
      </c>
      <c r="F90" s="13">
        <f>COUNTIF('Tracking List'!$S$5:$S$432,"&lt;="&amp;E90)</f>
        <v>306</v>
      </c>
      <c r="G90" s="13">
        <f>COUNTIF('Tracking List'!$T$5:$T$432,"&lt;="&amp;E90)</f>
        <v>292</v>
      </c>
      <c r="H90" s="13"/>
    </row>
    <row r="91" spans="5:45" ht="13.2">
      <c r="E91" s="134">
        <f t="shared" si="42"/>
        <v>43210</v>
      </c>
      <c r="F91" s="13">
        <f>COUNTIF('Tracking List'!$S$5:$S$432,"&lt;="&amp;E91)</f>
        <v>374</v>
      </c>
      <c r="G91" s="13">
        <f>COUNTIF('Tracking List'!$T$5:$T$432,"&lt;="&amp;E91)</f>
        <v>362</v>
      </c>
      <c r="H91" s="13"/>
    </row>
    <row r="92" spans="5:45" ht="13.2">
      <c r="E92" s="134">
        <f t="shared" si="42"/>
        <v>43217</v>
      </c>
      <c r="F92" s="13">
        <f>COUNTIF('Tracking List'!$S$5:$S$432,"&lt;="&amp;E92)</f>
        <v>375</v>
      </c>
      <c r="G92" s="13">
        <f>COUNTIF('Tracking List'!$T$5:$T$432,"&lt;="&amp;E92)</f>
        <v>363</v>
      </c>
      <c r="H92" s="13"/>
    </row>
    <row r="93" spans="5:45" ht="13.2">
      <c r="E93" s="134">
        <f t="shared" si="42"/>
        <v>43224</v>
      </c>
      <c r="F93" s="13">
        <f>COUNTIF('Tracking List'!$S$5:$S$432,"&lt;="&amp;E93)</f>
        <v>376</v>
      </c>
      <c r="G93" s="13">
        <f>COUNTIF('Tracking List'!$T$5:$T$432,"&lt;="&amp;E93)</f>
        <v>368</v>
      </c>
      <c r="H93" s="13"/>
    </row>
    <row r="94" spans="5:45" ht="13.2">
      <c r="E94" s="134">
        <f t="shared" si="42"/>
        <v>43231</v>
      </c>
      <c r="F94" s="13">
        <f>COUNTIF('Tracking List'!$S$5:$S$432,"&lt;="&amp;E94)</f>
        <v>377</v>
      </c>
      <c r="G94" s="13">
        <f>COUNTIF('Tracking List'!$T$5:$T$432,"&lt;="&amp;E94)</f>
        <v>374</v>
      </c>
      <c r="H94" s="13"/>
    </row>
    <row r="95" spans="5:45" ht="13.2">
      <c r="E95" s="134">
        <f t="shared" si="42"/>
        <v>43238</v>
      </c>
      <c r="F95" s="13">
        <f>COUNTIF('Tracking List'!$S$5:$S$432,"&lt;="&amp;E95)</f>
        <v>377</v>
      </c>
      <c r="G95" s="13">
        <f>COUNTIF('Tracking List'!$T$5:$T$432,"&lt;="&amp;E95)</f>
        <v>374</v>
      </c>
      <c r="H95" s="13"/>
    </row>
    <row r="96" spans="5:45" ht="13.2">
      <c r="E96" s="134">
        <f t="shared" si="42"/>
        <v>43245</v>
      </c>
      <c r="F96" s="13">
        <f>COUNTIF('Tracking List'!$S$5:$S$432,"&lt;="&amp;E96)</f>
        <v>377</v>
      </c>
      <c r="G96" s="13">
        <f>COUNTIF('Tracking List'!$T$5:$T$432,"&lt;="&amp;E96)</f>
        <v>378</v>
      </c>
      <c r="H96" s="13"/>
    </row>
    <row r="97" spans="5:8" ht="13.2">
      <c r="E97" s="134">
        <f t="shared" si="42"/>
        <v>43252</v>
      </c>
      <c r="F97" s="13">
        <f>COUNTIF('Tracking List'!$S$5:$S$432,"&lt;="&amp;E97)</f>
        <v>403</v>
      </c>
      <c r="G97" s="13">
        <f>COUNTIF('Tracking List'!$T$5:$T$432,"&lt;="&amp;E97)</f>
        <v>404</v>
      </c>
      <c r="H97" s="13"/>
    </row>
    <row r="98" spans="5:8" ht="13.2">
      <c r="E98" s="134">
        <f t="shared" si="42"/>
        <v>43259</v>
      </c>
      <c r="F98" s="13">
        <f>COUNTIF('Tracking List'!$S$5:$S$432,"&lt;="&amp;E98)</f>
        <v>403</v>
      </c>
      <c r="G98" s="13">
        <f>COUNTIF('Tracking List'!$T$5:$T$432,"&lt;="&amp;E98)</f>
        <v>404</v>
      </c>
      <c r="H98" s="13"/>
    </row>
    <row r="99" spans="5:8" ht="13.2">
      <c r="E99" s="134">
        <f t="shared" si="42"/>
        <v>43266</v>
      </c>
      <c r="F99" s="13">
        <f>COUNTIF('Tracking List'!$S$5:$S$432,"&lt;="&amp;E99)</f>
        <v>403</v>
      </c>
      <c r="G99" s="13">
        <f>COUNTIF('Tracking List'!$T$5:$T$432,"&lt;="&amp;E99)</f>
        <v>404</v>
      </c>
      <c r="H99" s="13"/>
    </row>
    <row r="100" spans="5:8" ht="13.2">
      <c r="E100" s="134">
        <f t="shared" si="42"/>
        <v>43273</v>
      </c>
      <c r="F100" s="13">
        <f>COUNTIF('Tracking List'!$S$5:$S$432,"&lt;="&amp;E100)</f>
        <v>403</v>
      </c>
      <c r="G100" s="13">
        <f>COUNTIF('Tracking List'!$T$5:$T$432,"&lt;="&amp;E100)</f>
        <v>404</v>
      </c>
      <c r="H100" s="13"/>
    </row>
    <row r="101" spans="5:8" ht="13.2">
      <c r="E101" s="134">
        <f t="shared" si="42"/>
        <v>43280</v>
      </c>
      <c r="F101" s="13">
        <f>COUNTIF('Tracking List'!$S$5:$S$432,"&lt;="&amp;E101)</f>
        <v>403</v>
      </c>
      <c r="G101" s="13">
        <f>COUNTIF('Tracking List'!$T$5:$T$432,"&lt;="&amp;E101)</f>
        <v>404</v>
      </c>
      <c r="H101" s="13"/>
    </row>
    <row r="102" spans="5:8" ht="13.2">
      <c r="E102" s="134">
        <f t="shared" si="42"/>
        <v>43287</v>
      </c>
      <c r="F102" s="13">
        <f>COUNTIF('Tracking List'!$S$5:$S$432,"&lt;="&amp;E102)</f>
        <v>403</v>
      </c>
      <c r="G102" s="13">
        <f>COUNTIF('Tracking List'!$T$5:$T$432,"&lt;="&amp;E102)</f>
        <v>404</v>
      </c>
      <c r="H102" s="13"/>
    </row>
    <row r="103" spans="5:8" ht="13.2">
      <c r="E103" s="134">
        <f t="shared" si="42"/>
        <v>43294</v>
      </c>
      <c r="F103" s="13">
        <f>COUNTIF('Tracking List'!$S$5:$S$432,"&lt;="&amp;E103)</f>
        <v>403</v>
      </c>
      <c r="G103" s="13">
        <f>COUNTIF('Tracking List'!$T$5:$T$432,"&lt;="&amp;E103)</f>
        <v>404</v>
      </c>
      <c r="H103" s="13"/>
    </row>
    <row r="104" spans="5:8" ht="13.2">
      <c r="E104" s="134">
        <f t="shared" si="42"/>
        <v>43301</v>
      </c>
      <c r="F104" s="13">
        <f>COUNTIF('Tracking List'!$S$5:$S$432,"&lt;="&amp;E104)</f>
        <v>427</v>
      </c>
      <c r="G104" s="13">
        <f>COUNTIF('Tracking List'!$T$5:$T$432,"&lt;="&amp;E104)</f>
        <v>428</v>
      </c>
      <c r="H104" s="13"/>
    </row>
    <row r="105" spans="5:8" ht="13.2">
      <c r="E105" s="134">
        <f t="shared" si="42"/>
        <v>43308</v>
      </c>
      <c r="F105" s="13">
        <f>COUNTIF('Tracking List'!$S$5:$S$432,"&lt;="&amp;E105)</f>
        <v>427</v>
      </c>
      <c r="G105" s="13">
        <f>COUNTIF('Tracking List'!$T$5:$T$432,"&lt;="&amp;E105)</f>
        <v>428</v>
      </c>
      <c r="H105" s="13"/>
    </row>
    <row r="106" spans="5:8" ht="13.2">
      <c r="E106" s="134">
        <f t="shared" si="42"/>
        <v>43315</v>
      </c>
      <c r="F106" s="13">
        <f>COUNTIF('Tracking List'!$S$5:$S$432,"&lt;="&amp;E106)</f>
        <v>427</v>
      </c>
      <c r="G106" s="13">
        <f>COUNTIF('Tracking List'!$T$5:$T$432,"&lt;="&amp;E106)</f>
        <v>428</v>
      </c>
      <c r="H106" s="13"/>
    </row>
    <row r="107" spans="5:8" ht="13.2">
      <c r="E107" s="134">
        <f t="shared" si="42"/>
        <v>43322</v>
      </c>
      <c r="F107" s="13">
        <f>COUNTIF('Tracking List'!$S$5:$S$432,"&lt;="&amp;E107)</f>
        <v>427</v>
      </c>
      <c r="G107" s="13">
        <f>COUNTIF('Tracking List'!$T$5:$T$432,"&lt;="&amp;E107)</f>
        <v>428</v>
      </c>
      <c r="H107" s="13"/>
    </row>
    <row r="108" spans="5:8" ht="13.2">
      <c r="E108" s="134">
        <f t="shared" si="42"/>
        <v>43329</v>
      </c>
      <c r="F108" s="13">
        <f>COUNTIF('Tracking List'!$S$5:$S$432,"&lt;="&amp;E108)</f>
        <v>427</v>
      </c>
      <c r="G108" s="13">
        <f>COUNTIF('Tracking List'!$T$5:$T$432,"&lt;="&amp;E108)</f>
        <v>428</v>
      </c>
      <c r="H108" s="13"/>
    </row>
    <row r="109" spans="5:8">
      <c r="E109" s="11"/>
      <c r="F109" s="11"/>
    </row>
    <row r="110" spans="5:8">
      <c r="E110" s="11"/>
      <c r="F110" s="11"/>
    </row>
    <row r="111" spans="5:8">
      <c r="E111" s="11"/>
      <c r="F111" s="11"/>
    </row>
    <row r="112" spans="5:8">
      <c r="E112" s="11"/>
      <c r="F112" s="11"/>
    </row>
    <row r="113" spans="5:6">
      <c r="E113" s="11"/>
      <c r="F113" s="11"/>
    </row>
    <row r="114" spans="5:6">
      <c r="E114" s="11"/>
      <c r="F114" s="11"/>
    </row>
    <row r="115" spans="5:6">
      <c r="E115" s="11"/>
      <c r="F115" s="11"/>
    </row>
    <row r="116" spans="5:6">
      <c r="E116" s="11"/>
      <c r="F116" s="11"/>
    </row>
    <row r="117" spans="5:6">
      <c r="E117" s="11"/>
      <c r="F117" s="11"/>
    </row>
    <row r="118" spans="5:6">
      <c r="E118" s="11"/>
      <c r="F118" s="11"/>
    </row>
    <row r="119" spans="5:6">
      <c r="E119" s="11"/>
      <c r="F119" s="11"/>
    </row>
    <row r="120" spans="5:6">
      <c r="E120" s="11"/>
      <c r="F120" s="11"/>
    </row>
    <row r="121" spans="5:6">
      <c r="E121" s="11"/>
      <c r="F121" s="11"/>
    </row>
    <row r="122" spans="5:6">
      <c r="E122" s="11"/>
      <c r="F122" s="11"/>
    </row>
    <row r="123" spans="5:6">
      <c r="E123" s="11"/>
      <c r="F123" s="11"/>
    </row>
    <row r="124" spans="5:6">
      <c r="E124" s="11"/>
      <c r="F124" s="11"/>
    </row>
    <row r="125" spans="5:6">
      <c r="E125" s="11"/>
      <c r="F125" s="11"/>
    </row>
    <row r="126" spans="5:6">
      <c r="E126" s="11"/>
      <c r="F126" s="11"/>
    </row>
    <row r="127" spans="5:6">
      <c r="E127" s="11"/>
      <c r="F127" s="11"/>
    </row>
    <row r="128" spans="5:6">
      <c r="E128" s="11"/>
      <c r="F128" s="11"/>
    </row>
    <row r="129" spans="5:6">
      <c r="E129" s="11"/>
      <c r="F129" s="11"/>
    </row>
    <row r="130" spans="5:6">
      <c r="E130" s="11"/>
      <c r="F130" s="11"/>
    </row>
    <row r="131" spans="5:6">
      <c r="E131" s="11"/>
      <c r="F131" s="11"/>
    </row>
    <row r="132" spans="5:6">
      <c r="E132" s="11"/>
      <c r="F132" s="11"/>
    </row>
    <row r="133" spans="5:6">
      <c r="E133" s="11"/>
      <c r="F133" s="11"/>
    </row>
    <row r="134" spans="5:6">
      <c r="E134" s="11"/>
      <c r="F134" s="11"/>
    </row>
    <row r="135" spans="5:6">
      <c r="E135" s="11"/>
      <c r="F135" s="11"/>
    </row>
    <row r="136" spans="5:6">
      <c r="E136" s="11"/>
      <c r="F136" s="11"/>
    </row>
    <row r="137" spans="5:6">
      <c r="E137" s="11"/>
      <c r="F137" s="11"/>
    </row>
  </sheetData>
  <mergeCells count="18">
    <mergeCell ref="AA2:AE2"/>
    <mergeCell ref="AF2:AK2"/>
    <mergeCell ref="B1:F1"/>
    <mergeCell ref="G1:K1"/>
    <mergeCell ref="L1:P1"/>
    <mergeCell ref="Q1:U1"/>
    <mergeCell ref="V1:Z1"/>
    <mergeCell ref="AA1:AE1"/>
    <mergeCell ref="B2:F2"/>
    <mergeCell ref="G2:K2"/>
    <mergeCell ref="L2:P2"/>
    <mergeCell ref="Q2:U2"/>
    <mergeCell ref="V2:Z2"/>
    <mergeCell ref="AM5:AP5"/>
    <mergeCell ref="AM16:AO16"/>
    <mergeCell ref="AP16:AQ16"/>
    <mergeCell ref="AR16:AS16"/>
    <mergeCell ref="AF1:AK1"/>
  </mergeCells>
  <phoneticPr fontId="52" type="noConversion"/>
  <pageMargins left="0.7" right="0.7" top="0.75" bottom="0.75" header="0.3" footer="0.3"/>
  <pageSetup paperSize="9" scale="95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Q41"/>
  <sheetViews>
    <sheetView showGridLines="0" showZeros="0" zoomScaleNormal="100" workbookViewId="0">
      <selection activeCell="C6" sqref="C6"/>
    </sheetView>
  </sheetViews>
  <sheetFormatPr defaultRowHeight="13.2"/>
  <cols>
    <col min="3" max="3" width="8.88671875" bestFit="1" customWidth="1"/>
    <col min="4" max="5" width="8.5546875" bestFit="1" customWidth="1"/>
    <col min="6" max="6" width="26.44140625" bestFit="1" customWidth="1"/>
    <col min="7" max="7" width="25.6640625" bestFit="1" customWidth="1"/>
    <col min="8" max="8" width="6.88671875" bestFit="1" customWidth="1"/>
    <col min="9" max="9" width="8.44140625" bestFit="1" customWidth="1"/>
    <col min="10" max="10" width="6.109375" bestFit="1" customWidth="1"/>
    <col min="11" max="11" width="7.88671875" bestFit="1" customWidth="1"/>
    <col min="12" max="12" width="8.109375" bestFit="1" customWidth="1"/>
    <col min="13" max="13" width="11.88671875" bestFit="1" customWidth="1"/>
    <col min="14" max="15" width="8.5546875" bestFit="1" customWidth="1"/>
    <col min="16" max="16" width="7.33203125" bestFit="1" customWidth="1"/>
    <col min="17" max="17" width="32.6640625" customWidth="1"/>
  </cols>
  <sheetData>
    <row r="2" spans="3:17" ht="13.8" thickBot="1"/>
    <row r="3" spans="3:17" hidden="1">
      <c r="C3" s="170" t="s">
        <v>1504</v>
      </c>
      <c r="D3" s="171">
        <v>43175</v>
      </c>
      <c r="E3" s="172">
        <v>43182</v>
      </c>
      <c r="F3" s="174">
        <v>43189</v>
      </c>
      <c r="K3" s="176"/>
      <c r="L3" s="173"/>
      <c r="M3" s="173"/>
      <c r="N3" s="164">
        <v>21</v>
      </c>
      <c r="O3" s="164">
        <v>25</v>
      </c>
    </row>
    <row r="4" spans="3:17" ht="13.8" hidden="1" thickBot="1">
      <c r="C4" s="163"/>
      <c r="D4" s="163">
        <v>4</v>
      </c>
      <c r="E4" s="163">
        <v>2</v>
      </c>
      <c r="F4" s="163">
        <v>3</v>
      </c>
      <c r="G4" s="163">
        <v>15</v>
      </c>
      <c r="H4" s="163">
        <v>5</v>
      </c>
      <c r="I4" s="163">
        <v>6</v>
      </c>
      <c r="J4" s="163">
        <v>7</v>
      </c>
      <c r="K4" s="163">
        <v>8</v>
      </c>
      <c r="L4" s="163">
        <v>9</v>
      </c>
      <c r="M4" s="163">
        <v>17</v>
      </c>
      <c r="N4" s="163">
        <v>20</v>
      </c>
      <c r="O4" s="163">
        <v>24</v>
      </c>
      <c r="P4" s="163">
        <v>27</v>
      </c>
      <c r="Q4" s="163"/>
    </row>
    <row r="5" spans="3:17" ht="40.799999999999997">
      <c r="C5" s="140" t="s">
        <v>169</v>
      </c>
      <c r="D5" s="141" t="s">
        <v>184</v>
      </c>
      <c r="E5" s="141" t="s">
        <v>170</v>
      </c>
      <c r="F5" s="141" t="s">
        <v>174</v>
      </c>
      <c r="G5" s="141" t="s">
        <v>178</v>
      </c>
      <c r="H5" s="141" t="s">
        <v>175</v>
      </c>
      <c r="I5" s="141" t="s">
        <v>176</v>
      </c>
      <c r="J5" s="141" t="s">
        <v>177</v>
      </c>
      <c r="K5" s="141" t="s">
        <v>179</v>
      </c>
      <c r="L5" s="141" t="s">
        <v>180</v>
      </c>
      <c r="M5" s="141" t="s">
        <v>171</v>
      </c>
      <c r="N5" s="142" t="s">
        <v>181</v>
      </c>
      <c r="O5" s="143" t="s">
        <v>182</v>
      </c>
      <c r="P5" s="144" t="s">
        <v>183</v>
      </c>
      <c r="Q5" s="145" t="s">
        <v>172</v>
      </c>
    </row>
    <row r="6" spans="3:17">
      <c r="C6" s="146" t="s">
        <v>1155</v>
      </c>
      <c r="D6" s="147" t="s">
        <v>1505</v>
      </c>
      <c r="E6" s="147" t="s">
        <v>683</v>
      </c>
      <c r="F6" s="147" t="s">
        <v>684</v>
      </c>
      <c r="G6" s="147" t="s">
        <v>684</v>
      </c>
      <c r="H6" s="147" t="s">
        <v>685</v>
      </c>
      <c r="I6" s="147" t="s">
        <v>686</v>
      </c>
      <c r="J6" s="147" t="s">
        <v>6</v>
      </c>
      <c r="K6" s="147" t="s">
        <v>58</v>
      </c>
      <c r="L6" s="168">
        <v>7</v>
      </c>
      <c r="M6" s="147" t="s">
        <v>760</v>
      </c>
      <c r="N6" s="148">
        <v>43172</v>
      </c>
      <c r="O6" s="148">
        <v>43220</v>
      </c>
      <c r="P6" s="147" t="s">
        <v>1506</v>
      </c>
      <c r="Q6" s="149"/>
    </row>
    <row r="7" spans="3:17">
      <c r="C7" s="146" t="s">
        <v>1156</v>
      </c>
      <c r="D7" s="147" t="s">
        <v>1505</v>
      </c>
      <c r="E7" s="147" t="s">
        <v>683</v>
      </c>
      <c r="F7" s="147" t="s">
        <v>687</v>
      </c>
      <c r="G7" s="147" t="s">
        <v>687</v>
      </c>
      <c r="H7" s="147" t="s">
        <v>685</v>
      </c>
      <c r="I7" s="147" t="s">
        <v>688</v>
      </c>
      <c r="J7" s="147" t="s">
        <v>689</v>
      </c>
      <c r="K7" s="147" t="s">
        <v>58</v>
      </c>
      <c r="L7" s="168">
        <v>7</v>
      </c>
      <c r="M7" s="147" t="s">
        <v>760</v>
      </c>
      <c r="N7" s="148">
        <v>43172</v>
      </c>
      <c r="O7" s="148">
        <v>43220</v>
      </c>
      <c r="P7" s="147" t="s">
        <v>1506</v>
      </c>
      <c r="Q7" s="149"/>
    </row>
    <row r="8" spans="3:17">
      <c r="C8" s="146" t="s">
        <v>1159</v>
      </c>
      <c r="D8" s="147" t="s">
        <v>1505</v>
      </c>
      <c r="E8" s="147" t="s">
        <v>705</v>
      </c>
      <c r="F8" s="147" t="s">
        <v>1507</v>
      </c>
      <c r="G8" s="147" t="s">
        <v>1507</v>
      </c>
      <c r="H8" s="147" t="s">
        <v>660</v>
      </c>
      <c r="I8" s="147" t="s">
        <v>1508</v>
      </c>
      <c r="J8" s="147" t="s">
        <v>1509</v>
      </c>
      <c r="K8" s="147" t="s">
        <v>58</v>
      </c>
      <c r="L8" s="168">
        <v>16</v>
      </c>
      <c r="M8" s="147" t="s">
        <v>773</v>
      </c>
      <c r="N8" s="148">
        <v>43171</v>
      </c>
      <c r="O8" s="148">
        <v>43277</v>
      </c>
      <c r="P8" s="147" t="s">
        <v>58</v>
      </c>
      <c r="Q8" s="149"/>
    </row>
    <row r="9" spans="3:17">
      <c r="C9" s="146" t="s">
        <v>1160</v>
      </c>
      <c r="D9" s="147" t="s">
        <v>1505</v>
      </c>
      <c r="E9" s="147" t="s">
        <v>705</v>
      </c>
      <c r="F9" s="147" t="s">
        <v>1507</v>
      </c>
      <c r="G9" s="147" t="s">
        <v>1507</v>
      </c>
      <c r="H9" s="147" t="s">
        <v>660</v>
      </c>
      <c r="I9" s="147" t="s">
        <v>1508</v>
      </c>
      <c r="J9" s="147" t="s">
        <v>1510</v>
      </c>
      <c r="K9" s="147" t="s">
        <v>58</v>
      </c>
      <c r="L9" s="168">
        <v>16</v>
      </c>
      <c r="M9" s="147" t="s">
        <v>773</v>
      </c>
      <c r="N9" s="148">
        <v>43171</v>
      </c>
      <c r="O9" s="148">
        <v>43277</v>
      </c>
      <c r="P9" s="147" t="s">
        <v>58</v>
      </c>
      <c r="Q9" s="149"/>
    </row>
    <row r="10" spans="3:17">
      <c r="C10" s="146" t="s">
        <v>1161</v>
      </c>
      <c r="D10" s="147" t="s">
        <v>1505</v>
      </c>
      <c r="E10" s="147" t="s">
        <v>705</v>
      </c>
      <c r="F10" s="147" t="s">
        <v>1507</v>
      </c>
      <c r="G10" s="147" t="s">
        <v>1507</v>
      </c>
      <c r="H10" s="147" t="s">
        <v>660</v>
      </c>
      <c r="I10" s="147" t="s">
        <v>1511</v>
      </c>
      <c r="J10" s="147" t="s">
        <v>1512</v>
      </c>
      <c r="K10" s="147" t="s">
        <v>58</v>
      </c>
      <c r="L10" s="168">
        <v>16</v>
      </c>
      <c r="M10" s="147" t="s">
        <v>773</v>
      </c>
      <c r="N10" s="148">
        <v>43171</v>
      </c>
      <c r="O10" s="148">
        <v>43277</v>
      </c>
      <c r="P10" s="147" t="s">
        <v>58</v>
      </c>
      <c r="Q10" s="149"/>
    </row>
    <row r="11" spans="3:17">
      <c r="C11" s="146" t="s">
        <v>1162</v>
      </c>
      <c r="D11" s="147" t="s">
        <v>1505</v>
      </c>
      <c r="E11" s="147" t="s">
        <v>705</v>
      </c>
      <c r="F11" s="147" t="s">
        <v>1507</v>
      </c>
      <c r="G11" s="147" t="s">
        <v>1507</v>
      </c>
      <c r="H11" s="147" t="s">
        <v>660</v>
      </c>
      <c r="I11" s="147" t="s">
        <v>1513</v>
      </c>
      <c r="J11" s="147" t="s">
        <v>1514</v>
      </c>
      <c r="K11" s="147" t="s">
        <v>58</v>
      </c>
      <c r="L11" s="168">
        <v>16</v>
      </c>
      <c r="M11" s="147" t="s">
        <v>773</v>
      </c>
      <c r="N11" s="148">
        <v>43171</v>
      </c>
      <c r="O11" s="148">
        <v>43277</v>
      </c>
      <c r="P11" s="147" t="s">
        <v>58</v>
      </c>
      <c r="Q11" s="149"/>
    </row>
    <row r="12" spans="3:17">
      <c r="C12" s="146" t="s">
        <v>1163</v>
      </c>
      <c r="D12" s="147" t="s">
        <v>1505</v>
      </c>
      <c r="E12" s="147" t="s">
        <v>705</v>
      </c>
      <c r="F12" s="147" t="s">
        <v>1507</v>
      </c>
      <c r="G12" s="147" t="s">
        <v>1507</v>
      </c>
      <c r="H12" s="147" t="s">
        <v>660</v>
      </c>
      <c r="I12" s="147" t="s">
        <v>1515</v>
      </c>
      <c r="J12" s="147" t="s">
        <v>1516</v>
      </c>
      <c r="K12" s="147" t="s">
        <v>58</v>
      </c>
      <c r="L12" s="168">
        <v>16</v>
      </c>
      <c r="M12" s="147" t="s">
        <v>773</v>
      </c>
      <c r="N12" s="148">
        <v>43171</v>
      </c>
      <c r="O12" s="148">
        <v>43277</v>
      </c>
      <c r="P12" s="147" t="s">
        <v>58</v>
      </c>
      <c r="Q12" s="149"/>
    </row>
    <row r="13" spans="3:17">
      <c r="C13" s="146" t="s">
        <v>1164</v>
      </c>
      <c r="D13" s="147" t="s">
        <v>1505</v>
      </c>
      <c r="E13" s="147" t="s">
        <v>705</v>
      </c>
      <c r="F13" s="147" t="s">
        <v>1507</v>
      </c>
      <c r="G13" s="147" t="s">
        <v>1507</v>
      </c>
      <c r="H13" s="147" t="s">
        <v>660</v>
      </c>
      <c r="I13" s="147" t="s">
        <v>1517</v>
      </c>
      <c r="J13" s="147" t="s">
        <v>1514</v>
      </c>
      <c r="K13" s="147" t="s">
        <v>58</v>
      </c>
      <c r="L13" s="168">
        <v>16</v>
      </c>
      <c r="M13" s="147" t="s">
        <v>773</v>
      </c>
      <c r="N13" s="148">
        <v>43171</v>
      </c>
      <c r="O13" s="148">
        <v>43277</v>
      </c>
      <c r="P13" s="147" t="s">
        <v>58</v>
      </c>
      <c r="Q13" s="149"/>
    </row>
    <row r="14" spans="3:17">
      <c r="C14" s="146" t="s">
        <v>1165</v>
      </c>
      <c r="D14" s="147" t="s">
        <v>1505</v>
      </c>
      <c r="E14" s="147" t="s">
        <v>705</v>
      </c>
      <c r="F14" s="147" t="s">
        <v>1507</v>
      </c>
      <c r="G14" s="147" t="s">
        <v>1507</v>
      </c>
      <c r="H14" s="147" t="s">
        <v>660</v>
      </c>
      <c r="I14" s="147" t="s">
        <v>1518</v>
      </c>
      <c r="J14" s="147" t="s">
        <v>569</v>
      </c>
      <c r="K14" s="147" t="s">
        <v>58</v>
      </c>
      <c r="L14" s="168">
        <v>16</v>
      </c>
      <c r="M14" s="147" t="s">
        <v>773</v>
      </c>
      <c r="N14" s="148">
        <v>43171</v>
      </c>
      <c r="O14" s="148">
        <v>43277</v>
      </c>
      <c r="P14" s="147" t="s">
        <v>58</v>
      </c>
      <c r="Q14" s="149"/>
    </row>
    <row r="15" spans="3:17">
      <c r="C15" s="146" t="s">
        <v>1166</v>
      </c>
      <c r="D15" s="147" t="s">
        <v>1505</v>
      </c>
      <c r="E15" s="147" t="s">
        <v>705</v>
      </c>
      <c r="F15" s="147" t="s">
        <v>1507</v>
      </c>
      <c r="G15" s="147" t="s">
        <v>1507</v>
      </c>
      <c r="H15" s="147" t="s">
        <v>660</v>
      </c>
      <c r="I15" s="147" t="s">
        <v>1519</v>
      </c>
      <c r="J15" s="147" t="s">
        <v>937</v>
      </c>
      <c r="K15" s="147" t="s">
        <v>58</v>
      </c>
      <c r="L15" s="168">
        <v>16</v>
      </c>
      <c r="M15" s="147" t="s">
        <v>773</v>
      </c>
      <c r="N15" s="148">
        <v>43171</v>
      </c>
      <c r="O15" s="148">
        <v>43277</v>
      </c>
      <c r="P15" s="147" t="s">
        <v>58</v>
      </c>
      <c r="Q15" s="149"/>
    </row>
    <row r="16" spans="3:17">
      <c r="C16" s="146" t="s">
        <v>1167</v>
      </c>
      <c r="D16" s="147" t="s">
        <v>1505</v>
      </c>
      <c r="E16" s="147" t="s">
        <v>705</v>
      </c>
      <c r="F16" s="147" t="s">
        <v>1507</v>
      </c>
      <c r="G16" s="147" t="s">
        <v>1507</v>
      </c>
      <c r="H16" s="147" t="s">
        <v>660</v>
      </c>
      <c r="I16" s="147" t="s">
        <v>1520</v>
      </c>
      <c r="J16" s="147" t="s">
        <v>937</v>
      </c>
      <c r="K16" s="147" t="s">
        <v>58</v>
      </c>
      <c r="L16" s="168">
        <v>16</v>
      </c>
      <c r="M16" s="147" t="s">
        <v>773</v>
      </c>
      <c r="N16" s="148">
        <v>43171</v>
      </c>
      <c r="O16" s="148">
        <v>43277</v>
      </c>
      <c r="P16" s="147" t="s">
        <v>58</v>
      </c>
      <c r="Q16" s="149"/>
    </row>
    <row r="17" spans="3:17">
      <c r="C17" s="146" t="s">
        <v>1168</v>
      </c>
      <c r="D17" s="147" t="s">
        <v>1505</v>
      </c>
      <c r="E17" s="147" t="s">
        <v>705</v>
      </c>
      <c r="F17" s="147" t="s">
        <v>1507</v>
      </c>
      <c r="G17" s="147" t="s">
        <v>1507</v>
      </c>
      <c r="H17" s="147" t="s">
        <v>660</v>
      </c>
      <c r="I17" s="147" t="s">
        <v>1521</v>
      </c>
      <c r="J17" s="147" t="s">
        <v>1514</v>
      </c>
      <c r="K17" s="147" t="s">
        <v>58</v>
      </c>
      <c r="L17" s="168">
        <v>16</v>
      </c>
      <c r="M17" s="147" t="s">
        <v>773</v>
      </c>
      <c r="N17" s="148">
        <v>43171</v>
      </c>
      <c r="O17" s="148">
        <v>43277</v>
      </c>
      <c r="P17" s="147" t="s">
        <v>58</v>
      </c>
      <c r="Q17" s="149"/>
    </row>
    <row r="18" spans="3:17">
      <c r="C18" s="146" t="s">
        <v>1169</v>
      </c>
      <c r="D18" s="147" t="s">
        <v>1505</v>
      </c>
      <c r="E18" s="147" t="s">
        <v>705</v>
      </c>
      <c r="F18" s="147" t="s">
        <v>1507</v>
      </c>
      <c r="G18" s="147" t="s">
        <v>1507</v>
      </c>
      <c r="H18" s="147" t="s">
        <v>660</v>
      </c>
      <c r="I18" s="147" t="s">
        <v>1508</v>
      </c>
      <c r="J18" s="147" t="s">
        <v>898</v>
      </c>
      <c r="K18" s="147" t="s">
        <v>58</v>
      </c>
      <c r="L18" s="168">
        <v>16</v>
      </c>
      <c r="M18" s="147" t="s">
        <v>773</v>
      </c>
      <c r="N18" s="148">
        <v>43171</v>
      </c>
      <c r="O18" s="148">
        <v>43277</v>
      </c>
      <c r="P18" s="147" t="s">
        <v>58</v>
      </c>
      <c r="Q18" s="149"/>
    </row>
    <row r="19" spans="3:17">
      <c r="C19" s="146" t="s">
        <v>1170</v>
      </c>
      <c r="D19" s="147" t="s">
        <v>1505</v>
      </c>
      <c r="E19" s="147" t="s">
        <v>705</v>
      </c>
      <c r="F19" s="147" t="s">
        <v>1507</v>
      </c>
      <c r="G19" s="147" t="s">
        <v>1507</v>
      </c>
      <c r="H19" s="147" t="s">
        <v>660</v>
      </c>
      <c r="I19" s="147" t="s">
        <v>1521</v>
      </c>
      <c r="J19" s="147" t="s">
        <v>947</v>
      </c>
      <c r="K19" s="147" t="s">
        <v>58</v>
      </c>
      <c r="L19" s="168">
        <v>16</v>
      </c>
      <c r="M19" s="147" t="s">
        <v>773</v>
      </c>
      <c r="N19" s="148">
        <v>43171</v>
      </c>
      <c r="O19" s="148">
        <v>43277</v>
      </c>
      <c r="P19" s="147" t="s">
        <v>58</v>
      </c>
      <c r="Q19" s="149"/>
    </row>
    <row r="20" spans="3:17">
      <c r="C20" s="146" t="s">
        <v>1171</v>
      </c>
      <c r="D20" s="147" t="s">
        <v>1505</v>
      </c>
      <c r="E20" s="147" t="s">
        <v>705</v>
      </c>
      <c r="F20" s="147" t="s">
        <v>1507</v>
      </c>
      <c r="G20" s="147" t="s">
        <v>1507</v>
      </c>
      <c r="H20" s="147" t="s">
        <v>660</v>
      </c>
      <c r="I20" s="147" t="s">
        <v>1522</v>
      </c>
      <c r="J20" s="147" t="s">
        <v>1523</v>
      </c>
      <c r="K20" s="147" t="s">
        <v>58</v>
      </c>
      <c r="L20" s="168">
        <v>16</v>
      </c>
      <c r="M20" s="147" t="s">
        <v>773</v>
      </c>
      <c r="N20" s="148">
        <v>43171</v>
      </c>
      <c r="O20" s="148">
        <v>43277</v>
      </c>
      <c r="P20" s="147" t="s">
        <v>58</v>
      </c>
      <c r="Q20" s="149"/>
    </row>
    <row r="21" spans="3:17">
      <c r="C21" s="146" t="s">
        <v>1172</v>
      </c>
      <c r="D21" s="147" t="s">
        <v>1505</v>
      </c>
      <c r="E21" s="147" t="s">
        <v>705</v>
      </c>
      <c r="F21" s="147" t="s">
        <v>1507</v>
      </c>
      <c r="G21" s="147" t="s">
        <v>1507</v>
      </c>
      <c r="H21" s="147" t="s">
        <v>660</v>
      </c>
      <c r="I21" s="147" t="s">
        <v>1524</v>
      </c>
      <c r="J21" s="147" t="s">
        <v>947</v>
      </c>
      <c r="K21" s="147" t="s">
        <v>58</v>
      </c>
      <c r="L21" s="168">
        <v>16</v>
      </c>
      <c r="M21" s="147" t="s">
        <v>773</v>
      </c>
      <c r="N21" s="148">
        <v>43171</v>
      </c>
      <c r="O21" s="148">
        <v>43277</v>
      </c>
      <c r="P21" s="147" t="s">
        <v>58</v>
      </c>
      <c r="Q21" s="149"/>
    </row>
    <row r="22" spans="3:17">
      <c r="C22" s="146" t="s">
        <v>1173</v>
      </c>
      <c r="D22" s="147" t="s">
        <v>1505</v>
      </c>
      <c r="E22" s="147" t="s">
        <v>705</v>
      </c>
      <c r="F22" s="147" t="s">
        <v>1507</v>
      </c>
      <c r="G22" s="147" t="s">
        <v>1507</v>
      </c>
      <c r="H22" s="147" t="s">
        <v>660</v>
      </c>
      <c r="I22" s="147" t="s">
        <v>1525</v>
      </c>
      <c r="J22" s="147" t="s">
        <v>947</v>
      </c>
      <c r="K22" s="147" t="s">
        <v>58</v>
      </c>
      <c r="L22" s="168">
        <v>16</v>
      </c>
      <c r="M22" s="147" t="s">
        <v>773</v>
      </c>
      <c r="N22" s="148">
        <v>43171</v>
      </c>
      <c r="O22" s="148">
        <v>43277</v>
      </c>
      <c r="P22" s="147" t="s">
        <v>58</v>
      </c>
      <c r="Q22" s="149"/>
    </row>
    <row r="23" spans="3:17">
      <c r="C23" s="146" t="s">
        <v>1174</v>
      </c>
      <c r="D23" s="147" t="s">
        <v>1505</v>
      </c>
      <c r="E23" s="147" t="s">
        <v>705</v>
      </c>
      <c r="F23" s="147" t="s">
        <v>1507</v>
      </c>
      <c r="G23" s="147" t="s">
        <v>1507</v>
      </c>
      <c r="H23" s="147" t="s">
        <v>660</v>
      </c>
      <c r="I23" s="147" t="s">
        <v>1519</v>
      </c>
      <c r="J23" s="147" t="s">
        <v>947</v>
      </c>
      <c r="K23" s="147" t="s">
        <v>58</v>
      </c>
      <c r="L23" s="168">
        <v>16</v>
      </c>
      <c r="M23" s="147" t="s">
        <v>773</v>
      </c>
      <c r="N23" s="148">
        <v>43171</v>
      </c>
      <c r="O23" s="148">
        <v>43277</v>
      </c>
      <c r="P23" s="147" t="s">
        <v>58</v>
      </c>
      <c r="Q23" s="149"/>
    </row>
    <row r="24" spans="3:17">
      <c r="C24" s="146" t="s">
        <v>1175</v>
      </c>
      <c r="D24" s="147" t="s">
        <v>1505</v>
      </c>
      <c r="E24" s="147" t="s">
        <v>1526</v>
      </c>
      <c r="F24" s="147" t="s">
        <v>1527</v>
      </c>
      <c r="G24" s="147" t="s">
        <v>1527</v>
      </c>
      <c r="H24" s="147" t="s">
        <v>1528</v>
      </c>
      <c r="I24" s="147" t="s">
        <v>1529</v>
      </c>
      <c r="J24" s="147" t="s">
        <v>946</v>
      </c>
      <c r="K24" s="147" t="s">
        <v>58</v>
      </c>
      <c r="L24" s="168">
        <v>8</v>
      </c>
      <c r="M24" s="147" t="s">
        <v>1530</v>
      </c>
      <c r="N24" s="148">
        <v>43179</v>
      </c>
      <c r="O24" s="148">
        <v>43240</v>
      </c>
      <c r="P24" s="147" t="s">
        <v>58</v>
      </c>
      <c r="Q24" s="149"/>
    </row>
    <row r="25" spans="3:17">
      <c r="C25" s="146" t="s">
        <v>1115</v>
      </c>
      <c r="D25" s="147" t="s">
        <v>1531</v>
      </c>
      <c r="E25" s="147" t="s">
        <v>523</v>
      </c>
      <c r="F25" s="147" t="s">
        <v>524</v>
      </c>
      <c r="G25" s="147" t="s">
        <v>1532</v>
      </c>
      <c r="H25" s="147" t="s">
        <v>514</v>
      </c>
      <c r="I25" s="147" t="s">
        <v>525</v>
      </c>
      <c r="J25" s="147" t="s">
        <v>526</v>
      </c>
      <c r="K25" s="147" t="s">
        <v>58</v>
      </c>
      <c r="L25" s="168">
        <v>12</v>
      </c>
      <c r="M25" s="147" t="s">
        <v>529</v>
      </c>
      <c r="N25" s="148" t="s">
        <v>58</v>
      </c>
      <c r="O25" s="148">
        <v>43185</v>
      </c>
      <c r="P25" s="147" t="s">
        <v>1506</v>
      </c>
      <c r="Q25" s="149"/>
    </row>
    <row r="26" spans="3:17">
      <c r="C26" s="146" t="s">
        <v>1116</v>
      </c>
      <c r="D26" s="147" t="s">
        <v>1531</v>
      </c>
      <c r="E26" s="147" t="s">
        <v>523</v>
      </c>
      <c r="F26" s="147" t="s">
        <v>524</v>
      </c>
      <c r="G26" s="147" t="s">
        <v>1532</v>
      </c>
      <c r="H26" s="147" t="s">
        <v>514</v>
      </c>
      <c r="I26" s="147" t="s">
        <v>525</v>
      </c>
      <c r="J26" s="147" t="s">
        <v>531</v>
      </c>
      <c r="K26" s="147" t="s">
        <v>58</v>
      </c>
      <c r="L26" s="168">
        <v>12</v>
      </c>
      <c r="M26" s="147" t="s">
        <v>529</v>
      </c>
      <c r="N26" s="148" t="s">
        <v>58</v>
      </c>
      <c r="O26" s="148">
        <v>43185</v>
      </c>
      <c r="P26" s="147" t="s">
        <v>1506</v>
      </c>
      <c r="Q26" s="149"/>
    </row>
    <row r="27" spans="3:17">
      <c r="C27" s="146" t="s">
        <v>1122</v>
      </c>
      <c r="D27" s="147" t="s">
        <v>1531</v>
      </c>
      <c r="E27" s="147" t="s">
        <v>539</v>
      </c>
      <c r="F27" s="147" t="s">
        <v>540</v>
      </c>
      <c r="G27" s="147" t="s">
        <v>1533</v>
      </c>
      <c r="H27" s="147" t="s">
        <v>514</v>
      </c>
      <c r="I27" s="147" t="s">
        <v>541</v>
      </c>
      <c r="J27" s="147" t="s">
        <v>531</v>
      </c>
      <c r="K27" s="147" t="s">
        <v>58</v>
      </c>
      <c r="L27" s="168">
        <v>12</v>
      </c>
      <c r="M27" s="147" t="s">
        <v>529</v>
      </c>
      <c r="N27" s="148" t="s">
        <v>58</v>
      </c>
      <c r="O27" s="148">
        <v>43185</v>
      </c>
      <c r="P27" s="147" t="s">
        <v>1506</v>
      </c>
      <c r="Q27" s="149"/>
    </row>
    <row r="28" spans="3:17">
      <c r="C28" s="146" t="s">
        <v>1123</v>
      </c>
      <c r="D28" s="147" t="s">
        <v>1531</v>
      </c>
      <c r="E28" s="147" t="s">
        <v>539</v>
      </c>
      <c r="F28" s="147" t="s">
        <v>524</v>
      </c>
      <c r="G28" s="147" t="s">
        <v>1533</v>
      </c>
      <c r="H28" s="147" t="s">
        <v>514</v>
      </c>
      <c r="I28" s="147" t="s">
        <v>525</v>
      </c>
      <c r="J28" s="147" t="s">
        <v>526</v>
      </c>
      <c r="K28" s="147" t="s">
        <v>58</v>
      </c>
      <c r="L28" s="168">
        <v>12</v>
      </c>
      <c r="M28" s="147" t="s">
        <v>529</v>
      </c>
      <c r="N28" s="148" t="s">
        <v>58</v>
      </c>
      <c r="O28" s="148">
        <v>43185</v>
      </c>
      <c r="P28" s="147" t="s">
        <v>1506</v>
      </c>
      <c r="Q28" s="149"/>
    </row>
    <row r="29" spans="3:17">
      <c r="C29" s="146" t="s">
        <v>1124</v>
      </c>
      <c r="D29" s="147" t="s">
        <v>1531</v>
      </c>
      <c r="E29" s="147" t="s">
        <v>539</v>
      </c>
      <c r="F29" s="147" t="s">
        <v>524</v>
      </c>
      <c r="G29" s="147" t="s">
        <v>1533</v>
      </c>
      <c r="H29" s="147" t="s">
        <v>514</v>
      </c>
      <c r="I29" s="147" t="s">
        <v>525</v>
      </c>
      <c r="J29" s="147" t="s">
        <v>531</v>
      </c>
      <c r="K29" s="147" t="s">
        <v>58</v>
      </c>
      <c r="L29" s="168">
        <v>12</v>
      </c>
      <c r="M29" s="147" t="s">
        <v>529</v>
      </c>
      <c r="N29" s="148" t="s">
        <v>58</v>
      </c>
      <c r="O29" s="148">
        <v>43185</v>
      </c>
      <c r="P29" s="147" t="s">
        <v>1506</v>
      </c>
      <c r="Q29" s="149"/>
    </row>
    <row r="30" spans="3:17">
      <c r="C30" s="146" t="s">
        <v>1125</v>
      </c>
      <c r="D30" s="147" t="s">
        <v>1531</v>
      </c>
      <c r="E30" s="147" t="s">
        <v>539</v>
      </c>
      <c r="F30" s="147" t="s">
        <v>540</v>
      </c>
      <c r="G30" s="147" t="s">
        <v>1533</v>
      </c>
      <c r="H30" s="147" t="s">
        <v>514</v>
      </c>
      <c r="I30" s="147" t="s">
        <v>541</v>
      </c>
      <c r="J30" s="147" t="s">
        <v>526</v>
      </c>
      <c r="K30" s="147" t="s">
        <v>58</v>
      </c>
      <c r="L30" s="168">
        <v>12</v>
      </c>
      <c r="M30" s="147" t="s">
        <v>529</v>
      </c>
      <c r="N30" s="148" t="s">
        <v>58</v>
      </c>
      <c r="O30" s="148">
        <v>43185</v>
      </c>
      <c r="P30" s="147" t="s">
        <v>1506</v>
      </c>
      <c r="Q30" s="149"/>
    </row>
    <row r="31" spans="3:17">
      <c r="C31" s="146" t="s">
        <v>78</v>
      </c>
      <c r="D31" s="147" t="s">
        <v>1534</v>
      </c>
      <c r="E31" s="147" t="s">
        <v>1535</v>
      </c>
      <c r="F31" s="147" t="s">
        <v>1536</v>
      </c>
      <c r="G31" s="147" t="s">
        <v>1537</v>
      </c>
      <c r="H31" s="147" t="s">
        <v>357</v>
      </c>
      <c r="I31" s="147" t="s">
        <v>1538</v>
      </c>
      <c r="J31" s="147" t="s">
        <v>6</v>
      </c>
      <c r="K31" s="147" t="s">
        <v>58</v>
      </c>
      <c r="L31" s="168">
        <v>6</v>
      </c>
      <c r="M31" s="147" t="s">
        <v>1539</v>
      </c>
      <c r="N31" s="148">
        <v>43174</v>
      </c>
      <c r="O31" s="148">
        <v>43224</v>
      </c>
      <c r="P31" s="147" t="s">
        <v>58</v>
      </c>
      <c r="Q31" s="149"/>
    </row>
    <row r="32" spans="3:17">
      <c r="C32" s="146" t="s">
        <v>81</v>
      </c>
      <c r="D32" s="147" t="s">
        <v>1534</v>
      </c>
      <c r="E32" s="147" t="s">
        <v>1540</v>
      </c>
      <c r="F32" s="147" t="s">
        <v>1541</v>
      </c>
      <c r="G32" s="147" t="s">
        <v>1542</v>
      </c>
      <c r="H32" s="147" t="s">
        <v>289</v>
      </c>
      <c r="I32" s="147" t="s">
        <v>304</v>
      </c>
      <c r="J32" s="147" t="s">
        <v>947</v>
      </c>
      <c r="K32" s="147" t="s">
        <v>58</v>
      </c>
      <c r="L32" s="168">
        <v>6</v>
      </c>
      <c r="M32" s="147" t="s">
        <v>1543</v>
      </c>
      <c r="N32" s="148">
        <v>43174</v>
      </c>
      <c r="O32" s="148">
        <v>43224</v>
      </c>
      <c r="P32" s="147" t="s">
        <v>58</v>
      </c>
      <c r="Q32" s="149"/>
    </row>
    <row r="33" spans="3:17">
      <c r="C33" s="146" t="s">
        <v>82</v>
      </c>
      <c r="D33" s="147" t="s">
        <v>1534</v>
      </c>
      <c r="E33" s="147" t="s">
        <v>1540</v>
      </c>
      <c r="F33" s="147" t="s">
        <v>1541</v>
      </c>
      <c r="G33" s="147" t="s">
        <v>1542</v>
      </c>
      <c r="H33" s="147" t="s">
        <v>289</v>
      </c>
      <c r="I33" s="147" t="s">
        <v>304</v>
      </c>
      <c r="J33" s="147" t="s">
        <v>65</v>
      </c>
      <c r="K33" s="147" t="s">
        <v>58</v>
      </c>
      <c r="L33" s="168">
        <v>6</v>
      </c>
      <c r="M33" s="147" t="s">
        <v>1543</v>
      </c>
      <c r="N33" s="148">
        <v>43174</v>
      </c>
      <c r="O33" s="148">
        <v>43224</v>
      </c>
      <c r="P33" s="147" t="s">
        <v>58</v>
      </c>
      <c r="Q33" s="149"/>
    </row>
    <row r="34" spans="3:17">
      <c r="C34" s="146" t="s">
        <v>83</v>
      </c>
      <c r="D34" s="147" t="s">
        <v>1534</v>
      </c>
      <c r="E34" s="147" t="s">
        <v>1544</v>
      </c>
      <c r="F34" s="147" t="s">
        <v>1545</v>
      </c>
      <c r="G34" s="147" t="s">
        <v>1546</v>
      </c>
      <c r="H34" s="147" t="s">
        <v>1547</v>
      </c>
      <c r="I34" s="147" t="s">
        <v>1548</v>
      </c>
      <c r="J34" s="147" t="s">
        <v>6</v>
      </c>
      <c r="K34" s="147" t="s">
        <v>58</v>
      </c>
      <c r="L34" s="168">
        <v>6</v>
      </c>
      <c r="M34" s="147" t="s">
        <v>1549</v>
      </c>
      <c r="N34" s="148">
        <v>43174</v>
      </c>
      <c r="O34" s="148">
        <v>43224</v>
      </c>
      <c r="P34" s="147" t="s">
        <v>58</v>
      </c>
      <c r="Q34" s="149"/>
    </row>
    <row r="35" spans="3:17">
      <c r="C35" s="146" t="s">
        <v>84</v>
      </c>
      <c r="D35" s="147" t="s">
        <v>1534</v>
      </c>
      <c r="E35" s="147" t="s">
        <v>1540</v>
      </c>
      <c r="F35" s="147" t="s">
        <v>1541</v>
      </c>
      <c r="G35" s="147" t="s">
        <v>1550</v>
      </c>
      <c r="H35" s="147" t="s">
        <v>289</v>
      </c>
      <c r="I35" s="147" t="s">
        <v>1551</v>
      </c>
      <c r="J35" s="147" t="s">
        <v>13</v>
      </c>
      <c r="K35" s="147" t="s">
        <v>58</v>
      </c>
      <c r="L35" s="168">
        <v>6</v>
      </c>
      <c r="M35" s="147" t="s">
        <v>1549</v>
      </c>
      <c r="N35" s="148">
        <v>43174</v>
      </c>
      <c r="O35" s="148">
        <v>43224</v>
      </c>
      <c r="P35" s="147" t="s">
        <v>58</v>
      </c>
      <c r="Q35" s="149"/>
    </row>
    <row r="36" spans="3:17">
      <c r="C36" s="146" t="s">
        <v>89</v>
      </c>
      <c r="D36" s="147" t="s">
        <v>1534</v>
      </c>
      <c r="E36" s="147" t="s">
        <v>327</v>
      </c>
      <c r="F36" s="147" t="s">
        <v>328</v>
      </c>
      <c r="G36" s="147" t="s">
        <v>1552</v>
      </c>
      <c r="H36" s="147" t="s">
        <v>1553</v>
      </c>
      <c r="I36" s="147" t="s">
        <v>1554</v>
      </c>
      <c r="J36" s="147" t="s">
        <v>6</v>
      </c>
      <c r="K36" s="147" t="s">
        <v>58</v>
      </c>
      <c r="L36" s="168">
        <v>6</v>
      </c>
      <c r="M36" s="147" t="s">
        <v>1549</v>
      </c>
      <c r="N36" s="148">
        <v>43174</v>
      </c>
      <c r="O36" s="148">
        <v>43224</v>
      </c>
      <c r="P36" s="147" t="s">
        <v>58</v>
      </c>
      <c r="Q36" s="149"/>
    </row>
    <row r="37" spans="3:17">
      <c r="C37" s="146" t="s">
        <v>90</v>
      </c>
      <c r="D37" s="147" t="s">
        <v>1534</v>
      </c>
      <c r="E37" s="147" t="s">
        <v>327</v>
      </c>
      <c r="F37" s="147" t="s">
        <v>328</v>
      </c>
      <c r="G37" s="147" t="s">
        <v>1555</v>
      </c>
      <c r="H37" s="147" t="s">
        <v>1553</v>
      </c>
      <c r="I37" s="147" t="s">
        <v>1556</v>
      </c>
      <c r="J37" s="147" t="s">
        <v>6</v>
      </c>
      <c r="K37" s="147" t="s">
        <v>58</v>
      </c>
      <c r="L37" s="168">
        <v>6</v>
      </c>
      <c r="M37" s="147" t="s">
        <v>1549</v>
      </c>
      <c r="N37" s="148">
        <v>43174</v>
      </c>
      <c r="O37" s="148">
        <v>43224</v>
      </c>
      <c r="P37" s="147" t="s">
        <v>58</v>
      </c>
      <c r="Q37" s="149"/>
    </row>
    <row r="38" spans="3:17">
      <c r="C38" s="146" t="s">
        <v>91</v>
      </c>
      <c r="D38" s="147" t="s">
        <v>1534</v>
      </c>
      <c r="E38" s="147" t="s">
        <v>327</v>
      </c>
      <c r="F38" s="147" t="s">
        <v>328</v>
      </c>
      <c r="G38" s="147" t="s">
        <v>1557</v>
      </c>
      <c r="H38" s="147" t="s">
        <v>289</v>
      </c>
      <c r="I38" s="147" t="s">
        <v>1558</v>
      </c>
      <c r="J38" s="147" t="s">
        <v>6</v>
      </c>
      <c r="K38" s="147" t="s">
        <v>58</v>
      </c>
      <c r="L38" s="168">
        <v>6</v>
      </c>
      <c r="M38" s="147" t="s">
        <v>1549</v>
      </c>
      <c r="N38" s="148">
        <v>43174</v>
      </c>
      <c r="O38" s="148">
        <v>43224</v>
      </c>
      <c r="P38" s="147" t="s">
        <v>58</v>
      </c>
      <c r="Q38" s="149"/>
    </row>
    <row r="39" spans="3:17">
      <c r="C39" s="146"/>
      <c r="D39" s="147" t="s">
        <v>1506</v>
      </c>
      <c r="E39" s="147" t="s">
        <v>1506</v>
      </c>
      <c r="F39" s="147" t="s">
        <v>1506</v>
      </c>
      <c r="G39" s="147" t="s">
        <v>1506</v>
      </c>
      <c r="H39" s="147" t="s">
        <v>1506</v>
      </c>
      <c r="I39" s="147" t="s">
        <v>1506</v>
      </c>
      <c r="J39" s="147" t="s">
        <v>1506</v>
      </c>
      <c r="K39" s="147" t="s">
        <v>1506</v>
      </c>
      <c r="L39" s="168" t="s">
        <v>1506</v>
      </c>
      <c r="M39" s="147" t="s">
        <v>1506</v>
      </c>
      <c r="N39" s="148" t="s">
        <v>1506</v>
      </c>
      <c r="O39" s="148" t="s">
        <v>1506</v>
      </c>
      <c r="P39" s="147" t="s">
        <v>1506</v>
      </c>
      <c r="Q39" s="149"/>
    </row>
    <row r="40" spans="3:17">
      <c r="C40" s="146"/>
      <c r="D40" s="147" t="s">
        <v>1506</v>
      </c>
      <c r="E40" s="147" t="s">
        <v>1506</v>
      </c>
      <c r="F40" s="147" t="s">
        <v>1506</v>
      </c>
      <c r="G40" s="147" t="s">
        <v>1506</v>
      </c>
      <c r="H40" s="147" t="s">
        <v>1506</v>
      </c>
      <c r="I40" s="147" t="s">
        <v>1506</v>
      </c>
      <c r="J40" s="147" t="s">
        <v>1506</v>
      </c>
      <c r="K40" s="147" t="s">
        <v>1506</v>
      </c>
      <c r="L40" s="168" t="s">
        <v>1506</v>
      </c>
      <c r="M40" s="147" t="s">
        <v>1506</v>
      </c>
      <c r="N40" s="148" t="s">
        <v>1506</v>
      </c>
      <c r="O40" s="148" t="s">
        <v>1506</v>
      </c>
      <c r="P40" s="147" t="s">
        <v>1506</v>
      </c>
      <c r="Q40" s="149"/>
    </row>
    <row r="41" spans="3:17" ht="13.8" thickBot="1">
      <c r="C41" s="155"/>
      <c r="D41" s="156" t="s">
        <v>1506</v>
      </c>
      <c r="E41" s="156" t="s">
        <v>1506</v>
      </c>
      <c r="F41" s="156" t="s">
        <v>1506</v>
      </c>
      <c r="G41" s="156" t="s">
        <v>1506</v>
      </c>
      <c r="H41" s="156" t="s">
        <v>1506</v>
      </c>
      <c r="I41" s="156" t="s">
        <v>1506</v>
      </c>
      <c r="J41" s="156" t="s">
        <v>1506</v>
      </c>
      <c r="K41" s="156" t="s">
        <v>1506</v>
      </c>
      <c r="L41" s="169" t="s">
        <v>1506</v>
      </c>
      <c r="M41" s="156" t="s">
        <v>1506</v>
      </c>
      <c r="N41" s="157" t="s">
        <v>1506</v>
      </c>
      <c r="O41" s="157" t="s">
        <v>1506</v>
      </c>
      <c r="P41" s="156" t="s">
        <v>1506</v>
      </c>
      <c r="Q41" s="158"/>
    </row>
  </sheetData>
  <phoneticPr fontId="52" type="noConversion"/>
  <conditionalFormatting sqref="N6:O41">
    <cfRule type="cellIs" dxfId="3" priority="1" operator="equal">
      <formula>"Y"</formula>
    </cfRule>
  </conditionalFormatting>
  <conditionalFormatting sqref="N6:O41">
    <cfRule type="expression" dxfId="2" priority="2">
      <formula>AND($K6="Y",N6&gt;$D$3,N6&lt;=$E$3)</formula>
    </cfRule>
    <cfRule type="expression" dxfId="1" priority="3">
      <formula>AND($K6="Y",N6&gt;$E$3,N6&lt;=$F$3)</formula>
    </cfRule>
    <cfRule type="expression" dxfId="0" priority="4">
      <formula>AND($K6="Y",N6&lt;=$D$3)</formula>
    </cfRule>
  </conditionalFormatting>
  <pageMargins left="0.7" right="0.7" top="0.75" bottom="0.75" header="0.3" footer="0.3"/>
  <pageSetup paperSize="9" scale="43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Data Dic</vt:lpstr>
      <vt:lpstr>Tracking List</vt:lpstr>
      <vt:lpstr>PV Compelete delay</vt:lpstr>
      <vt:lpstr>Working</vt:lpstr>
      <vt:lpstr>Sheet4</vt:lpstr>
      <vt:lpstr>Sheet4 (2)</vt:lpstr>
      <vt:lpstr>PV Start Delay</vt:lpstr>
      <vt:lpstr>PV Start Delay by Commodity</vt:lpstr>
      <vt:lpstr>Change Log</vt:lpstr>
      <vt:lpstr>Glide Path of PV completion</vt:lpstr>
      <vt:lpstr>CD539MCA PV weekly follow up</vt:lpstr>
      <vt:lpstr>'CD539MCA PV weekly follow up'!Print_Area</vt:lpstr>
      <vt:lpstr>'Tracking List'!Print_Area</vt:lpstr>
      <vt:lpstr>Working!Print_Area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hjiang32@ford.com</dc:creator>
  <cp:lastModifiedBy>Charles</cp:lastModifiedBy>
  <cp:lastPrinted>2018-03-12T13:45:57Z</cp:lastPrinted>
  <dcterms:created xsi:type="dcterms:W3CDTF">1996-10-14T23:33:28Z</dcterms:created>
  <dcterms:modified xsi:type="dcterms:W3CDTF">2018-04-03T13:23:27Z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